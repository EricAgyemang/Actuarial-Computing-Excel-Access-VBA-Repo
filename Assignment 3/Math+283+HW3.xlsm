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l6y\Documents\Math 283\7. Fall 2015\"/>
    </mc:Choice>
  </mc:AlternateContent>
  <bookViews>
    <workbookView xWindow="240" yWindow="285" windowWidth="14955" windowHeight="8655" tabRatio="740" firstSheet="1" activeTab="1"/>
  </bookViews>
  <sheets>
    <sheet name="Log" sheetId="12" state="hidden" r:id="rId1"/>
    <sheet name="Instructions" sheetId="3" r:id="rId2"/>
    <sheet name="Problem 1" sheetId="1" r:id="rId3"/>
    <sheet name="Problem 2" sheetId="4" r:id="rId4"/>
    <sheet name="Problem 3" sheetId="2" r:id="rId5"/>
    <sheet name="Problem 4" sheetId="7" r:id="rId6"/>
    <sheet name="Female Nonsmoker" sheetId="8" r:id="rId7"/>
    <sheet name="Female Smoker" sheetId="9" r:id="rId8"/>
    <sheet name="Male Nonsmoker" sheetId="10" r:id="rId9"/>
    <sheet name="Male Smoker" sheetId="11" r:id="rId10"/>
  </sheets>
  <definedNames>
    <definedName name="_xlnm._FilterDatabase" localSheetId="3" hidden="1">'Problem 2'!$A$1:$I$3997</definedName>
    <definedName name="FTDATA">'Problem 2'!$A$1:$I$3997</definedName>
  </definedNames>
  <calcPr calcId="152511"/>
</workbook>
</file>

<file path=xl/calcChain.xml><?xml version="1.0" encoding="utf-8"?>
<calcChain xmlns="http://schemas.openxmlformats.org/spreadsheetml/2006/main">
  <c r="C3" i="11" l="1"/>
  <c r="C4" i="11" s="1"/>
  <c r="C3" i="10"/>
  <c r="C4" i="10" s="1"/>
  <c r="C3" i="9"/>
  <c r="C4" i="9" s="1"/>
  <c r="C5" i="9" s="1"/>
  <c r="C3" i="8"/>
  <c r="C4" i="8" s="1"/>
  <c r="C5" i="8" l="1"/>
  <c r="C6" i="9"/>
  <c r="C5" i="10"/>
  <c r="C5" i="11"/>
  <c r="C7" i="9" l="1"/>
  <c r="C6" i="8"/>
  <c r="C6" i="11"/>
  <c r="C6" i="10"/>
  <c r="C7" i="10" l="1"/>
  <c r="C7" i="11"/>
  <c r="C7" i="8"/>
  <c r="C8" i="9"/>
  <c r="C9" i="9" l="1"/>
  <c r="C8" i="11"/>
  <c r="C8" i="10"/>
  <c r="C8" i="8"/>
  <c r="C9" i="8" l="1"/>
  <c r="C9" i="10"/>
  <c r="C9" i="11"/>
  <c r="C10" i="9"/>
  <c r="C11" i="9" l="1"/>
  <c r="C10" i="11"/>
  <c r="C10" i="10"/>
  <c r="C10" i="8"/>
  <c r="C11" i="8" l="1"/>
  <c r="C11" i="10"/>
  <c r="C11" i="11"/>
  <c r="C12" i="9"/>
  <c r="C13" i="9" l="1"/>
  <c r="C12" i="11"/>
  <c r="C12" i="10"/>
  <c r="C12" i="8"/>
  <c r="C13" i="8" l="1"/>
  <c r="C13" i="10"/>
  <c r="C13" i="11"/>
  <c r="C14" i="9"/>
  <c r="C15" i="9" l="1"/>
  <c r="C14" i="11"/>
  <c r="C14" i="10"/>
  <c r="C14" i="8"/>
  <c r="C15" i="8" l="1"/>
  <c r="C15" i="10"/>
  <c r="C15" i="11"/>
  <c r="C16" i="9"/>
  <c r="C17" i="9" l="1"/>
  <c r="C16" i="11"/>
  <c r="C16" i="10"/>
  <c r="C16" i="8"/>
  <c r="C17" i="8" l="1"/>
  <c r="C17" i="10"/>
  <c r="C17" i="11"/>
  <c r="C18" i="9"/>
  <c r="C19" i="9" l="1"/>
  <c r="C18" i="11"/>
  <c r="C18" i="10"/>
  <c r="C18" i="8"/>
  <c r="C19" i="8" l="1"/>
  <c r="C19" i="10"/>
  <c r="C19" i="11"/>
  <c r="C20" i="9"/>
  <c r="C21" i="9" l="1"/>
  <c r="C20" i="11"/>
  <c r="C20" i="10"/>
  <c r="C20" i="8"/>
  <c r="C21" i="8" l="1"/>
  <c r="C21" i="10"/>
  <c r="C21" i="11"/>
  <c r="C22" i="9"/>
  <c r="C23" i="9" l="1"/>
  <c r="C22" i="11"/>
  <c r="C22" i="10"/>
  <c r="C22" i="8"/>
  <c r="C23" i="8" l="1"/>
  <c r="C23" i="10"/>
  <c r="C23" i="11"/>
  <c r="C24" i="9"/>
  <c r="C25" i="9" l="1"/>
  <c r="C24" i="11"/>
  <c r="C24" i="10"/>
  <c r="C24" i="8"/>
  <c r="C25" i="8" l="1"/>
  <c r="C25" i="10"/>
  <c r="C25" i="11"/>
  <c r="C26" i="9"/>
  <c r="C27" i="9" l="1"/>
  <c r="C26" i="11"/>
  <c r="C26" i="10"/>
  <c r="C26" i="8"/>
  <c r="C27" i="8" l="1"/>
  <c r="C27" i="10"/>
  <c r="C27" i="11"/>
  <c r="C28" i="9"/>
  <c r="C29" i="9" l="1"/>
  <c r="C28" i="11"/>
  <c r="C28" i="10"/>
  <c r="C28" i="8"/>
  <c r="C29" i="8" l="1"/>
  <c r="C29" i="10"/>
  <c r="C29" i="11"/>
  <c r="C30" i="9"/>
  <c r="C31" i="9" l="1"/>
  <c r="C30" i="11"/>
  <c r="C30" i="10"/>
  <c r="C30" i="8"/>
  <c r="C31" i="8" l="1"/>
  <c r="C31" i="10"/>
  <c r="C31" i="11"/>
  <c r="C32" i="9"/>
  <c r="C33" i="9" l="1"/>
  <c r="C32" i="11"/>
  <c r="C32" i="10"/>
  <c r="C32" i="8"/>
  <c r="C33" i="8" l="1"/>
  <c r="C33" i="10"/>
  <c r="C33" i="11"/>
  <c r="C34" i="9"/>
  <c r="C35" i="9" l="1"/>
  <c r="C34" i="11"/>
  <c r="C34" i="10"/>
  <c r="C34" i="8"/>
  <c r="C35" i="8" l="1"/>
  <c r="C35" i="10"/>
  <c r="C35" i="11"/>
  <c r="C36" i="9"/>
  <c r="C37" i="9" l="1"/>
  <c r="C36" i="11"/>
  <c r="C36" i="10"/>
  <c r="C36" i="8"/>
  <c r="C37" i="8" l="1"/>
  <c r="C37" i="10"/>
  <c r="C37" i="11"/>
  <c r="C38" i="9"/>
  <c r="C39" i="9" l="1"/>
  <c r="C38" i="11"/>
  <c r="C38" i="10"/>
  <c r="C38" i="8"/>
  <c r="C39" i="8" l="1"/>
  <c r="C39" i="10"/>
  <c r="C39" i="11"/>
  <c r="C40" i="9"/>
  <c r="C41" i="9" l="1"/>
  <c r="C40" i="11"/>
  <c r="C40" i="10"/>
  <c r="C40" i="8"/>
  <c r="C41" i="8" l="1"/>
  <c r="C41" i="10"/>
  <c r="C41" i="11"/>
  <c r="C42" i="9"/>
  <c r="C43" i="9" l="1"/>
  <c r="C42" i="11"/>
  <c r="C42" i="10"/>
  <c r="C42" i="8"/>
  <c r="C43" i="8" l="1"/>
  <c r="C43" i="10"/>
  <c r="C43" i="11"/>
  <c r="C44" i="9"/>
  <c r="C45" i="9" l="1"/>
  <c r="C44" i="11"/>
  <c r="C44" i="10"/>
  <c r="C44" i="8"/>
  <c r="C45" i="8" l="1"/>
  <c r="C45" i="10"/>
  <c r="C45" i="11"/>
  <c r="C46" i="9"/>
  <c r="C47" i="9" l="1"/>
  <c r="C46" i="11"/>
  <c r="C46" i="10"/>
  <c r="C46" i="8"/>
  <c r="C47" i="8" l="1"/>
  <c r="C47" i="10"/>
  <c r="C47" i="11"/>
  <c r="C48" i="9"/>
  <c r="C49" i="9" l="1"/>
  <c r="C48" i="11"/>
  <c r="C48" i="10"/>
  <c r="C48" i="8"/>
  <c r="C49" i="8" l="1"/>
  <c r="C49" i="10"/>
  <c r="C49" i="11"/>
  <c r="C50" i="9"/>
  <c r="C51" i="9" l="1"/>
  <c r="C50" i="11"/>
  <c r="C50" i="10"/>
  <c r="C50" i="8"/>
  <c r="C51" i="8" l="1"/>
  <c r="C51" i="10"/>
  <c r="C51" i="11"/>
  <c r="C52" i="9"/>
  <c r="C53" i="9" l="1"/>
  <c r="C52" i="11"/>
  <c r="C52" i="10"/>
  <c r="C52" i="8"/>
  <c r="C53" i="10" l="1"/>
  <c r="C53" i="11"/>
  <c r="C54" i="9"/>
  <c r="C53" i="8"/>
  <c r="C54" i="8" l="1"/>
  <c r="C55" i="9"/>
  <c r="C54" i="11"/>
  <c r="C54" i="10"/>
  <c r="C55" i="10" l="1"/>
  <c r="C55" i="11"/>
  <c r="C56" i="9"/>
  <c r="C55" i="8"/>
  <c r="C56" i="8" l="1"/>
  <c r="C57" i="9"/>
  <c r="C56" i="11"/>
  <c r="C56" i="10"/>
  <c r="C57" i="10" l="1"/>
  <c r="C57" i="11"/>
  <c r="C58" i="9"/>
  <c r="C57" i="8"/>
  <c r="C58" i="8" l="1"/>
  <c r="C59" i="9"/>
  <c r="C58" i="11"/>
  <c r="C58" i="10"/>
  <c r="C59" i="10" l="1"/>
  <c r="C59" i="11"/>
  <c r="C60" i="9"/>
  <c r="C59" i="8"/>
  <c r="C60" i="8" l="1"/>
  <c r="C61" i="9"/>
  <c r="C60" i="11"/>
  <c r="C60" i="10"/>
  <c r="C61" i="10" l="1"/>
  <c r="C61" i="11"/>
  <c r="C62" i="9"/>
  <c r="C61" i="8"/>
  <c r="C62" i="8" l="1"/>
  <c r="C63" i="9"/>
  <c r="C62" i="11"/>
  <c r="C62" i="10"/>
  <c r="C63" i="10" l="1"/>
  <c r="C63" i="11"/>
  <c r="C64" i="9"/>
  <c r="C63" i="8"/>
  <c r="C64" i="8" l="1"/>
  <c r="C65" i="9"/>
  <c r="C64" i="11"/>
  <c r="C64" i="10"/>
  <c r="C65" i="10" l="1"/>
  <c r="C65" i="11"/>
  <c r="C66" i="9"/>
  <c r="C65" i="8"/>
  <c r="C66" i="8" l="1"/>
  <c r="C67" i="9"/>
  <c r="C66" i="11"/>
  <c r="C66" i="10"/>
  <c r="C67" i="10" l="1"/>
  <c r="C67" i="11"/>
  <c r="C68" i="9"/>
  <c r="C67" i="8"/>
  <c r="C68" i="8" l="1"/>
  <c r="C69" i="9"/>
  <c r="C68" i="11"/>
  <c r="C68" i="10"/>
  <c r="C69" i="10" l="1"/>
  <c r="C69" i="11"/>
  <c r="C70" i="9"/>
  <c r="C69" i="8"/>
  <c r="C70" i="8" l="1"/>
  <c r="C71" i="9"/>
  <c r="C70" i="11"/>
  <c r="C70" i="10"/>
  <c r="C71" i="10" l="1"/>
  <c r="C71" i="11"/>
  <c r="C72" i="9"/>
  <c r="C71" i="8"/>
  <c r="C72" i="8" l="1"/>
  <c r="C73" i="9"/>
  <c r="C72" i="11"/>
  <c r="C72" i="10"/>
  <c r="C73" i="10" l="1"/>
  <c r="C73" i="11"/>
  <c r="C74" i="9"/>
  <c r="C73" i="8"/>
  <c r="C74" i="8" l="1"/>
  <c r="C75" i="9"/>
  <c r="C74" i="11"/>
  <c r="C74" i="10"/>
  <c r="C75" i="10" l="1"/>
  <c r="C75" i="11"/>
  <c r="C76" i="9"/>
  <c r="C75" i="8"/>
  <c r="C76" i="8" l="1"/>
  <c r="C77" i="9"/>
  <c r="C76" i="11"/>
  <c r="C76" i="10"/>
  <c r="C77" i="10" l="1"/>
  <c r="C77" i="11"/>
  <c r="C78" i="9"/>
  <c r="C77" i="8"/>
  <c r="C78" i="8" l="1"/>
  <c r="C79" i="9"/>
  <c r="C78" i="11"/>
  <c r="C78" i="10"/>
  <c r="C79" i="10" l="1"/>
  <c r="C79" i="11"/>
  <c r="C80" i="9"/>
  <c r="C79" i="8"/>
  <c r="C80" i="8" l="1"/>
  <c r="C81" i="9"/>
  <c r="C80" i="11"/>
  <c r="C80" i="10"/>
  <c r="C81" i="10" l="1"/>
  <c r="C81" i="11"/>
  <c r="C82" i="9"/>
  <c r="C81" i="8"/>
  <c r="C82" i="8" l="1"/>
  <c r="C83" i="9"/>
  <c r="C82" i="11"/>
  <c r="C82" i="10"/>
  <c r="C83" i="10" l="1"/>
  <c r="C83" i="11"/>
  <c r="C84" i="9"/>
  <c r="C83" i="8"/>
  <c r="C84" i="8" l="1"/>
  <c r="C85" i="9"/>
  <c r="C84" i="11"/>
  <c r="C84" i="10"/>
  <c r="C85" i="10" l="1"/>
  <c r="C85" i="11"/>
  <c r="C86" i="9"/>
  <c r="C85" i="8"/>
  <c r="C86" i="8" l="1"/>
  <c r="C87" i="9"/>
  <c r="C86" i="11"/>
  <c r="C86" i="10"/>
  <c r="C87" i="10" l="1"/>
  <c r="C87" i="11"/>
  <c r="C88" i="9"/>
  <c r="C87" i="8"/>
  <c r="C88" i="8" l="1"/>
  <c r="C89" i="9"/>
  <c r="C88" i="11"/>
  <c r="C88" i="10"/>
  <c r="C89" i="10" l="1"/>
  <c r="C89" i="11"/>
  <c r="C90" i="9"/>
  <c r="C89" i="8"/>
  <c r="C90" i="8" l="1"/>
  <c r="C91" i="9"/>
  <c r="C90" i="11"/>
  <c r="C90" i="10"/>
  <c r="C91" i="10" l="1"/>
  <c r="C91" i="11"/>
  <c r="C92" i="9"/>
  <c r="C91" i="8"/>
  <c r="C92" i="8" l="1"/>
  <c r="C93" i="9"/>
  <c r="C92" i="11"/>
  <c r="C92" i="10"/>
  <c r="C93" i="10" l="1"/>
  <c r="C93" i="11"/>
  <c r="C94" i="9"/>
  <c r="C93" i="8"/>
  <c r="C94" i="8" l="1"/>
  <c r="C95" i="9"/>
  <c r="C94" i="11"/>
  <c r="C94" i="10"/>
  <c r="C95" i="10" l="1"/>
  <c r="C95" i="11"/>
  <c r="C96" i="9"/>
  <c r="C95" i="8"/>
  <c r="C96" i="8" l="1"/>
  <c r="C97" i="9"/>
  <c r="C96" i="11"/>
  <c r="C96" i="10"/>
  <c r="C97" i="10" l="1"/>
  <c r="C97" i="11"/>
  <c r="C98" i="9"/>
  <c r="C97" i="8"/>
  <c r="C98" i="8" l="1"/>
  <c r="C99" i="9"/>
  <c r="C98" i="11"/>
  <c r="C98" i="10"/>
  <c r="C99" i="10" l="1"/>
  <c r="C99" i="11"/>
  <c r="C100" i="9"/>
  <c r="C99" i="8"/>
  <c r="C100" i="8" l="1"/>
  <c r="C101" i="9"/>
  <c r="C100" i="11"/>
  <c r="C100" i="10"/>
  <c r="C101" i="10" l="1"/>
  <c r="C101" i="11"/>
  <c r="C102" i="9"/>
  <c r="C101" i="8"/>
  <c r="C102" i="8" l="1"/>
  <c r="C103" i="9"/>
  <c r="C102" i="11"/>
  <c r="C102" i="10"/>
  <c r="C103" i="10" l="1"/>
  <c r="C103" i="11"/>
  <c r="C104" i="9"/>
  <c r="C103" i="8"/>
  <c r="C104" i="8" l="1"/>
  <c r="C105" i="9"/>
  <c r="C104" i="11"/>
  <c r="C104" i="10"/>
  <c r="C105" i="10" l="1"/>
  <c r="C105" i="11"/>
  <c r="C106" i="9"/>
  <c r="C105" i="8"/>
  <c r="C106" i="8" l="1"/>
  <c r="C107" i="9"/>
  <c r="C106" i="11"/>
  <c r="C106" i="10"/>
  <c r="C107" i="10" l="1"/>
  <c r="C107" i="11"/>
  <c r="C108" i="9"/>
  <c r="C107" i="8"/>
  <c r="C108" i="8" l="1"/>
  <c r="C109" i="9"/>
  <c r="C108" i="11"/>
  <c r="C108" i="10"/>
  <c r="C109" i="10" l="1"/>
  <c r="C109" i="11"/>
  <c r="C110" i="9"/>
  <c r="D110" i="9" s="1"/>
  <c r="E110" i="9" s="1"/>
  <c r="C109" i="8"/>
  <c r="C110" i="8" l="1"/>
  <c r="D110" i="8" s="1"/>
  <c r="E110" i="8" s="1"/>
  <c r="C110" i="11"/>
  <c r="D110" i="11" s="1"/>
  <c r="E110" i="11" s="1"/>
  <c r="C110" i="10"/>
  <c r="D110" i="10" s="1"/>
  <c r="E110" i="10" s="1"/>
  <c r="D109" i="9"/>
  <c r="E109" i="9" l="1"/>
  <c r="D108" i="9"/>
  <c r="D109" i="10"/>
  <c r="D109" i="11"/>
  <c r="D109" i="8"/>
  <c r="E109" i="8" l="1"/>
  <c r="D108" i="8"/>
  <c r="E109" i="10"/>
  <c r="D108" i="10"/>
  <c r="E109" i="11"/>
  <c r="D108" i="11"/>
  <c r="E108" i="9"/>
  <c r="D107" i="9"/>
  <c r="E107" i="9" l="1"/>
  <c r="D106" i="9"/>
  <c r="E108" i="11"/>
  <c r="D107" i="11"/>
  <c r="E108" i="10"/>
  <c r="D107" i="10"/>
  <c r="E108" i="8"/>
  <c r="D107" i="8"/>
  <c r="E107" i="8" l="1"/>
  <c r="D106" i="8"/>
  <c r="E107" i="10"/>
  <c r="D106" i="10"/>
  <c r="E107" i="11"/>
  <c r="D106" i="11"/>
  <c r="E106" i="9"/>
  <c r="D105" i="9"/>
  <c r="E105" i="9" l="1"/>
  <c r="D104" i="9"/>
  <c r="E106" i="11"/>
  <c r="D105" i="11"/>
  <c r="E106" i="10"/>
  <c r="D105" i="10"/>
  <c r="E106" i="8"/>
  <c r="D105" i="8"/>
  <c r="E105" i="8" l="1"/>
  <c r="D104" i="8"/>
  <c r="E105" i="10"/>
  <c r="D104" i="10"/>
  <c r="E105" i="11"/>
  <c r="D104" i="11"/>
  <c r="E104" i="9"/>
  <c r="D103" i="9"/>
  <c r="E103" i="9" l="1"/>
  <c r="D102" i="9"/>
  <c r="E104" i="11"/>
  <c r="D103" i="11"/>
  <c r="E104" i="10"/>
  <c r="D103" i="10"/>
  <c r="E104" i="8"/>
  <c r="D103" i="8"/>
  <c r="E103" i="8" l="1"/>
  <c r="D102" i="8"/>
  <c r="E103" i="10"/>
  <c r="D102" i="10"/>
  <c r="E103" i="11"/>
  <c r="D102" i="11"/>
  <c r="E102" i="9"/>
  <c r="D101" i="9"/>
  <c r="E101" i="9" l="1"/>
  <c r="D100" i="9"/>
  <c r="E102" i="11"/>
  <c r="D101" i="11"/>
  <c r="E102" i="10"/>
  <c r="D101" i="10"/>
  <c r="E102" i="8"/>
  <c r="D101" i="8"/>
  <c r="E101" i="8" l="1"/>
  <c r="D100" i="8"/>
  <c r="E101" i="10"/>
  <c r="D100" i="10"/>
  <c r="E101" i="11"/>
  <c r="D100" i="11"/>
  <c r="E100" i="9"/>
  <c r="D99" i="9"/>
  <c r="E99" i="9" l="1"/>
  <c r="D98" i="9"/>
  <c r="E100" i="11"/>
  <c r="D99" i="11"/>
  <c r="E100" i="10"/>
  <c r="D99" i="10"/>
  <c r="E100" i="8"/>
  <c r="D99" i="8"/>
  <c r="E99" i="8" l="1"/>
  <c r="D98" i="8"/>
  <c r="E99" i="10"/>
  <c r="D98" i="10"/>
  <c r="E99" i="11"/>
  <c r="D98" i="11"/>
  <c r="E98" i="9"/>
  <c r="D97" i="9"/>
  <c r="E97" i="9" l="1"/>
  <c r="D96" i="9"/>
  <c r="E98" i="11"/>
  <c r="D97" i="11"/>
  <c r="E98" i="10"/>
  <c r="D97" i="10"/>
  <c r="E98" i="8"/>
  <c r="D97" i="8"/>
  <c r="E97" i="8" l="1"/>
  <c r="D96" i="8"/>
  <c r="E97" i="10"/>
  <c r="D96" i="10"/>
  <c r="E97" i="11"/>
  <c r="D96" i="11"/>
  <c r="E96" i="9"/>
  <c r="D95" i="9"/>
  <c r="E95" i="9" l="1"/>
  <c r="D94" i="9"/>
  <c r="E96" i="11"/>
  <c r="D95" i="11"/>
  <c r="E96" i="10"/>
  <c r="D95" i="10"/>
  <c r="E96" i="8"/>
  <c r="D95" i="8"/>
  <c r="E95" i="8" l="1"/>
  <c r="D94" i="8"/>
  <c r="E95" i="10"/>
  <c r="D94" i="10"/>
  <c r="E95" i="11"/>
  <c r="D94" i="11"/>
  <c r="E94" i="9"/>
  <c r="D93" i="9"/>
  <c r="E93" i="9" l="1"/>
  <c r="D92" i="9"/>
  <c r="E94" i="11"/>
  <c r="D93" i="11"/>
  <c r="E94" i="10"/>
  <c r="D93" i="10"/>
  <c r="E94" i="8"/>
  <c r="D93" i="8"/>
  <c r="E93" i="8" l="1"/>
  <c r="D92" i="8"/>
  <c r="E93" i="10"/>
  <c r="D92" i="10"/>
  <c r="E93" i="11"/>
  <c r="D92" i="11"/>
  <c r="E92" i="9"/>
  <c r="D91" i="9"/>
  <c r="E91" i="9" l="1"/>
  <c r="D90" i="9"/>
  <c r="E92" i="11"/>
  <c r="D91" i="11"/>
  <c r="E92" i="10"/>
  <c r="D91" i="10"/>
  <c r="E92" i="8"/>
  <c r="D91" i="8"/>
  <c r="E91" i="8" l="1"/>
  <c r="D90" i="8"/>
  <c r="E91" i="10"/>
  <c r="D90" i="10"/>
  <c r="E91" i="11"/>
  <c r="D90" i="11"/>
  <c r="E90" i="9"/>
  <c r="D89" i="9"/>
  <c r="E89" i="9" l="1"/>
  <c r="D88" i="9"/>
  <c r="E90" i="11"/>
  <c r="D89" i="11"/>
  <c r="E90" i="10"/>
  <c r="D89" i="10"/>
  <c r="E90" i="8"/>
  <c r="D89" i="8"/>
  <c r="E89" i="8" l="1"/>
  <c r="D88" i="8"/>
  <c r="E89" i="10"/>
  <c r="D88" i="10"/>
  <c r="E89" i="11"/>
  <c r="D88" i="11"/>
  <c r="E88" i="9"/>
  <c r="D87" i="9"/>
  <c r="E87" i="9" l="1"/>
  <c r="D86" i="9"/>
  <c r="E88" i="11"/>
  <c r="D87" i="11"/>
  <c r="E88" i="10"/>
  <c r="D87" i="10"/>
  <c r="E88" i="8"/>
  <c r="D87" i="8"/>
  <c r="E87" i="8" l="1"/>
  <c r="D86" i="8"/>
  <c r="E87" i="10"/>
  <c r="D86" i="10"/>
  <c r="E87" i="11"/>
  <c r="D86" i="11"/>
  <c r="E86" i="9"/>
  <c r="D85" i="9"/>
  <c r="E85" i="9" l="1"/>
  <c r="D84" i="9"/>
  <c r="E86" i="11"/>
  <c r="D85" i="11"/>
  <c r="E86" i="10"/>
  <c r="D85" i="10"/>
  <c r="E86" i="8"/>
  <c r="D85" i="8"/>
  <c r="E85" i="8" l="1"/>
  <c r="D84" i="8"/>
  <c r="E85" i="10"/>
  <c r="D84" i="10"/>
  <c r="E85" i="11"/>
  <c r="D84" i="11"/>
  <c r="E84" i="9"/>
  <c r="D83" i="9"/>
  <c r="E83" i="9" l="1"/>
  <c r="D82" i="9"/>
  <c r="E84" i="11"/>
  <c r="D83" i="11"/>
  <c r="E84" i="10"/>
  <c r="D83" i="10"/>
  <c r="E84" i="8"/>
  <c r="D83" i="8"/>
  <c r="E83" i="8" l="1"/>
  <c r="D82" i="8"/>
  <c r="E83" i="10"/>
  <c r="D82" i="10"/>
  <c r="E83" i="11"/>
  <c r="D82" i="11"/>
  <c r="E82" i="9"/>
  <c r="D81" i="9"/>
  <c r="E81" i="9" l="1"/>
  <c r="D80" i="9"/>
  <c r="E82" i="11"/>
  <c r="D81" i="11"/>
  <c r="E82" i="10"/>
  <c r="D81" i="10"/>
  <c r="E82" i="8"/>
  <c r="D81" i="8"/>
  <c r="E81" i="8" l="1"/>
  <c r="D80" i="8"/>
  <c r="E81" i="10"/>
  <c r="D80" i="10"/>
  <c r="E81" i="11"/>
  <c r="D80" i="11"/>
  <c r="E80" i="9"/>
  <c r="D79" i="9"/>
  <c r="E79" i="9" l="1"/>
  <c r="D78" i="9"/>
  <c r="E80" i="11"/>
  <c r="D79" i="11"/>
  <c r="E80" i="10"/>
  <c r="D79" i="10"/>
  <c r="E80" i="8"/>
  <c r="D79" i="8"/>
  <c r="E79" i="8" l="1"/>
  <c r="D78" i="8"/>
  <c r="E79" i="10"/>
  <c r="D78" i="10"/>
  <c r="E79" i="11"/>
  <c r="D78" i="11"/>
  <c r="E78" i="9"/>
  <c r="D77" i="9"/>
  <c r="E77" i="9" l="1"/>
  <c r="D76" i="9"/>
  <c r="E78" i="11"/>
  <c r="D77" i="11"/>
  <c r="E78" i="10"/>
  <c r="D77" i="10"/>
  <c r="E78" i="8"/>
  <c r="D77" i="8"/>
  <c r="E77" i="8" l="1"/>
  <c r="D76" i="8"/>
  <c r="E77" i="10"/>
  <c r="D76" i="10"/>
  <c r="E77" i="11"/>
  <c r="D76" i="11"/>
  <c r="E76" i="9"/>
  <c r="D75" i="9"/>
  <c r="E75" i="9" l="1"/>
  <c r="D74" i="9"/>
  <c r="E76" i="11"/>
  <c r="D75" i="11"/>
  <c r="E76" i="10"/>
  <c r="D75" i="10"/>
  <c r="E76" i="8"/>
  <c r="D75" i="8"/>
  <c r="E75" i="8" l="1"/>
  <c r="D74" i="8"/>
  <c r="E75" i="10"/>
  <c r="D74" i="10"/>
  <c r="E75" i="11"/>
  <c r="D74" i="11"/>
  <c r="E74" i="9"/>
  <c r="D73" i="9"/>
  <c r="E73" i="9" l="1"/>
  <c r="D72" i="9"/>
  <c r="E74" i="11"/>
  <c r="D73" i="11"/>
  <c r="E74" i="10"/>
  <c r="D73" i="10"/>
  <c r="E74" i="8"/>
  <c r="D73" i="8"/>
  <c r="E73" i="8" l="1"/>
  <c r="D72" i="8"/>
  <c r="E73" i="10"/>
  <c r="D72" i="10"/>
  <c r="E73" i="11"/>
  <c r="D72" i="11"/>
  <c r="E72" i="9"/>
  <c r="D71" i="9"/>
  <c r="E71" i="9" l="1"/>
  <c r="D70" i="9"/>
  <c r="E72" i="11"/>
  <c r="D71" i="11"/>
  <c r="E72" i="10"/>
  <c r="D71" i="10"/>
  <c r="E72" i="8"/>
  <c r="D71" i="8"/>
  <c r="E71" i="8" l="1"/>
  <c r="D70" i="8"/>
  <c r="E71" i="10"/>
  <c r="D70" i="10"/>
  <c r="E71" i="11"/>
  <c r="D70" i="11"/>
  <c r="E70" i="9"/>
  <c r="D69" i="9"/>
  <c r="E69" i="9" l="1"/>
  <c r="D68" i="9"/>
  <c r="E70" i="11"/>
  <c r="D69" i="11"/>
  <c r="E70" i="10"/>
  <c r="D69" i="10"/>
  <c r="E70" i="8"/>
  <c r="D69" i="8"/>
  <c r="E69" i="8" l="1"/>
  <c r="D68" i="8"/>
  <c r="E69" i="10"/>
  <c r="D68" i="10"/>
  <c r="E69" i="11"/>
  <c r="D68" i="11"/>
  <c r="E68" i="9"/>
  <c r="D67" i="9"/>
  <c r="E67" i="9" l="1"/>
  <c r="D66" i="9"/>
  <c r="E68" i="11"/>
  <c r="D67" i="11"/>
  <c r="E68" i="10"/>
  <c r="D67" i="10"/>
  <c r="E68" i="8"/>
  <c r="D67" i="8"/>
  <c r="E67" i="8" l="1"/>
  <c r="D66" i="8"/>
  <c r="E67" i="10"/>
  <c r="D66" i="10"/>
  <c r="E67" i="11"/>
  <c r="D66" i="11"/>
  <c r="E66" i="9"/>
  <c r="D65" i="9"/>
  <c r="E65" i="9" l="1"/>
  <c r="D64" i="9"/>
  <c r="E66" i="11"/>
  <c r="D65" i="11"/>
  <c r="E66" i="10"/>
  <c r="D65" i="10"/>
  <c r="E66" i="8"/>
  <c r="D65" i="8"/>
  <c r="E65" i="8" l="1"/>
  <c r="D64" i="8"/>
  <c r="E65" i="10"/>
  <c r="D64" i="10"/>
  <c r="E65" i="11"/>
  <c r="D64" i="11"/>
  <c r="E64" i="9"/>
  <c r="D63" i="9"/>
  <c r="E63" i="9" l="1"/>
  <c r="D62" i="9"/>
  <c r="E64" i="11"/>
  <c r="D63" i="11"/>
  <c r="E64" i="10"/>
  <c r="D63" i="10"/>
  <c r="E64" i="8"/>
  <c r="D63" i="8"/>
  <c r="E63" i="8" l="1"/>
  <c r="D62" i="8"/>
  <c r="E63" i="10"/>
  <c r="D62" i="10"/>
  <c r="E63" i="11"/>
  <c r="D62" i="11"/>
  <c r="E62" i="9"/>
  <c r="D61" i="9"/>
  <c r="E61" i="9" l="1"/>
  <c r="D60" i="9"/>
  <c r="E62" i="11"/>
  <c r="D61" i="11"/>
  <c r="E62" i="10"/>
  <c r="D61" i="10"/>
  <c r="E62" i="8"/>
  <c r="D61" i="8"/>
  <c r="E61" i="8" l="1"/>
  <c r="D60" i="8"/>
  <c r="E61" i="10"/>
  <c r="D60" i="10"/>
  <c r="E61" i="11"/>
  <c r="D60" i="11"/>
  <c r="E60" i="9"/>
  <c r="D59" i="9"/>
  <c r="E59" i="9" l="1"/>
  <c r="D58" i="9"/>
  <c r="E60" i="11"/>
  <c r="D59" i="11"/>
  <c r="E60" i="10"/>
  <c r="D59" i="10"/>
  <c r="E60" i="8"/>
  <c r="D59" i="8"/>
  <c r="E59" i="8" l="1"/>
  <c r="D58" i="8"/>
  <c r="E59" i="10"/>
  <c r="D58" i="10"/>
  <c r="E59" i="11"/>
  <c r="D58" i="11"/>
  <c r="E58" i="9"/>
  <c r="D57" i="9"/>
  <c r="E57" i="9" l="1"/>
  <c r="D56" i="9"/>
  <c r="E58" i="11"/>
  <c r="D57" i="11"/>
  <c r="E58" i="10"/>
  <c r="D57" i="10"/>
  <c r="E58" i="8"/>
  <c r="D57" i="8"/>
  <c r="E57" i="8" l="1"/>
  <c r="D56" i="8"/>
  <c r="E57" i="10"/>
  <c r="D56" i="10"/>
  <c r="E57" i="11"/>
  <c r="D56" i="11"/>
  <c r="E56" i="9"/>
  <c r="D55" i="9"/>
  <c r="E55" i="9" l="1"/>
  <c r="D54" i="9"/>
  <c r="E56" i="11"/>
  <c r="D55" i="11"/>
  <c r="E56" i="10"/>
  <c r="D55" i="10"/>
  <c r="E56" i="8"/>
  <c r="D55" i="8"/>
  <c r="E55" i="8" l="1"/>
  <c r="D54" i="8"/>
  <c r="E55" i="10"/>
  <c r="D54" i="10"/>
  <c r="E55" i="11"/>
  <c r="D54" i="11"/>
  <c r="E54" i="9"/>
  <c r="D53" i="9"/>
  <c r="E53" i="9" l="1"/>
  <c r="D52" i="9"/>
  <c r="E54" i="11"/>
  <c r="D53" i="11"/>
  <c r="E54" i="10"/>
  <c r="D53" i="10"/>
  <c r="E54" i="8"/>
  <c r="D53" i="8"/>
  <c r="E53" i="8" l="1"/>
  <c r="D52" i="8"/>
  <c r="E53" i="10"/>
  <c r="D52" i="10"/>
  <c r="E53" i="11"/>
  <c r="D52" i="11"/>
  <c r="E52" i="9"/>
  <c r="D51" i="9"/>
  <c r="E51" i="9" l="1"/>
  <c r="D50" i="9"/>
  <c r="E52" i="11"/>
  <c r="D51" i="11"/>
  <c r="E52" i="10"/>
  <c r="D51" i="10"/>
  <c r="E52" i="8"/>
  <c r="D51" i="8"/>
  <c r="E51" i="8" l="1"/>
  <c r="D50" i="8"/>
  <c r="E51" i="10"/>
  <c r="D50" i="10"/>
  <c r="E51" i="11"/>
  <c r="D50" i="11"/>
  <c r="E50" i="9"/>
  <c r="D49" i="9"/>
  <c r="E49" i="9" l="1"/>
  <c r="D48" i="9"/>
  <c r="E50" i="11"/>
  <c r="D49" i="11"/>
  <c r="E50" i="10"/>
  <c r="D49" i="10"/>
  <c r="E50" i="8"/>
  <c r="D49" i="8"/>
  <c r="E49" i="8" l="1"/>
  <c r="D48" i="8"/>
  <c r="E49" i="10"/>
  <c r="D48" i="10"/>
  <c r="E49" i="11"/>
  <c r="D48" i="11"/>
  <c r="E48" i="9"/>
  <c r="D47" i="9"/>
  <c r="E47" i="9" l="1"/>
  <c r="D46" i="9"/>
  <c r="E48" i="11"/>
  <c r="D47" i="11"/>
  <c r="E48" i="10"/>
  <c r="D47" i="10"/>
  <c r="E48" i="8"/>
  <c r="D47" i="8"/>
  <c r="E47" i="8" l="1"/>
  <c r="D46" i="8"/>
  <c r="E47" i="10"/>
  <c r="D46" i="10"/>
  <c r="E47" i="11"/>
  <c r="D46" i="11"/>
  <c r="E46" i="9"/>
  <c r="D45" i="9"/>
  <c r="E45" i="9" l="1"/>
  <c r="D44" i="9"/>
  <c r="E46" i="11"/>
  <c r="D45" i="11"/>
  <c r="E46" i="10"/>
  <c r="D45" i="10"/>
  <c r="E46" i="8"/>
  <c r="D45" i="8"/>
  <c r="E45" i="8" l="1"/>
  <c r="D44" i="8"/>
  <c r="E45" i="10"/>
  <c r="D44" i="10"/>
  <c r="E45" i="11"/>
  <c r="D44" i="11"/>
  <c r="E44" i="9"/>
  <c r="D43" i="9"/>
  <c r="E43" i="9" l="1"/>
  <c r="D42" i="9"/>
  <c r="E44" i="11"/>
  <c r="D43" i="11"/>
  <c r="E44" i="10"/>
  <c r="D43" i="10"/>
  <c r="E44" i="8"/>
  <c r="D43" i="8"/>
  <c r="E43" i="8" l="1"/>
  <c r="D42" i="8"/>
  <c r="E43" i="10"/>
  <c r="D42" i="10"/>
  <c r="E43" i="11"/>
  <c r="D42" i="11"/>
  <c r="E42" i="9"/>
  <c r="D41" i="9"/>
  <c r="E41" i="9" l="1"/>
  <c r="D40" i="9"/>
  <c r="E42" i="11"/>
  <c r="D41" i="11"/>
  <c r="E42" i="10"/>
  <c r="D41" i="10"/>
  <c r="E42" i="8"/>
  <c r="D41" i="8"/>
  <c r="E41" i="8" l="1"/>
  <c r="D40" i="8"/>
  <c r="E41" i="10"/>
  <c r="D40" i="10"/>
  <c r="E41" i="11"/>
  <c r="D40" i="11"/>
  <c r="E40" i="9"/>
  <c r="D39" i="9"/>
  <c r="E39" i="9" l="1"/>
  <c r="D38" i="9"/>
  <c r="E40" i="11"/>
  <c r="D39" i="11"/>
  <c r="E40" i="10"/>
  <c r="D39" i="10"/>
  <c r="E40" i="8"/>
  <c r="D39" i="8"/>
  <c r="E39" i="8" l="1"/>
  <c r="D38" i="8"/>
  <c r="E39" i="10"/>
  <c r="D38" i="10"/>
  <c r="E39" i="11"/>
  <c r="D38" i="11"/>
  <c r="E38" i="9"/>
  <c r="D37" i="9"/>
  <c r="E37" i="9" l="1"/>
  <c r="D36" i="9"/>
  <c r="E38" i="11"/>
  <c r="D37" i="11"/>
  <c r="E38" i="10"/>
  <c r="D37" i="10"/>
  <c r="E38" i="8"/>
  <c r="D37" i="8"/>
  <c r="E37" i="8" l="1"/>
  <c r="D36" i="8"/>
  <c r="E37" i="10"/>
  <c r="D36" i="10"/>
  <c r="E37" i="11"/>
  <c r="D36" i="11"/>
  <c r="E36" i="9"/>
  <c r="D35" i="9"/>
  <c r="E35" i="9" l="1"/>
  <c r="D34" i="9"/>
  <c r="E36" i="11"/>
  <c r="D35" i="11"/>
  <c r="E36" i="10"/>
  <c r="D35" i="10"/>
  <c r="E36" i="8"/>
  <c r="D35" i="8"/>
  <c r="E35" i="8" l="1"/>
  <c r="D34" i="8"/>
  <c r="E35" i="10"/>
  <c r="D34" i="10"/>
  <c r="E35" i="11"/>
  <c r="D34" i="11"/>
  <c r="E34" i="9"/>
  <c r="D33" i="9"/>
  <c r="E33" i="9" l="1"/>
  <c r="D32" i="9"/>
  <c r="E34" i="11"/>
  <c r="D33" i="11"/>
  <c r="E34" i="10"/>
  <c r="D33" i="10"/>
  <c r="E34" i="8"/>
  <c r="D33" i="8"/>
  <c r="E33" i="8" l="1"/>
  <c r="D32" i="8"/>
  <c r="E33" i="10"/>
  <c r="D32" i="10"/>
  <c r="E33" i="11"/>
  <c r="D32" i="11"/>
  <c r="E32" i="9"/>
  <c r="D31" i="9"/>
  <c r="E31" i="9" l="1"/>
  <c r="D30" i="9"/>
  <c r="E32" i="11"/>
  <c r="D31" i="11"/>
  <c r="E32" i="10"/>
  <c r="D31" i="10"/>
  <c r="E32" i="8"/>
  <c r="D31" i="8"/>
  <c r="E31" i="8" l="1"/>
  <c r="D30" i="8"/>
  <c r="E31" i="10"/>
  <c r="D30" i="10"/>
  <c r="E31" i="11"/>
  <c r="D30" i="11"/>
  <c r="E30" i="9"/>
  <c r="D29" i="9"/>
  <c r="E29" i="9" l="1"/>
  <c r="D28" i="9"/>
  <c r="E30" i="11"/>
  <c r="D29" i="11"/>
  <c r="E30" i="10"/>
  <c r="D29" i="10"/>
  <c r="E30" i="8"/>
  <c r="D29" i="8"/>
  <c r="E29" i="8" l="1"/>
  <c r="D28" i="8"/>
  <c r="E29" i="10"/>
  <c r="D28" i="10"/>
  <c r="E29" i="11"/>
  <c r="D28" i="11"/>
  <c r="E28" i="9"/>
  <c r="D27" i="9"/>
  <c r="E27" i="9" l="1"/>
  <c r="D26" i="9"/>
  <c r="E28" i="11"/>
  <c r="D27" i="11"/>
  <c r="E28" i="10"/>
  <c r="D27" i="10"/>
  <c r="E28" i="8"/>
  <c r="D27" i="8"/>
  <c r="E27" i="8" l="1"/>
  <c r="D26" i="8"/>
  <c r="E27" i="10"/>
  <c r="D26" i="10"/>
  <c r="E27" i="11"/>
  <c r="D26" i="11"/>
  <c r="E26" i="9"/>
  <c r="D25" i="9"/>
  <c r="E25" i="9" l="1"/>
  <c r="D24" i="9"/>
  <c r="E26" i="11"/>
  <c r="D25" i="11"/>
  <c r="E26" i="10"/>
  <c r="D25" i="10"/>
  <c r="E26" i="8"/>
  <c r="D25" i="8"/>
  <c r="E25" i="8" l="1"/>
  <c r="D24" i="8"/>
  <c r="E25" i="10"/>
  <c r="D24" i="10"/>
  <c r="E25" i="11"/>
  <c r="D24" i="11"/>
  <c r="E24" i="9"/>
  <c r="D23" i="9"/>
  <c r="E23" i="9" l="1"/>
  <c r="D22" i="9"/>
  <c r="E24" i="11"/>
  <c r="D23" i="11"/>
  <c r="E24" i="10"/>
  <c r="D23" i="10"/>
  <c r="E24" i="8"/>
  <c r="D23" i="8"/>
  <c r="E23" i="8" l="1"/>
  <c r="D22" i="8"/>
  <c r="E23" i="10"/>
  <c r="D22" i="10"/>
  <c r="E23" i="11"/>
  <c r="D22" i="11"/>
  <c r="E22" i="9"/>
  <c r="D21" i="9"/>
  <c r="E21" i="9" l="1"/>
  <c r="D20" i="9"/>
  <c r="E22" i="11"/>
  <c r="D21" i="11"/>
  <c r="E22" i="10"/>
  <c r="D21" i="10"/>
  <c r="E22" i="8"/>
  <c r="D21" i="8"/>
  <c r="E21" i="8" l="1"/>
  <c r="D20" i="8"/>
  <c r="E21" i="10"/>
  <c r="D20" i="10"/>
  <c r="E21" i="11"/>
  <c r="D20" i="11"/>
  <c r="E20" i="9"/>
  <c r="D19" i="9"/>
  <c r="E19" i="9" l="1"/>
  <c r="D18" i="9"/>
  <c r="E20" i="11"/>
  <c r="D19" i="11"/>
  <c r="E20" i="10"/>
  <c r="D19" i="10"/>
  <c r="E20" i="8"/>
  <c r="D19" i="8"/>
  <c r="E19" i="8" l="1"/>
  <c r="D18" i="8"/>
  <c r="E19" i="10"/>
  <c r="D18" i="10"/>
  <c r="E19" i="11"/>
  <c r="D18" i="11"/>
  <c r="E18" i="9"/>
  <c r="D17" i="9"/>
  <c r="E17" i="9" l="1"/>
  <c r="D16" i="9"/>
  <c r="E18" i="11"/>
  <c r="D17" i="11"/>
  <c r="E18" i="10"/>
  <c r="D17" i="10"/>
  <c r="E18" i="8"/>
  <c r="D17" i="8"/>
  <c r="E17" i="8" l="1"/>
  <c r="D16" i="8"/>
  <c r="E17" i="10"/>
  <c r="D16" i="10"/>
  <c r="E17" i="11"/>
  <c r="D16" i="11"/>
  <c r="E16" i="9"/>
  <c r="D15" i="9"/>
  <c r="E15" i="9" l="1"/>
  <c r="D14" i="9"/>
  <c r="E16" i="11"/>
  <c r="D15" i="11"/>
  <c r="E16" i="10"/>
  <c r="D15" i="10"/>
  <c r="E16" i="8"/>
  <c r="D15" i="8"/>
  <c r="E15" i="8" l="1"/>
  <c r="D14" i="8"/>
  <c r="E15" i="10"/>
  <c r="D14" i="10"/>
  <c r="E15" i="11"/>
  <c r="D14" i="11"/>
  <c r="E14" i="9"/>
  <c r="D13" i="9"/>
  <c r="E13" i="9" l="1"/>
  <c r="D12" i="9"/>
  <c r="E14" i="11"/>
  <c r="D13" i="11"/>
  <c r="E14" i="10"/>
  <c r="D13" i="10"/>
  <c r="E14" i="8"/>
  <c r="D13" i="8"/>
  <c r="E13" i="8" l="1"/>
  <c r="D12" i="8"/>
  <c r="E13" i="10"/>
  <c r="D12" i="10"/>
  <c r="E13" i="11"/>
  <c r="D12" i="11"/>
  <c r="E12" i="9"/>
  <c r="D11" i="9"/>
  <c r="E11" i="9" l="1"/>
  <c r="D10" i="9"/>
  <c r="E12" i="11"/>
  <c r="D11" i="11"/>
  <c r="E12" i="10"/>
  <c r="D11" i="10"/>
  <c r="E12" i="8"/>
  <c r="D11" i="8"/>
  <c r="E11" i="8" l="1"/>
  <c r="D10" i="8"/>
  <c r="E11" i="10"/>
  <c r="D10" i="10"/>
  <c r="E11" i="11"/>
  <c r="D10" i="11"/>
  <c r="E10" i="9"/>
  <c r="D9" i="9"/>
  <c r="E9" i="9" l="1"/>
  <c r="D8" i="9"/>
  <c r="E10" i="11"/>
  <c r="D9" i="11"/>
  <c r="E10" i="10"/>
  <c r="D9" i="10"/>
  <c r="E10" i="8"/>
  <c r="D9" i="8"/>
  <c r="E9" i="8" l="1"/>
  <c r="D8" i="8"/>
  <c r="E9" i="10"/>
  <c r="D8" i="10"/>
  <c r="E9" i="11"/>
  <c r="D8" i="11"/>
  <c r="E8" i="9"/>
  <c r="D7" i="9"/>
  <c r="E7" i="9" l="1"/>
  <c r="D6" i="9"/>
  <c r="E8" i="11"/>
  <c r="D7" i="11"/>
  <c r="E8" i="10"/>
  <c r="D7" i="10"/>
  <c r="E8" i="8"/>
  <c r="D7" i="8"/>
  <c r="E7" i="8" l="1"/>
  <c r="D6" i="8"/>
  <c r="E7" i="10"/>
  <c r="D6" i="10"/>
  <c r="E7" i="11"/>
  <c r="D6" i="11"/>
  <c r="E6" i="9"/>
  <c r="D5" i="9"/>
  <c r="E5" i="9" l="1"/>
  <c r="D4" i="9"/>
  <c r="E6" i="11"/>
  <c r="D5" i="11"/>
  <c r="E6" i="10"/>
  <c r="D5" i="10"/>
  <c r="E6" i="8"/>
  <c r="D5" i="8"/>
  <c r="E5" i="8" l="1"/>
  <c r="D4" i="8"/>
  <c r="E5" i="10"/>
  <c r="D4" i="10"/>
  <c r="E5" i="11"/>
  <c r="D4" i="11"/>
  <c r="E4" i="9"/>
  <c r="D3" i="9"/>
  <c r="E3" i="9" l="1"/>
  <c r="D2" i="9"/>
  <c r="E2" i="9" s="1"/>
  <c r="E4" i="11"/>
  <c r="D3" i="11"/>
  <c r="E4" i="10"/>
  <c r="D3" i="10"/>
  <c r="E4" i="8"/>
  <c r="D3" i="8"/>
  <c r="E3" i="8" l="1"/>
  <c r="D2" i="8"/>
  <c r="E2" i="8" s="1"/>
  <c r="E3" i="10"/>
  <c r="D2" i="10"/>
  <c r="E2" i="10" s="1"/>
  <c r="E3" i="11"/>
  <c r="D2" i="11"/>
  <c r="E2" i="11" s="1"/>
  <c r="H52" i="1" l="1"/>
  <c r="G52" i="1"/>
  <c r="H51" i="1"/>
  <c r="G51" i="1"/>
  <c r="H50" i="1"/>
  <c r="G50" i="1"/>
  <c r="H49" i="1"/>
  <c r="G49" i="1"/>
  <c r="H48" i="1"/>
  <c r="G48" i="1"/>
  <c r="H47" i="1"/>
  <c r="G47" i="1"/>
  <c r="H46" i="1"/>
  <c r="G46" i="1"/>
  <c r="H45" i="1"/>
  <c r="G45" i="1"/>
  <c r="H44" i="1"/>
  <c r="G44" i="1"/>
  <c r="H43" i="1"/>
  <c r="G43" i="1"/>
  <c r="H42" i="1"/>
  <c r="G42" i="1"/>
  <c r="H41" i="1"/>
  <c r="G41" i="1"/>
  <c r="H40" i="1"/>
  <c r="G40" i="1"/>
  <c r="H39" i="1"/>
  <c r="G39" i="1"/>
  <c r="H38" i="1"/>
  <c r="G38" i="1"/>
  <c r="H37" i="1"/>
  <c r="G37" i="1"/>
  <c r="H36" i="1"/>
  <c r="G36" i="1"/>
  <c r="H35" i="1"/>
  <c r="G35" i="1"/>
  <c r="H34" i="1"/>
  <c r="G34" i="1"/>
  <c r="H33" i="1"/>
  <c r="G33" i="1"/>
  <c r="H32" i="1"/>
  <c r="G32" i="1"/>
  <c r="H31" i="1"/>
  <c r="G31" i="1"/>
  <c r="H30" i="1"/>
  <c r="G30" i="1"/>
  <c r="H29" i="1"/>
  <c r="G29" i="1"/>
  <c r="H28" i="1"/>
  <c r="G28" i="1"/>
  <c r="H27" i="1"/>
  <c r="G27" i="1"/>
  <c r="H26" i="1"/>
  <c r="G26" i="1"/>
  <c r="H25" i="1"/>
  <c r="G25" i="1"/>
  <c r="H24" i="1"/>
  <c r="G24" i="1"/>
  <c r="H23" i="1"/>
  <c r="G23" i="1"/>
  <c r="H22" i="1"/>
  <c r="G22" i="1"/>
  <c r="H21" i="1"/>
  <c r="G21" i="1"/>
  <c r="H20" i="1"/>
  <c r="G20" i="1"/>
  <c r="H19" i="1"/>
  <c r="G19" i="1"/>
  <c r="H18" i="1"/>
  <c r="G18" i="1"/>
  <c r="H17" i="1"/>
  <c r="G17" i="1"/>
  <c r="H16" i="1"/>
  <c r="G16" i="1"/>
  <c r="H15" i="1"/>
  <c r="G15" i="1"/>
  <c r="H14" i="1"/>
  <c r="G14" i="1"/>
  <c r="H13" i="1"/>
  <c r="G13" i="1"/>
  <c r="H12" i="1"/>
  <c r="G12" i="1"/>
  <c r="H11" i="1"/>
  <c r="G11" i="1"/>
  <c r="H10" i="1"/>
  <c r="G10" i="1"/>
  <c r="H9" i="1"/>
  <c r="G9" i="1"/>
  <c r="H8" i="1"/>
  <c r="G8" i="1"/>
  <c r="H7" i="1"/>
  <c r="G7" i="1"/>
  <c r="H6" i="1"/>
  <c r="G6" i="1"/>
  <c r="H5" i="1"/>
  <c r="G5" i="1"/>
  <c r="H4" i="1"/>
  <c r="G4" i="1"/>
  <c r="H3" i="1"/>
  <c r="G3" i="1"/>
  <c r="H22" i="2"/>
  <c r="H21" i="2"/>
  <c r="I22" i="2"/>
  <c r="I21" i="2"/>
  <c r="L13" i="2" s="1"/>
  <c r="K15" i="2" l="1"/>
  <c r="K18" i="2"/>
  <c r="L15" i="2"/>
  <c r="L7" i="2"/>
  <c r="K5" i="2"/>
  <c r="K13" i="2"/>
  <c r="L18" i="2"/>
  <c r="L10" i="2"/>
  <c r="L2" i="2"/>
  <c r="K12" i="2"/>
  <c r="L5" i="2"/>
  <c r="K7" i="2"/>
  <c r="L16" i="2"/>
  <c r="L8" i="2"/>
  <c r="K6" i="2"/>
  <c r="K14" i="2"/>
  <c r="L19" i="2"/>
  <c r="L11" i="2"/>
  <c r="L3" i="2"/>
  <c r="K9" i="2"/>
  <c r="K17" i="2"/>
  <c r="L14" i="2"/>
  <c r="L6" i="2"/>
  <c r="K8" i="2"/>
  <c r="K16" i="2"/>
  <c r="L17" i="2"/>
  <c r="L9" i="2"/>
  <c r="K3" i="2"/>
  <c r="K11" i="2"/>
  <c r="K19" i="2"/>
  <c r="K4" i="2"/>
  <c r="L12" i="2"/>
  <c r="L4" i="2"/>
  <c r="K10" i="2"/>
  <c r="K2" i="2"/>
</calcChain>
</file>

<file path=xl/comments1.xml><?xml version="1.0" encoding="utf-8"?>
<comments xmlns="http://schemas.openxmlformats.org/spreadsheetml/2006/main">
  <authors>
    <author>Rama Duvvuri</author>
  </authors>
  <commentList>
    <comment ref="A2" authorId="0" shapeId="0">
      <text>
        <r>
          <rPr>
            <sz val="10"/>
            <color indexed="81"/>
            <rFont val="Tahoma"/>
            <family val="2"/>
          </rPr>
          <t xml:space="preserve">Complete the following instructions, and upload this spreadsheet by 11:59 pm next Tuesday.  The answers for all problems should either be recorded in the tab for that problem.  Please save file as 'FirstName LastName HW3.xlsm'. Upload the homework on ReggieNet.
</t>
        </r>
        <r>
          <rPr>
            <b/>
            <sz val="10"/>
            <color indexed="81"/>
            <rFont val="Tahoma"/>
            <family val="2"/>
          </rPr>
          <t>If there is a Security Warning show up on top, click Enable Content.
Please type your ULID in the cell P5 in "Instructions" tab.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u/>
            <sz val="10"/>
            <color indexed="81"/>
            <rFont val="Tahoma"/>
            <family val="2"/>
          </rPr>
          <t>Problem 1</t>
        </r>
        <r>
          <rPr>
            <b/>
            <sz val="10"/>
            <color indexed="81"/>
            <rFont val="Tahoma"/>
            <family val="2"/>
          </rPr>
          <t xml:space="preserve"> (4 pts)</t>
        </r>
        <r>
          <rPr>
            <sz val="10"/>
            <color indexed="81"/>
            <rFont val="Tahoma"/>
            <family val="2"/>
          </rPr>
          <t xml:space="preserve">
a)  (2 pts) In the data provided on the Problem 1 tab, create a conditional format for column G if the growth rate less than  0%.  Cells that satisfy this condition format should have their font in </t>
        </r>
        <r>
          <rPr>
            <b/>
            <sz val="10"/>
            <color indexed="81"/>
            <rFont val="Tahoma"/>
            <family val="2"/>
          </rPr>
          <t>BOLD</t>
        </r>
        <r>
          <rPr>
            <sz val="10"/>
            <color indexed="81"/>
            <rFont val="Tahoma"/>
            <family val="2"/>
          </rPr>
          <t xml:space="preserve"> and the pattern should fill with </t>
        </r>
        <r>
          <rPr>
            <b/>
            <sz val="10"/>
            <color indexed="81"/>
            <rFont val="Tahoma"/>
            <family val="2"/>
          </rPr>
          <t>red.</t>
        </r>
        <r>
          <rPr>
            <sz val="10"/>
            <color indexed="81"/>
            <rFont val="Tahoma"/>
            <family val="2"/>
          </rPr>
          <t xml:space="preserve">  Add a second conditional format if the growth rate is  excees 5%.  Cells that satisfy this condition should have their font in </t>
        </r>
        <r>
          <rPr>
            <b/>
            <sz val="10"/>
            <color indexed="81"/>
            <rFont val="Tahoma"/>
            <family val="2"/>
          </rPr>
          <t>BOLD</t>
        </r>
        <r>
          <rPr>
            <sz val="10"/>
            <color indexed="81"/>
            <rFont val="Tahoma"/>
            <family val="2"/>
          </rPr>
          <t xml:space="preserve"> and their pattern should fill with </t>
        </r>
        <r>
          <rPr>
            <b/>
            <sz val="10"/>
            <color indexed="81"/>
            <rFont val="Tahoma"/>
            <family val="2"/>
          </rPr>
          <t>green.</t>
        </r>
        <r>
          <rPr>
            <sz val="10"/>
            <color indexed="81"/>
            <rFont val="Tahoma"/>
            <family val="2"/>
          </rPr>
          <t xml:space="preserve">
b)  (2 pts)  Create a conditional format for column H if change in loss ratio is greater than 10 or less than -10.  Cells that satisfy this condition should have their pattern  fill with </t>
        </r>
        <r>
          <rPr>
            <b/>
            <sz val="10"/>
            <color indexed="81"/>
            <rFont val="Tahoma"/>
            <family val="2"/>
          </rPr>
          <t>blue.</t>
        </r>
        <r>
          <rPr>
            <sz val="10"/>
            <color indexed="81"/>
            <rFont val="Tahoma"/>
            <family val="2"/>
          </rPr>
          <t xml:space="preserve">  You can do this either using a forumla with using IF statement combine with ABS() function.  Or, you could do this using two separate conditional formats.
</t>
        </r>
        <r>
          <rPr>
            <b/>
            <u/>
            <sz val="10"/>
            <color indexed="81"/>
            <rFont val="Tahoma"/>
            <family val="2"/>
          </rPr>
          <t>Problem 2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(2 pts)</t>
        </r>
        <r>
          <rPr>
            <sz val="10"/>
            <color indexed="81"/>
            <rFont val="Tahoma"/>
            <family val="2"/>
          </rPr>
          <t xml:space="preserve">
Create a data filter on the data on the Problem 2 tab.  You should select rows where STAT column is "MS" and where the COV is "COLL". Please keep the filter on when you save your file to return to me.
</t>
        </r>
        <r>
          <rPr>
            <b/>
            <u/>
            <sz val="10"/>
            <color indexed="81"/>
            <rFont val="Tahoma"/>
            <family val="2"/>
          </rPr>
          <t>Problem 3</t>
        </r>
        <r>
          <rPr>
            <b/>
            <sz val="10"/>
            <color indexed="81"/>
            <rFont val="Tahoma"/>
            <family val="2"/>
          </rPr>
          <t xml:space="preserve">   (2 pts)</t>
        </r>
        <r>
          <rPr>
            <sz val="10"/>
            <color indexed="81"/>
            <rFont val="Tahoma"/>
            <family val="2"/>
          </rPr>
          <t xml:space="preserve">
The output of problem 2 is shown on the problem 3 tab.  There also columns shown for the fitted frequency and severity.  Take note of the way these have been calculated for future reference.
Create a graph which shows the actual claim frequency and the actual claim severity on the y axis.  Because the scale for each of these series is so different, use two different axes to show the different series.  The x axis should show the period # (cloumn A).  Each series should display as points, with connecting lines.  Please label each series as frequency or severity as appropriate.  Create the graph and saved in Problem 3 tab.
</t>
        </r>
        <r>
          <rPr>
            <b/>
            <u/>
            <sz val="10"/>
            <color indexed="81"/>
            <rFont val="Tahoma"/>
            <family val="2"/>
          </rPr>
          <t>Problem 4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Tahoma"/>
            <family val="2"/>
          </rPr>
          <t>(2 pts)</t>
        </r>
        <r>
          <rPr>
            <sz val="10"/>
            <color indexed="81"/>
            <rFont val="Tahoma"/>
            <family val="2"/>
          </rPr>
          <t xml:space="preserve">
Using IF statements, calculate the Actuarial present value for each of the people in the list on the "problem 1" tab.
The APV formula = Face Value * Ax
The Ax varies by sex and smoker status and can be found on the 4 tabs for each case.
In order to check your answer, the result of the first policy should have APV = 1,1238.0</t>
        </r>
      </text>
    </comment>
  </commentList>
</comments>
</file>

<file path=xl/sharedStrings.xml><?xml version="1.0" encoding="utf-8"?>
<sst xmlns="http://schemas.openxmlformats.org/spreadsheetml/2006/main" count="12235" uniqueCount="172">
  <si>
    <t>Rank</t>
  </si>
  <si>
    <t>State Farm Group</t>
  </si>
  <si>
    <t>Allstate Insurance Group</t>
  </si>
  <si>
    <t>Progressive Insurance Group</t>
  </si>
  <si>
    <t>Berkshire Hathaway Insurance Group</t>
  </si>
  <si>
    <t>Farmers Insurance Group</t>
  </si>
  <si>
    <t>Nationwide Group</t>
  </si>
  <si>
    <t>USAA Group</t>
  </si>
  <si>
    <t>Liberty Mutual Insurance Companies</t>
  </si>
  <si>
    <t>American International Group Inc</t>
  </si>
  <si>
    <t>American Family Insurance Group</t>
  </si>
  <si>
    <t>St. Paul Travelers Group</t>
  </si>
  <si>
    <t>Safeco Insurance Companies</t>
  </si>
  <si>
    <t>Hartford Insurance Group</t>
  </si>
  <si>
    <t>Mercury General Group</t>
  </si>
  <si>
    <t>MetLife Auto &amp; Home Group</t>
  </si>
  <si>
    <t>Erie Insurance Group</t>
  </si>
  <si>
    <t>Automobile Club of Southern Calif Group</t>
  </si>
  <si>
    <t>California State Auto Group</t>
  </si>
  <si>
    <t>Commerce Group Inc</t>
  </si>
  <si>
    <t>GMAC Insurance Group</t>
  </si>
  <si>
    <t>Auto-Owners Insurance Group</t>
  </si>
  <si>
    <t>Southern Farm Bureau Group</t>
  </si>
  <si>
    <t>Auto Club Group</t>
  </si>
  <si>
    <t>Unitrin Inc</t>
  </si>
  <si>
    <t>COUNTRY Insurance &amp; Financial Services</t>
  </si>
  <si>
    <t>Hanover Insurance Grp Prop and Cas Cos</t>
  </si>
  <si>
    <t>White Mountains Insurance Group</t>
  </si>
  <si>
    <t>Sentry Insurance Group</t>
  </si>
  <si>
    <t>Chubb Group of Insurance Companies</t>
  </si>
  <si>
    <t>Cincinnati Insurance Companies</t>
  </si>
  <si>
    <t>Company Group</t>
  </si>
  <si>
    <t>Loss Ratio</t>
  </si>
  <si>
    <t>Growth Rate</t>
  </si>
  <si>
    <t>STATE</t>
  </si>
  <si>
    <t>Cov</t>
  </si>
  <si>
    <t>YYYYQ</t>
  </si>
  <si>
    <t>Car Years</t>
  </si>
  <si>
    <t>Claim Count</t>
  </si>
  <si>
    <t>Paid Amount</t>
  </si>
  <si>
    <t>Frequency</t>
  </si>
  <si>
    <t>Severity</t>
  </si>
  <si>
    <t>Pure Premium</t>
  </si>
  <si>
    <t>AK</t>
  </si>
  <si>
    <t>BI</t>
  </si>
  <si>
    <t>2001 Q4</t>
  </si>
  <si>
    <t>2002 Q1</t>
  </si>
  <si>
    <t>2002 Q2</t>
  </si>
  <si>
    <t>2002 Q3</t>
  </si>
  <si>
    <t>2002 Q4</t>
  </si>
  <si>
    <t>2003 Q1</t>
  </si>
  <si>
    <t>2003 Q2</t>
  </si>
  <si>
    <t>2003 Q3</t>
  </si>
  <si>
    <t>2003 Q4</t>
  </si>
  <si>
    <t>2004 Q1</t>
  </si>
  <si>
    <t>2004 Q2</t>
  </si>
  <si>
    <t>2004 Q3</t>
  </si>
  <si>
    <t>2004 Q4</t>
  </si>
  <si>
    <t>2005 Q1</t>
  </si>
  <si>
    <t>2005 Q2</t>
  </si>
  <si>
    <t>2005 Q3</t>
  </si>
  <si>
    <t>2005 Q4</t>
  </si>
  <si>
    <t>2006 Q1</t>
  </si>
  <si>
    <t>PD</t>
  </si>
  <si>
    <t>COMP</t>
  </si>
  <si>
    <t>COLL</t>
  </si>
  <si>
    <t>AL</t>
  </si>
  <si>
    <t>AR</t>
  </si>
  <si>
    <t>AZ</t>
  </si>
  <si>
    <t>CA</t>
  </si>
  <si>
    <t>CO</t>
  </si>
  <si>
    <t>CT</t>
  </si>
  <si>
    <t>DC</t>
  </si>
  <si>
    <t>PIP</t>
  </si>
  <si>
    <t>DE</t>
  </si>
  <si>
    <t>FL</t>
  </si>
  <si>
    <t>GA</t>
  </si>
  <si>
    <t>HI</t>
  </si>
  <si>
    <t>IA</t>
  </si>
  <si>
    <t>ID</t>
  </si>
  <si>
    <t>IL</t>
  </si>
  <si>
    <t>IN</t>
  </si>
  <si>
    <t>KS</t>
  </si>
  <si>
    <t>KY</t>
  </si>
  <si>
    <t>LA</t>
  </si>
  <si>
    <t>MA</t>
  </si>
  <si>
    <t>MD</t>
  </si>
  <si>
    <t>ME</t>
  </si>
  <si>
    <t>MI</t>
  </si>
  <si>
    <t>PPI</t>
  </si>
  <si>
    <t>MN</t>
  </si>
  <si>
    <t>MO</t>
  </si>
  <si>
    <t>MS</t>
  </si>
  <si>
    <t>MT</t>
  </si>
  <si>
    <t>NC</t>
  </si>
  <si>
    <t>ND</t>
  </si>
  <si>
    <t>NE</t>
  </si>
  <si>
    <t>NH</t>
  </si>
  <si>
    <t>NJ</t>
  </si>
  <si>
    <t>NM</t>
  </si>
  <si>
    <t>NV</t>
  </si>
  <si>
    <t>NY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</si>
  <si>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</si>
  <si>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</si>
  <si>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</si>
  <si>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</si>
  <si>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</si>
  <si>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</si>
  <si>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</si>
  <si>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</si>
  <si>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</si>
  <si>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</si>
  <si>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</si>
  <si>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VT</t>
  </si>
  <si>
    <t>WA</t>
  </si>
  <si>
    <t>WI</t>
  </si>
  <si>
    <t>WV</t>
  </si>
  <si>
    <t>WY</t>
  </si>
  <si>
    <t>Period #</t>
  </si>
  <si>
    <t>Change</t>
  </si>
  <si>
    <t>in LR</t>
  </si>
  <si>
    <t>Written Premium (000's)</t>
  </si>
  <si>
    <t>Fitted Freq</t>
  </si>
  <si>
    <t>Fitted Sev.</t>
  </si>
  <si>
    <t>slope</t>
  </si>
  <si>
    <t>intercept</t>
  </si>
  <si>
    <t>Zurich Financial Services NA Group</t>
  </si>
  <si>
    <t>CNA Insurance Companies</t>
  </si>
  <si>
    <t>ACE INA Group</t>
  </si>
  <si>
    <t>State Compensation Insurance Fund of CA</t>
  </si>
  <si>
    <t>Allianz of America, Inc</t>
  </si>
  <si>
    <t>W. R. Berkley Group</t>
  </si>
  <si>
    <t>Great American P &amp; C Insurance Grp</t>
  </si>
  <si>
    <t>XL America Group</t>
  </si>
  <si>
    <t>Old Republic General Group</t>
  </si>
  <si>
    <t>FM Global Group</t>
  </si>
  <si>
    <t>Assurant Solutions</t>
  </si>
  <si>
    <t>Arch Capital Group (U.S.)</t>
  </si>
  <si>
    <t>HDI U S Group</t>
  </si>
  <si>
    <t>Fairfax Financial (USA) Group</t>
  </si>
  <si>
    <t>Markel Corporation Group</t>
  </si>
  <si>
    <t>Selective Insurance Group</t>
  </si>
  <si>
    <t>State Insurance Fund of New York</t>
  </si>
  <si>
    <t>Alleghany Insurance Holdings</t>
  </si>
  <si>
    <t>Westfield Group</t>
  </si>
  <si>
    <t>Ohio Casualty Group</t>
  </si>
  <si>
    <t>N</t>
  </si>
  <si>
    <t>Using IF statements, calculate the Actuarial present value for each of the people in the List below</t>
  </si>
  <si>
    <t>The APV formula = Face Value * Ax</t>
  </si>
  <si>
    <t>The Ax varies by sex and smoker status and can be found on the Female/Male Smoker/Nonsmoker tabs</t>
  </si>
  <si>
    <t>Age</t>
  </si>
  <si>
    <t>Sex</t>
  </si>
  <si>
    <t>Smoker?</t>
  </si>
  <si>
    <t>Face Value</t>
  </si>
  <si>
    <t>APV</t>
  </si>
  <si>
    <t>M</t>
  </si>
  <si>
    <t>F</t>
  </si>
  <si>
    <t>Y</t>
  </si>
  <si>
    <t>qx</t>
  </si>
  <si>
    <t>tPx</t>
  </si>
  <si>
    <t>sum(tPx * qx * v^x)</t>
  </si>
  <si>
    <t>Ax</t>
  </si>
  <si>
    <t>Timestamp</t>
  </si>
  <si>
    <t>Username</t>
  </si>
  <si>
    <t>ULID:</t>
  </si>
  <si>
    <t>09-12-13 01 55 13 PM</t>
  </si>
  <si>
    <t>pl6y</t>
  </si>
  <si>
    <t>09-12-13 01 55 27 PM</t>
  </si>
  <si>
    <t>09-12-13 01 56 36 PM</t>
  </si>
  <si>
    <t>02-11-14 04 25 19 PM</t>
  </si>
  <si>
    <t>02-11-14 04 25 28 PM</t>
  </si>
  <si>
    <t>09-08-15 04 30 41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</si>
</sst>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#,##0.0"/>
    <numFmt numFmtId="165" formatCode="0.0%"/>
    <numFmt numFmtId="166" formatCode="0.000000"/>
    <numFmt numFmtId="167" formatCode="&quot;$&quot;#,##0"/>
    <numFmt numFmtId="168" formatCode="&quot;$&quot;#,##0.00"/>
  </numFmts>
  <fonts count="11" x14ac:knownFonts="1">
    <font>
      <sz val="10"/>
      <name val="Arial"/>
    </font>
    <font>
      <sz val="10"/>
      <name val="MS Sans Serif"/>
      <family val="2"/>
    </font>
    <font>
      <sz val="8"/>
      <name val="MS Sans Serif"/>
      <family val="2"/>
    </font>
    <font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8"/>
      <name val="Arial"/>
      <family val="2"/>
    </font>
    <font>
      <b/>
      <u/>
      <sz val="10"/>
      <color indexed="81"/>
      <name val="Tahoma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8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Continuous"/>
    </xf>
    <xf numFmtId="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1" fillId="0" borderId="0" xfId="1" quotePrefix="1" applyNumberFormat="1"/>
    <xf numFmtId="0" fontId="1" fillId="0" borderId="0" xfId="1" applyNumberFormat="1"/>
    <xf numFmtId="0" fontId="1" fillId="0" borderId="0" xfId="1"/>
    <xf numFmtId="0" fontId="0" fillId="0" borderId="0" xfId="0" applyAlignment="1">
      <alignment horizontal="center"/>
    </xf>
    <xf numFmtId="165" fontId="0" fillId="0" borderId="0" xfId="0" applyNumberFormat="1"/>
    <xf numFmtId="0" fontId="3" fillId="0" borderId="0" xfId="0" applyFont="1" applyAlignment="1">
      <alignment horizontal="center"/>
    </xf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 applyAlignment="1"/>
    <xf numFmtId="4" fontId="0" fillId="0" borderId="4" xfId="0" applyNumberFormat="1" applyBorder="1" applyAlignment="1"/>
    <xf numFmtId="0" fontId="0" fillId="0" borderId="0" xfId="0" applyNumberFormat="1"/>
    <xf numFmtId="0" fontId="9" fillId="0" borderId="0" xfId="0" applyFont="1" applyAlignment="1">
      <alignment horizontal="center"/>
    </xf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right"/>
    </xf>
    <xf numFmtId="0" fontId="0" fillId="0" borderId="5" xfId="0" applyBorder="1"/>
    <xf numFmtId="0" fontId="8" fillId="0" borderId="0" xfId="0" applyFont="1"/>
  </cellXfs>
  <cellStyles count="5">
    <cellStyle name="Currency 2" xfId="3"/>
    <cellStyle name="Normal" xfId="0" builtinId="0"/>
    <cellStyle name="Normal 2" xfId="2"/>
    <cellStyle name="Normal_FTdata" xfId="1"/>
    <cellStyle name="Percent 2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7"/>
  <sheetViews>
    <sheetView workbookViewId="0">
      <selection activeCell="B5" sqref="B5"/>
    </sheetView>
  </sheetViews>
  <sheetFormatPr defaultRowHeight="12.75" x14ac:dyDescent="0.2"/>
  <cols>
    <col min="1" max="1" width="10.140625" bestFit="1" customWidth="1"/>
    <col min="2" max="2" width="9.42578125" bestFit="1" customWidth="1"/>
  </cols>
  <sheetData>
    <row r="1" spans="1:2" x14ac:dyDescent="0.2">
      <c r="A1" t="s">
        <v>162</v>
      </c>
      <c r="B1" t="s">
        <v>163</v>
      </c>
    </row>
    <row r="2" spans="1:2" x14ac:dyDescent="0.2">
      <c r="A2" t="s">
        <v>165</v>
      </c>
      <c r="B2" t="s">
        <v>166</v>
      </c>
    </row>
    <row r="3" spans="1:2" x14ac:dyDescent="0.2">
      <c r="A3" t="s">
        <v>167</v>
      </c>
      <c r="B3" t="s">
        <v>166</v>
      </c>
    </row>
    <row r="4" spans="1:2" x14ac:dyDescent="0.2">
      <c r="A4" t="s">
        <v>168</v>
      </c>
      <c r="B4" t="s">
        <v>166</v>
      </c>
    </row>
    <row r="5" spans="1:2" x14ac:dyDescent="0.2">
      <c r="A5" t="s">
        <v>169</v>
      </c>
      <c r="B5" t="s">
        <v>166</v>
      </c>
    </row>
    <row r="6" spans="1:2" x14ac:dyDescent="0.2">
      <c r="A6" t="s">
        <v>170</v>
      </c>
      <c r="B6" t="s">
        <v>166</v>
      </c>
    </row>
    <row r="7" spans="1:2" x14ac:dyDescent="0.2">
      <c r="A7" t="s">
        <v>171</v>
      </c>
      <c r="B7" t="s">
        <v>166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P35"/>
  <sheetViews>
    <sheetView tabSelected="1" workbookViewId="0">
      <selection activeCell="N12" sqref="N12"/>
    </sheetView>
  </sheetViews>
  <sheetFormatPr defaultRowHeight="12.75" x14ac:dyDescent="0.2"/>
  <sheetData>
    <row r="2" spans="1:16" x14ac:dyDescent="0.2"/>
    <row r="5" spans="1:16" ht="13.5" thickBot="1" x14ac:dyDescent="0.25"/>
    <row r="6" spans="1:16" ht="13.5" thickBot="1" x14ac:dyDescent="0.25">
      <c r="O6" s="23" t="s">
        <v>164</v>
      </c>
      <c r="P6" s="22"/>
    </row>
    <row r="35" spans="1:2" x14ac:dyDescent="0.2">
      <c r="A35" s="20"/>
      <c r="B35" s="21"/>
    </row>
  </sheetData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2"/>
  <sheetViews>
    <sheetView workbookViewId="0"/>
  </sheetViews>
  <sheetFormatPr defaultRowHeight="12.75" x14ac:dyDescent="0.2"/>
  <cols>
    <col min="1" max="1" width="5.28515625" customWidth="1"/>
    <col min="2" max="2" width="36.7109375" bestFit="1" customWidth="1"/>
    <col min="3" max="4" width="11.42578125" customWidth="1"/>
    <col min="5" max="6" width="8.5703125" customWidth="1"/>
    <col min="7" max="7" width="12.85546875" customWidth="1"/>
  </cols>
  <sheetData>
    <row r="1" spans="1:8" x14ac:dyDescent="0.2">
      <c r="C1" s="1" t="s">
        <v>121</v>
      </c>
      <c r="D1" s="1"/>
      <c r="E1" s="1" t="s">
        <v>32</v>
      </c>
      <c r="F1" s="1"/>
      <c r="H1" s="8" t="s">
        <v>119</v>
      </c>
    </row>
    <row r="2" spans="1:8" x14ac:dyDescent="0.2">
      <c r="A2" s="10" t="s">
        <v>0</v>
      </c>
      <c r="B2" s="10" t="s">
        <v>31</v>
      </c>
      <c r="C2" s="10">
        <v>2004</v>
      </c>
      <c r="D2" s="10">
        <v>2005</v>
      </c>
      <c r="E2" s="10">
        <v>2004</v>
      </c>
      <c r="F2" s="10">
        <v>2005</v>
      </c>
      <c r="G2" s="10" t="s">
        <v>33</v>
      </c>
      <c r="H2" s="10" t="s">
        <v>120</v>
      </c>
    </row>
    <row r="3" spans="1:8" x14ac:dyDescent="0.2">
      <c r="A3">
        <v>1</v>
      </c>
      <c r="B3" t="s">
        <v>1</v>
      </c>
      <c r="C3" s="4">
        <v>45744930</v>
      </c>
      <c r="D3" s="4">
        <v>45957049</v>
      </c>
      <c r="E3" s="3">
        <v>60.8</v>
      </c>
      <c r="F3" s="3">
        <v>78.8</v>
      </c>
      <c r="G3" s="9">
        <f>D3/C3-1</f>
        <v>4.636994744554146E-3</v>
      </c>
      <c r="H3" s="3">
        <f>F3-E3</f>
        <v>18</v>
      </c>
    </row>
    <row r="4" spans="1:8" x14ac:dyDescent="0.2">
      <c r="A4">
        <v>2</v>
      </c>
      <c r="B4" t="s">
        <v>9</v>
      </c>
      <c r="C4" s="4">
        <v>27853652</v>
      </c>
      <c r="D4" s="4">
        <v>28075078</v>
      </c>
      <c r="E4" s="3">
        <v>69.2</v>
      </c>
      <c r="F4" s="3">
        <v>84.8</v>
      </c>
      <c r="G4" s="9">
        <f t="shared" ref="G4:G52" si="0">D4/C4-1</f>
        <v>7.9496218305592503E-3</v>
      </c>
      <c r="H4" s="3">
        <f t="shared" ref="H4:H52" si="1">F4-E4</f>
        <v>15.599999999999994</v>
      </c>
    </row>
    <row r="5" spans="1:8" x14ac:dyDescent="0.2">
      <c r="A5">
        <v>3</v>
      </c>
      <c r="B5" t="s">
        <v>2</v>
      </c>
      <c r="C5" s="4">
        <v>26287703</v>
      </c>
      <c r="D5" s="4">
        <v>27407932</v>
      </c>
      <c r="E5" s="3">
        <v>62.6</v>
      </c>
      <c r="F5" s="3">
        <v>77.8</v>
      </c>
      <c r="G5" s="9">
        <f t="shared" si="0"/>
        <v>4.2614183521473947E-2</v>
      </c>
      <c r="H5" s="3">
        <f t="shared" si="1"/>
        <v>15.199999999999996</v>
      </c>
    </row>
    <row r="6" spans="1:8" x14ac:dyDescent="0.2">
      <c r="A6">
        <v>4</v>
      </c>
      <c r="B6" t="s">
        <v>11</v>
      </c>
      <c r="C6" s="4">
        <v>21898656</v>
      </c>
      <c r="D6" s="4">
        <v>21130044</v>
      </c>
      <c r="E6" s="3">
        <v>66.5</v>
      </c>
      <c r="F6" s="3">
        <v>62.8</v>
      </c>
      <c r="G6" s="9">
        <f t="shared" si="0"/>
        <v>-3.5098592351968994E-2</v>
      </c>
      <c r="H6" s="3">
        <f t="shared" si="1"/>
        <v>-3.7000000000000028</v>
      </c>
    </row>
    <row r="7" spans="1:8" x14ac:dyDescent="0.2">
      <c r="A7">
        <v>5</v>
      </c>
      <c r="B7" t="s">
        <v>8</v>
      </c>
      <c r="C7" s="4">
        <v>15918175</v>
      </c>
      <c r="D7" s="4">
        <v>16270038</v>
      </c>
      <c r="E7" s="3">
        <v>69</v>
      </c>
      <c r="F7" s="3">
        <v>67.400000000000006</v>
      </c>
      <c r="G7" s="9">
        <f t="shared" si="0"/>
        <v>2.21044811983786E-2</v>
      </c>
      <c r="H7" s="3">
        <f t="shared" si="1"/>
        <v>-1.5999999999999943</v>
      </c>
    </row>
    <row r="8" spans="1:8" x14ac:dyDescent="0.2">
      <c r="A8">
        <v>6</v>
      </c>
      <c r="B8" t="s">
        <v>6</v>
      </c>
      <c r="C8" s="4">
        <v>14663797</v>
      </c>
      <c r="D8" s="4">
        <v>15345519</v>
      </c>
      <c r="E8" s="3">
        <v>60.7</v>
      </c>
      <c r="F8" s="3">
        <v>61.6</v>
      </c>
      <c r="G8" s="9">
        <f t="shared" si="0"/>
        <v>4.6490141673401597E-2</v>
      </c>
      <c r="H8" s="3">
        <f t="shared" si="1"/>
        <v>0.89999999999999858</v>
      </c>
    </row>
    <row r="9" spans="1:8" x14ac:dyDescent="0.2">
      <c r="A9">
        <v>7</v>
      </c>
      <c r="B9" t="s">
        <v>5</v>
      </c>
      <c r="C9" s="4">
        <v>14115877</v>
      </c>
      <c r="D9" s="4">
        <v>14474090</v>
      </c>
      <c r="E9" s="3">
        <v>56.2</v>
      </c>
      <c r="F9" s="3">
        <v>57.3</v>
      </c>
      <c r="G9" s="9">
        <f t="shared" si="0"/>
        <v>2.537660253061147E-2</v>
      </c>
      <c r="H9" s="3">
        <f t="shared" si="1"/>
        <v>1.0999999999999943</v>
      </c>
    </row>
    <row r="10" spans="1:8" x14ac:dyDescent="0.2">
      <c r="A10">
        <v>8</v>
      </c>
      <c r="B10" t="s">
        <v>3</v>
      </c>
      <c r="C10" s="4">
        <v>13696761</v>
      </c>
      <c r="D10" s="4">
        <v>14297884</v>
      </c>
      <c r="E10" s="3">
        <v>52.6</v>
      </c>
      <c r="F10" s="3">
        <v>54.9</v>
      </c>
      <c r="G10" s="9">
        <f t="shared" si="0"/>
        <v>4.3887967381485371E-2</v>
      </c>
      <c r="H10" s="3">
        <f t="shared" si="1"/>
        <v>2.2999999999999972</v>
      </c>
    </row>
    <row r="11" spans="1:8" x14ac:dyDescent="0.2">
      <c r="A11">
        <v>9</v>
      </c>
      <c r="B11" t="s">
        <v>4</v>
      </c>
      <c r="C11" s="4">
        <v>11857703</v>
      </c>
      <c r="D11" s="4">
        <v>13302497</v>
      </c>
      <c r="E11" s="3">
        <v>59.7</v>
      </c>
      <c r="F11" s="3">
        <v>60.3</v>
      </c>
      <c r="G11" s="9">
        <f t="shared" si="0"/>
        <v>0.12184434034146419</v>
      </c>
      <c r="H11" s="3">
        <f t="shared" si="1"/>
        <v>0.59999999999999432</v>
      </c>
    </row>
    <row r="12" spans="1:8" x14ac:dyDescent="0.2">
      <c r="A12">
        <v>10</v>
      </c>
      <c r="B12" t="s">
        <v>126</v>
      </c>
      <c r="C12" s="4">
        <v>12939546</v>
      </c>
      <c r="D12" s="4">
        <v>12452534</v>
      </c>
      <c r="E12" s="3">
        <v>76.5</v>
      </c>
      <c r="F12" s="3">
        <v>78.2</v>
      </c>
      <c r="G12" s="9">
        <f t="shared" si="0"/>
        <v>-3.7637487435803418E-2</v>
      </c>
      <c r="H12" s="3">
        <f t="shared" si="1"/>
        <v>1.7000000000000028</v>
      </c>
    </row>
    <row r="13" spans="1:8" x14ac:dyDescent="0.2">
      <c r="A13">
        <v>11</v>
      </c>
      <c r="B13" t="s">
        <v>13</v>
      </c>
      <c r="C13" s="4">
        <v>11222422</v>
      </c>
      <c r="D13" s="4">
        <v>12152664</v>
      </c>
      <c r="E13" s="3">
        <v>56.4</v>
      </c>
      <c r="F13" s="3">
        <v>60.6</v>
      </c>
      <c r="G13" s="9">
        <f t="shared" si="0"/>
        <v>8.2891375854516891E-2</v>
      </c>
      <c r="H13" s="3">
        <f t="shared" si="1"/>
        <v>4.2000000000000028</v>
      </c>
    </row>
    <row r="14" spans="1:8" x14ac:dyDescent="0.2">
      <c r="A14">
        <v>12</v>
      </c>
      <c r="B14" t="s">
        <v>29</v>
      </c>
      <c r="C14" s="4">
        <v>9552883</v>
      </c>
      <c r="D14" s="4">
        <v>9607939</v>
      </c>
      <c r="E14" s="3">
        <v>47</v>
      </c>
      <c r="F14" s="3">
        <v>53.4</v>
      </c>
      <c r="G14" s="9">
        <f t="shared" si="0"/>
        <v>5.763286329373063E-3</v>
      </c>
      <c r="H14" s="3">
        <f t="shared" si="1"/>
        <v>6.3999999999999986</v>
      </c>
    </row>
    <row r="15" spans="1:8" x14ac:dyDescent="0.2">
      <c r="A15">
        <v>13</v>
      </c>
      <c r="B15" t="s">
        <v>7</v>
      </c>
      <c r="C15" s="4">
        <v>8163544</v>
      </c>
      <c r="D15" s="4">
        <v>8477589</v>
      </c>
      <c r="E15" s="3">
        <v>62.1</v>
      </c>
      <c r="F15" s="3">
        <v>72.3</v>
      </c>
      <c r="G15" s="9">
        <f t="shared" si="0"/>
        <v>3.8469199161540679E-2</v>
      </c>
      <c r="H15" s="3">
        <f t="shared" si="1"/>
        <v>10.199999999999996</v>
      </c>
    </row>
    <row r="16" spans="1:8" x14ac:dyDescent="0.2">
      <c r="A16">
        <v>14</v>
      </c>
      <c r="B16" t="s">
        <v>127</v>
      </c>
      <c r="C16" s="4">
        <v>8196229</v>
      </c>
      <c r="D16" s="4">
        <v>8095496</v>
      </c>
      <c r="E16" s="3">
        <v>57.2</v>
      </c>
      <c r="F16" s="3">
        <v>62.9</v>
      </c>
      <c r="G16" s="9">
        <f t="shared" si="0"/>
        <v>-1.2290164171840479E-2</v>
      </c>
      <c r="H16" s="3">
        <f t="shared" si="1"/>
        <v>5.6999999999999957</v>
      </c>
    </row>
    <row r="17" spans="1:8" x14ac:dyDescent="0.2">
      <c r="A17">
        <v>15</v>
      </c>
      <c r="B17" t="s">
        <v>128</v>
      </c>
      <c r="C17" s="4">
        <v>6219457</v>
      </c>
      <c r="D17" s="4">
        <v>6711562</v>
      </c>
      <c r="E17" s="3">
        <v>72.2</v>
      </c>
      <c r="F17" s="3">
        <v>73.599999999999994</v>
      </c>
      <c r="G17" s="9">
        <f t="shared" si="0"/>
        <v>7.9123466887864868E-2</v>
      </c>
      <c r="H17" s="3">
        <f t="shared" si="1"/>
        <v>1.3999999999999915</v>
      </c>
    </row>
    <row r="18" spans="1:8" x14ac:dyDescent="0.2">
      <c r="A18">
        <v>16</v>
      </c>
      <c r="B18" t="s">
        <v>129</v>
      </c>
      <c r="C18" s="4">
        <v>8216405</v>
      </c>
      <c r="D18" s="4">
        <v>6141323</v>
      </c>
      <c r="E18" s="3">
        <v>65.2</v>
      </c>
      <c r="F18" s="3">
        <v>67.400000000000006</v>
      </c>
      <c r="G18" s="9">
        <f t="shared" si="0"/>
        <v>-0.25255351945285076</v>
      </c>
      <c r="H18" s="3">
        <f t="shared" si="1"/>
        <v>2.2000000000000028</v>
      </c>
    </row>
    <row r="19" spans="1:8" x14ac:dyDescent="0.2">
      <c r="A19">
        <v>17</v>
      </c>
      <c r="B19" t="s">
        <v>10</v>
      </c>
      <c r="C19" s="4">
        <v>5770187</v>
      </c>
      <c r="D19" s="4">
        <v>5800809</v>
      </c>
      <c r="E19" s="3">
        <v>58.9</v>
      </c>
      <c r="F19" s="3">
        <v>56.1</v>
      </c>
      <c r="G19" s="9">
        <f t="shared" si="0"/>
        <v>5.3069337267579453E-3</v>
      </c>
      <c r="H19" s="3">
        <f t="shared" si="1"/>
        <v>-2.7999999999999972</v>
      </c>
    </row>
    <row r="20" spans="1:8" x14ac:dyDescent="0.2">
      <c r="A20">
        <v>18</v>
      </c>
      <c r="B20" t="s">
        <v>12</v>
      </c>
      <c r="C20" s="4">
        <v>5628948</v>
      </c>
      <c r="D20" s="4">
        <v>5784017</v>
      </c>
      <c r="E20" s="3">
        <v>49.6</v>
      </c>
      <c r="F20" s="3">
        <v>49.5</v>
      </c>
      <c r="G20" s="9">
        <f t="shared" si="0"/>
        <v>2.7548486857579713E-2</v>
      </c>
      <c r="H20" s="3">
        <f t="shared" si="1"/>
        <v>-0.10000000000000142</v>
      </c>
    </row>
    <row r="21" spans="1:8" x14ac:dyDescent="0.2">
      <c r="A21">
        <v>19</v>
      </c>
      <c r="B21" t="s">
        <v>130</v>
      </c>
      <c r="C21" s="4">
        <v>4800473</v>
      </c>
      <c r="D21" s="4">
        <v>5047321</v>
      </c>
      <c r="E21" s="3">
        <v>40.700000000000003</v>
      </c>
      <c r="F21" s="3">
        <v>71.5</v>
      </c>
      <c r="G21" s="9">
        <f t="shared" si="0"/>
        <v>5.1421599496549675E-2</v>
      </c>
      <c r="H21" s="3">
        <f t="shared" si="1"/>
        <v>30.799999999999997</v>
      </c>
    </row>
    <row r="22" spans="1:8" x14ac:dyDescent="0.2">
      <c r="A22">
        <v>20</v>
      </c>
      <c r="B22" t="s">
        <v>21</v>
      </c>
      <c r="C22" s="4">
        <v>4373999</v>
      </c>
      <c r="D22" s="4">
        <v>4501405</v>
      </c>
      <c r="E22" s="3">
        <v>68.900000000000006</v>
      </c>
      <c r="F22" s="3">
        <v>55.8</v>
      </c>
      <c r="G22" s="9">
        <f t="shared" si="0"/>
        <v>2.9128035923190687E-2</v>
      </c>
      <c r="H22" s="3">
        <f t="shared" si="1"/>
        <v>-13.100000000000009</v>
      </c>
    </row>
    <row r="23" spans="1:8" x14ac:dyDescent="0.2">
      <c r="A23">
        <v>21</v>
      </c>
      <c r="B23" t="s">
        <v>131</v>
      </c>
      <c r="C23" s="4">
        <v>3530355</v>
      </c>
      <c r="D23" s="4">
        <v>3982193</v>
      </c>
      <c r="E23" s="3">
        <v>49.8</v>
      </c>
      <c r="F23" s="3">
        <v>46.7</v>
      </c>
      <c r="G23" s="9">
        <f t="shared" si="0"/>
        <v>0.12798656225790328</v>
      </c>
      <c r="H23" s="3">
        <f t="shared" si="1"/>
        <v>-3.0999999999999943</v>
      </c>
    </row>
    <row r="24" spans="1:8" x14ac:dyDescent="0.2">
      <c r="A24">
        <v>22</v>
      </c>
      <c r="B24" t="s">
        <v>16</v>
      </c>
      <c r="C24" s="4">
        <v>3997330</v>
      </c>
      <c r="D24" s="4">
        <v>3956941</v>
      </c>
      <c r="E24" s="3">
        <v>58.6</v>
      </c>
      <c r="F24" s="3">
        <v>54.6</v>
      </c>
      <c r="G24" s="9">
        <f t="shared" si="0"/>
        <v>-1.0103994416272855E-2</v>
      </c>
      <c r="H24" s="3">
        <f t="shared" si="1"/>
        <v>-4</v>
      </c>
    </row>
    <row r="25" spans="1:8" x14ac:dyDescent="0.2">
      <c r="A25">
        <v>23</v>
      </c>
      <c r="B25" t="s">
        <v>132</v>
      </c>
      <c r="C25" s="4">
        <v>3599178</v>
      </c>
      <c r="D25" s="4">
        <v>3548697</v>
      </c>
      <c r="E25" s="3">
        <v>60.5</v>
      </c>
      <c r="F25" s="3">
        <v>55.2</v>
      </c>
      <c r="G25" s="9">
        <f t="shared" si="0"/>
        <v>-1.4025702535412243E-2</v>
      </c>
      <c r="H25" s="3">
        <f t="shared" si="1"/>
        <v>-5.2999999999999972</v>
      </c>
    </row>
    <row r="26" spans="1:8" x14ac:dyDescent="0.2">
      <c r="A26">
        <v>24</v>
      </c>
      <c r="B26" t="s">
        <v>30</v>
      </c>
      <c r="C26" s="4">
        <v>3143515</v>
      </c>
      <c r="D26" s="4">
        <v>3233577</v>
      </c>
      <c r="E26" s="3">
        <v>51.2</v>
      </c>
      <c r="F26" s="3">
        <v>49.3</v>
      </c>
      <c r="G26" s="9">
        <f t="shared" si="0"/>
        <v>2.8650093923521913E-2</v>
      </c>
      <c r="H26" s="3">
        <f t="shared" si="1"/>
        <v>-1.9000000000000057</v>
      </c>
    </row>
    <row r="27" spans="1:8" x14ac:dyDescent="0.2">
      <c r="A27">
        <v>25</v>
      </c>
      <c r="B27" t="s">
        <v>133</v>
      </c>
      <c r="C27" s="4">
        <v>3041906</v>
      </c>
      <c r="D27" s="4">
        <v>3198829</v>
      </c>
      <c r="E27" s="3">
        <v>68.2</v>
      </c>
      <c r="F27" s="3">
        <v>93.2</v>
      </c>
      <c r="G27" s="9">
        <f t="shared" si="0"/>
        <v>5.1587064163060914E-2</v>
      </c>
      <c r="H27" s="3">
        <f t="shared" si="1"/>
        <v>25</v>
      </c>
    </row>
    <row r="28" spans="1:8" x14ac:dyDescent="0.2">
      <c r="A28">
        <v>26</v>
      </c>
      <c r="B28" t="s">
        <v>15</v>
      </c>
      <c r="C28" s="4">
        <v>3016439</v>
      </c>
      <c r="D28" s="4">
        <v>3034510</v>
      </c>
      <c r="E28" s="3">
        <v>56.1</v>
      </c>
      <c r="F28" s="3">
        <v>57.7</v>
      </c>
      <c r="G28" s="9">
        <f t="shared" si="0"/>
        <v>5.9908388666238821E-3</v>
      </c>
      <c r="H28" s="3">
        <f t="shared" si="1"/>
        <v>1.6000000000000014</v>
      </c>
    </row>
    <row r="29" spans="1:8" x14ac:dyDescent="0.2">
      <c r="A29">
        <v>27</v>
      </c>
      <c r="B29" t="s">
        <v>14</v>
      </c>
      <c r="C29" s="4">
        <v>2637593</v>
      </c>
      <c r="D29" s="4">
        <v>2935673</v>
      </c>
      <c r="E29" s="3">
        <v>51.4</v>
      </c>
      <c r="F29" s="3">
        <v>54.5</v>
      </c>
      <c r="G29" s="9">
        <f t="shared" si="0"/>
        <v>0.11301212886142786</v>
      </c>
      <c r="H29" s="3">
        <f t="shared" si="1"/>
        <v>3.1000000000000014</v>
      </c>
    </row>
    <row r="30" spans="1:8" x14ac:dyDescent="0.2">
      <c r="A30">
        <v>28</v>
      </c>
      <c r="B30" t="s">
        <v>134</v>
      </c>
      <c r="C30" s="4">
        <v>2513742</v>
      </c>
      <c r="D30" s="4">
        <v>2716921</v>
      </c>
      <c r="E30" s="3">
        <v>53.9</v>
      </c>
      <c r="F30" s="3">
        <v>58</v>
      </c>
      <c r="G30" s="9">
        <f t="shared" si="0"/>
        <v>8.0827308450907021E-2</v>
      </c>
      <c r="H30" s="3">
        <f t="shared" si="1"/>
        <v>4.1000000000000014</v>
      </c>
    </row>
    <row r="31" spans="1:8" x14ac:dyDescent="0.2">
      <c r="A31">
        <v>29</v>
      </c>
      <c r="B31" t="s">
        <v>27</v>
      </c>
      <c r="C31" s="4">
        <v>2475930</v>
      </c>
      <c r="D31" s="4">
        <v>2518871</v>
      </c>
      <c r="E31" s="3">
        <v>55</v>
      </c>
      <c r="F31" s="3">
        <v>76.099999999999994</v>
      </c>
      <c r="G31" s="9">
        <f t="shared" si="0"/>
        <v>1.734338208269226E-2</v>
      </c>
      <c r="H31" s="3">
        <f t="shared" si="1"/>
        <v>21.099999999999994</v>
      </c>
    </row>
    <row r="32" spans="1:8" x14ac:dyDescent="0.2">
      <c r="A32">
        <v>30</v>
      </c>
      <c r="B32" t="s">
        <v>20</v>
      </c>
      <c r="C32" s="4">
        <v>2483710</v>
      </c>
      <c r="D32" s="4">
        <v>2503588</v>
      </c>
      <c r="E32" s="3">
        <v>71.3</v>
      </c>
      <c r="F32" s="3">
        <v>66.3</v>
      </c>
      <c r="G32" s="9">
        <f t="shared" si="0"/>
        <v>8.0033498274758585E-3</v>
      </c>
      <c r="H32" s="3">
        <f t="shared" si="1"/>
        <v>-5</v>
      </c>
    </row>
    <row r="33" spans="1:8" x14ac:dyDescent="0.2">
      <c r="A33">
        <v>31</v>
      </c>
      <c r="B33" t="s">
        <v>26</v>
      </c>
      <c r="C33" s="4">
        <v>2428121</v>
      </c>
      <c r="D33" s="4">
        <v>2374345</v>
      </c>
      <c r="E33" s="3">
        <v>59.3</v>
      </c>
      <c r="F33" s="3">
        <v>75.7</v>
      </c>
      <c r="G33" s="9">
        <f t="shared" si="0"/>
        <v>-2.2147166471522595E-2</v>
      </c>
      <c r="H33" s="3">
        <f t="shared" si="1"/>
        <v>16.400000000000006</v>
      </c>
    </row>
    <row r="34" spans="1:8" x14ac:dyDescent="0.2">
      <c r="A34">
        <v>32</v>
      </c>
      <c r="B34" t="s">
        <v>135</v>
      </c>
      <c r="C34" s="4">
        <v>2098169</v>
      </c>
      <c r="D34" s="4">
        <v>2316330</v>
      </c>
      <c r="E34" s="3">
        <v>52.5</v>
      </c>
      <c r="F34" s="3">
        <v>74</v>
      </c>
      <c r="G34" s="9">
        <f t="shared" si="0"/>
        <v>0.10397684838542554</v>
      </c>
      <c r="H34" s="3">
        <f t="shared" si="1"/>
        <v>21.5</v>
      </c>
    </row>
    <row r="35" spans="1:8" x14ac:dyDescent="0.2">
      <c r="A35">
        <v>33</v>
      </c>
      <c r="B35" t="s">
        <v>18</v>
      </c>
      <c r="C35" s="4">
        <v>2143701</v>
      </c>
      <c r="D35" s="4">
        <v>2269492</v>
      </c>
      <c r="E35" s="3">
        <v>52.3</v>
      </c>
      <c r="F35" s="3">
        <v>50</v>
      </c>
      <c r="G35" s="9">
        <f t="shared" si="0"/>
        <v>5.8679358735196807E-2</v>
      </c>
      <c r="H35" s="3">
        <f t="shared" si="1"/>
        <v>-2.2999999999999972</v>
      </c>
    </row>
    <row r="36" spans="1:8" x14ac:dyDescent="0.2">
      <c r="A36">
        <v>34</v>
      </c>
      <c r="B36" t="s">
        <v>17</v>
      </c>
      <c r="C36" s="4">
        <v>2051413</v>
      </c>
      <c r="D36" s="4">
        <v>2212520</v>
      </c>
      <c r="E36" s="3">
        <v>49.1</v>
      </c>
      <c r="F36" s="3">
        <v>52.6</v>
      </c>
      <c r="G36" s="9">
        <f t="shared" si="0"/>
        <v>7.8534649044341709E-2</v>
      </c>
      <c r="H36" s="3">
        <f t="shared" si="1"/>
        <v>3.5</v>
      </c>
    </row>
    <row r="37" spans="1:8" x14ac:dyDescent="0.2">
      <c r="A37">
        <v>35</v>
      </c>
      <c r="B37" t="s">
        <v>22</v>
      </c>
      <c r="C37" s="4">
        <v>2156726</v>
      </c>
      <c r="D37" s="4">
        <v>2177051</v>
      </c>
      <c r="E37" s="3">
        <v>78.400000000000006</v>
      </c>
      <c r="F37" s="3">
        <v>131.5</v>
      </c>
      <c r="G37" s="9">
        <f t="shared" si="0"/>
        <v>9.4240065729258582E-3</v>
      </c>
      <c r="H37" s="3">
        <f t="shared" si="1"/>
        <v>53.099999999999994</v>
      </c>
    </row>
    <row r="38" spans="1:8" x14ac:dyDescent="0.2">
      <c r="A38">
        <v>36</v>
      </c>
      <c r="B38" t="s">
        <v>28</v>
      </c>
      <c r="C38" s="4">
        <v>2068313</v>
      </c>
      <c r="D38" s="4">
        <v>2088361</v>
      </c>
      <c r="E38" s="3">
        <v>60.2</v>
      </c>
      <c r="F38" s="3">
        <v>61.8</v>
      </c>
      <c r="G38" s="9">
        <f t="shared" si="0"/>
        <v>9.6929236532381502E-3</v>
      </c>
      <c r="H38" s="3">
        <f t="shared" si="1"/>
        <v>1.5999999999999943</v>
      </c>
    </row>
    <row r="39" spans="1:8" x14ac:dyDescent="0.2">
      <c r="A39">
        <v>37</v>
      </c>
      <c r="B39" t="s">
        <v>136</v>
      </c>
      <c r="C39" s="4">
        <v>1761332</v>
      </c>
      <c r="D39" s="4">
        <v>1999809</v>
      </c>
      <c r="E39" s="3">
        <v>45.9</v>
      </c>
      <c r="F39" s="3">
        <v>102.2</v>
      </c>
      <c r="G39" s="9">
        <f t="shared" si="0"/>
        <v>0.13539582543211615</v>
      </c>
      <c r="H39" s="3">
        <f t="shared" si="1"/>
        <v>56.300000000000004</v>
      </c>
    </row>
    <row r="40" spans="1:8" x14ac:dyDescent="0.2">
      <c r="A40">
        <v>38</v>
      </c>
      <c r="B40" t="s">
        <v>25</v>
      </c>
      <c r="C40" s="4">
        <v>1918477</v>
      </c>
      <c r="D40" s="4">
        <v>1980406</v>
      </c>
      <c r="E40" s="3">
        <v>56.2</v>
      </c>
      <c r="F40" s="3">
        <v>56.4</v>
      </c>
      <c r="G40" s="9">
        <f t="shared" si="0"/>
        <v>3.2280293170050989E-2</v>
      </c>
      <c r="H40" s="3">
        <f t="shared" si="1"/>
        <v>0.19999999999999574</v>
      </c>
    </row>
    <row r="41" spans="1:8" x14ac:dyDescent="0.2">
      <c r="A41">
        <v>39</v>
      </c>
      <c r="B41" t="s">
        <v>24</v>
      </c>
      <c r="C41" s="4">
        <v>1963168</v>
      </c>
      <c r="D41" s="4">
        <v>1965714</v>
      </c>
      <c r="E41" s="3">
        <v>56.6</v>
      </c>
      <c r="F41" s="3">
        <v>60.1</v>
      </c>
      <c r="G41" s="9">
        <f t="shared" si="0"/>
        <v>1.2968834047824007E-3</v>
      </c>
      <c r="H41" s="3">
        <f t="shared" si="1"/>
        <v>3.5</v>
      </c>
    </row>
    <row r="42" spans="1:8" x14ac:dyDescent="0.2">
      <c r="A42">
        <v>40</v>
      </c>
      <c r="B42" t="s">
        <v>19</v>
      </c>
      <c r="C42" s="4">
        <v>1838237</v>
      </c>
      <c r="D42" s="4">
        <v>1874231</v>
      </c>
      <c r="E42" s="3">
        <v>51.8</v>
      </c>
      <c r="F42" s="3">
        <v>51.4</v>
      </c>
      <c r="G42" s="9">
        <f t="shared" si="0"/>
        <v>1.9580717829093874E-2</v>
      </c>
      <c r="H42" s="3">
        <f t="shared" si="1"/>
        <v>-0.39999999999999858</v>
      </c>
    </row>
    <row r="43" spans="1:8" x14ac:dyDescent="0.2">
      <c r="A43">
        <v>41</v>
      </c>
      <c r="B43" t="s">
        <v>137</v>
      </c>
      <c r="C43" s="4">
        <v>1722710</v>
      </c>
      <c r="D43" s="4">
        <v>1820541</v>
      </c>
      <c r="E43" s="3">
        <v>54</v>
      </c>
      <c r="F43" s="3">
        <v>68.8</v>
      </c>
      <c r="G43" s="9">
        <f t="shared" si="0"/>
        <v>5.6789012660285243E-2</v>
      </c>
      <c r="H43" s="3">
        <f t="shared" si="1"/>
        <v>14.799999999999997</v>
      </c>
    </row>
    <row r="44" spans="1:8" x14ac:dyDescent="0.2">
      <c r="A44">
        <v>42</v>
      </c>
      <c r="B44" t="s">
        <v>138</v>
      </c>
      <c r="C44" s="4">
        <v>2172731</v>
      </c>
      <c r="D44" s="4">
        <v>1782853</v>
      </c>
      <c r="E44" s="3">
        <v>94.1</v>
      </c>
      <c r="F44" s="3">
        <v>76.8</v>
      </c>
      <c r="G44" s="9">
        <f t="shared" si="0"/>
        <v>-0.17944144949374774</v>
      </c>
      <c r="H44" s="3">
        <f t="shared" si="1"/>
        <v>-17.299999999999997</v>
      </c>
    </row>
    <row r="45" spans="1:8" x14ac:dyDescent="0.2">
      <c r="A45">
        <v>43</v>
      </c>
      <c r="B45" t="s">
        <v>139</v>
      </c>
      <c r="C45" s="4">
        <v>1704232</v>
      </c>
      <c r="D45" s="4">
        <v>1732457</v>
      </c>
      <c r="E45" s="3">
        <v>78.599999999999994</v>
      </c>
      <c r="F45" s="3">
        <v>105.6</v>
      </c>
      <c r="G45" s="9">
        <f t="shared" si="0"/>
        <v>1.6561712255138916E-2</v>
      </c>
      <c r="H45" s="3">
        <f t="shared" si="1"/>
        <v>27</v>
      </c>
    </row>
    <row r="46" spans="1:8" x14ac:dyDescent="0.2">
      <c r="A46">
        <v>44</v>
      </c>
      <c r="B46" t="s">
        <v>140</v>
      </c>
      <c r="C46" s="4">
        <v>1707406</v>
      </c>
      <c r="D46" s="4">
        <v>1659412</v>
      </c>
      <c r="E46" s="3">
        <v>45.3</v>
      </c>
      <c r="F46" s="3">
        <v>61.4</v>
      </c>
      <c r="G46" s="9">
        <f t="shared" si="0"/>
        <v>-2.8109307335220768E-2</v>
      </c>
      <c r="H46" s="3">
        <f t="shared" si="1"/>
        <v>16.100000000000001</v>
      </c>
    </row>
    <row r="47" spans="1:8" x14ac:dyDescent="0.2">
      <c r="A47">
        <v>45</v>
      </c>
      <c r="B47" t="s">
        <v>141</v>
      </c>
      <c r="C47" s="4">
        <v>1491835</v>
      </c>
      <c r="D47" s="4">
        <v>1598688</v>
      </c>
      <c r="E47" s="3">
        <v>57.4</v>
      </c>
      <c r="F47" s="3">
        <v>54.4</v>
      </c>
      <c r="G47" s="9">
        <f t="shared" si="0"/>
        <v>7.162521324409199E-2</v>
      </c>
      <c r="H47" s="3">
        <f t="shared" si="1"/>
        <v>-3</v>
      </c>
    </row>
    <row r="48" spans="1:8" x14ac:dyDescent="0.2">
      <c r="A48">
        <v>46</v>
      </c>
      <c r="B48" t="s">
        <v>142</v>
      </c>
      <c r="C48" s="4">
        <v>1507688</v>
      </c>
      <c r="D48" s="4">
        <v>1596553</v>
      </c>
      <c r="E48" s="3">
        <v>71.099999999999994</v>
      </c>
      <c r="F48" s="3">
        <v>76.5</v>
      </c>
      <c r="G48" s="9">
        <f t="shared" si="0"/>
        <v>5.8941239832113856E-2</v>
      </c>
      <c r="H48" s="3">
        <f t="shared" si="1"/>
        <v>5.4000000000000057</v>
      </c>
    </row>
    <row r="49" spans="1:8" x14ac:dyDescent="0.2">
      <c r="A49">
        <v>47</v>
      </c>
      <c r="B49" t="s">
        <v>143</v>
      </c>
      <c r="C49" s="4">
        <v>1502528</v>
      </c>
      <c r="D49" s="4">
        <v>1580147</v>
      </c>
      <c r="E49" s="3">
        <v>68.900000000000006</v>
      </c>
      <c r="F49" s="3">
        <v>122.2</v>
      </c>
      <c r="G49" s="9">
        <f t="shared" si="0"/>
        <v>5.1658937470715927E-2</v>
      </c>
      <c r="H49" s="3">
        <f t="shared" si="1"/>
        <v>53.3</v>
      </c>
    </row>
    <row r="50" spans="1:8" x14ac:dyDescent="0.2">
      <c r="A50">
        <v>48</v>
      </c>
      <c r="B50" t="s">
        <v>23</v>
      </c>
      <c r="C50" s="4">
        <v>1599982</v>
      </c>
      <c r="D50" s="4">
        <v>1552568</v>
      </c>
      <c r="E50" s="3">
        <v>59.9</v>
      </c>
      <c r="F50" s="3">
        <v>76.900000000000006</v>
      </c>
      <c r="G50" s="9">
        <f t="shared" si="0"/>
        <v>-2.9634083383438092E-2</v>
      </c>
      <c r="H50" s="3">
        <f t="shared" si="1"/>
        <v>17.000000000000007</v>
      </c>
    </row>
    <row r="51" spans="1:8" x14ac:dyDescent="0.2">
      <c r="A51">
        <v>49</v>
      </c>
      <c r="B51" t="s">
        <v>144</v>
      </c>
      <c r="C51" s="4">
        <v>1426133</v>
      </c>
      <c r="D51" s="4">
        <v>1512189</v>
      </c>
      <c r="E51" s="3">
        <v>47.3</v>
      </c>
      <c r="F51" s="3">
        <v>48.6</v>
      </c>
      <c r="G51" s="9">
        <f t="shared" si="0"/>
        <v>6.0342198097933286E-2</v>
      </c>
      <c r="H51" s="3">
        <f t="shared" si="1"/>
        <v>1.3000000000000043</v>
      </c>
    </row>
    <row r="52" spans="1:8" x14ac:dyDescent="0.2">
      <c r="A52">
        <v>50</v>
      </c>
      <c r="B52" t="s">
        <v>145</v>
      </c>
      <c r="C52" s="4">
        <v>1581268</v>
      </c>
      <c r="D52" s="4">
        <v>1503903</v>
      </c>
      <c r="E52" s="3">
        <v>55.6</v>
      </c>
      <c r="F52" s="3">
        <v>54.9</v>
      </c>
      <c r="G52" s="9">
        <f t="shared" si="0"/>
        <v>-4.8925925270099646E-2</v>
      </c>
      <c r="H52" s="3">
        <f t="shared" si="1"/>
        <v>-0.70000000000000284</v>
      </c>
    </row>
  </sheetData>
  <phoneticPr fontId="6" type="noConversion"/>
  <pageMargins left="0.75" right="0.75" top="1" bottom="1" header="0.5" footer="0.5"/>
  <pageSetup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3997"/>
  <sheetViews>
    <sheetView workbookViewId="0"/>
  </sheetViews>
  <sheetFormatPr defaultRowHeight="12.75" x14ac:dyDescent="0.2"/>
  <cols>
    <col min="1" max="1" width="7.42578125" style="7" bestFit="1" customWidth="1"/>
    <col min="2" max="2" width="6.5703125" style="7" bestFit="1" customWidth="1"/>
    <col min="3" max="3" width="7.85546875" style="7" bestFit="1" customWidth="1"/>
    <col min="4" max="4" width="9.5703125" style="7" bestFit="1" customWidth="1"/>
    <col min="5" max="5" width="11.140625" style="7" bestFit="1" customWidth="1"/>
    <col min="6" max="6" width="11.85546875" style="7" bestFit="1" customWidth="1"/>
    <col min="7" max="8" width="12" style="7" bestFit="1" customWidth="1"/>
    <col min="9" max="9" width="13.140625" style="7" bestFit="1" customWidth="1"/>
    <col min="10" max="16384" width="9.140625" style="7"/>
  </cols>
  <sheetData>
    <row r="1" spans="1:9" x14ac:dyDescent="0.2">
      <c r="A1" s="5" t="s">
        <v>34</v>
      </c>
      <c r="B1" s="5" t="s">
        <v>35</v>
      </c>
      <c r="C1" s="5" t="s">
        <v>36</v>
      </c>
      <c r="D1" s="6" t="s">
        <v>37</v>
      </c>
      <c r="E1" s="6" t="s">
        <v>38</v>
      </c>
      <c r="F1" s="6" t="s">
        <v>39</v>
      </c>
      <c r="G1" s="6" t="s">
        <v>40</v>
      </c>
      <c r="H1" s="6" t="s">
        <v>41</v>
      </c>
      <c r="I1" s="6" t="s">
        <v>42</v>
      </c>
    </row>
    <row r="2" spans="1:9" x14ac:dyDescent="0.2">
      <c r="A2" s="5" t="s">
        <v>43</v>
      </c>
      <c r="B2" s="5" t="s">
        <v>44</v>
      </c>
      <c r="C2" s="5" t="s">
        <v>45</v>
      </c>
      <c r="D2" s="5">
        <v>269851</v>
      </c>
      <c r="E2" s="5">
        <v>2248</v>
      </c>
      <c r="F2" s="5">
        <v>30527053</v>
      </c>
      <c r="G2" s="5">
        <v>0.83305231405479319</v>
      </c>
      <c r="H2" s="5">
        <v>13579.649911032029</v>
      </c>
      <c r="I2" s="5">
        <v>113.12558782439199</v>
      </c>
    </row>
    <row r="3" spans="1:9" x14ac:dyDescent="0.2">
      <c r="A3" s="5" t="s">
        <v>43</v>
      </c>
      <c r="B3" s="5" t="s">
        <v>44</v>
      </c>
      <c r="C3" s="5" t="s">
        <v>46</v>
      </c>
      <c r="D3" s="5">
        <v>271791</v>
      </c>
      <c r="E3" s="5">
        <v>2249</v>
      </c>
      <c r="F3" s="5">
        <v>32294944</v>
      </c>
      <c r="G3" s="5">
        <v>0.82747405175300137</v>
      </c>
      <c r="H3" s="5">
        <v>14359.690529124055</v>
      </c>
      <c r="I3" s="5">
        <v>118.82271304053482</v>
      </c>
    </row>
    <row r="4" spans="1:9" x14ac:dyDescent="0.2">
      <c r="A4" s="5" t="s">
        <v>43</v>
      </c>
      <c r="B4" s="5" t="s">
        <v>44</v>
      </c>
      <c r="C4" s="5" t="s">
        <v>47</v>
      </c>
      <c r="D4" s="5">
        <v>273949</v>
      </c>
      <c r="E4" s="5">
        <v>2285</v>
      </c>
      <c r="F4" s="5">
        <v>32088294</v>
      </c>
      <c r="G4" s="5">
        <v>0.83409685744426887</v>
      </c>
      <c r="H4" s="5">
        <v>14043.017067833698</v>
      </c>
      <c r="I4" s="5">
        <v>117.13236405316319</v>
      </c>
    </row>
    <row r="5" spans="1:9" x14ac:dyDescent="0.2">
      <c r="A5" s="5" t="s">
        <v>43</v>
      </c>
      <c r="B5" s="5" t="s">
        <v>44</v>
      </c>
      <c r="C5" s="5" t="s">
        <v>48</v>
      </c>
      <c r="D5" s="5">
        <v>276416</v>
      </c>
      <c r="E5" s="5">
        <v>2371</v>
      </c>
      <c r="F5" s="5">
        <v>33106579</v>
      </c>
      <c r="G5" s="5">
        <v>0.85776510766381109</v>
      </c>
      <c r="H5" s="5">
        <v>13963.129059468578</v>
      </c>
      <c r="I5" s="5">
        <v>119.77084901018755</v>
      </c>
    </row>
    <row r="6" spans="1:9" x14ac:dyDescent="0.2">
      <c r="A6" s="5" t="s">
        <v>43</v>
      </c>
      <c r="B6" s="5" t="s">
        <v>44</v>
      </c>
      <c r="C6" s="5" t="s">
        <v>49</v>
      </c>
      <c r="D6" s="5">
        <v>279396</v>
      </c>
      <c r="E6" s="5">
        <v>2395</v>
      </c>
      <c r="F6" s="5">
        <v>31710006</v>
      </c>
      <c r="G6" s="5">
        <v>0.85720625921630944</v>
      </c>
      <c r="H6" s="5">
        <v>13240.086012526095</v>
      </c>
      <c r="I6" s="5">
        <v>113.49484602499678</v>
      </c>
    </row>
    <row r="7" spans="1:9" x14ac:dyDescent="0.2">
      <c r="A7" s="5" t="s">
        <v>43</v>
      </c>
      <c r="B7" s="5" t="s">
        <v>44</v>
      </c>
      <c r="C7" s="5" t="s">
        <v>50</v>
      </c>
      <c r="D7" s="5">
        <v>282911</v>
      </c>
      <c r="E7" s="5">
        <v>2407</v>
      </c>
      <c r="F7" s="5">
        <v>31547216</v>
      </c>
      <c r="G7" s="5">
        <v>0.85079760065886445</v>
      </c>
      <c r="H7" s="5">
        <v>13106.446198587453</v>
      </c>
      <c r="I7" s="5">
        <v>111.509329789227</v>
      </c>
    </row>
    <row r="8" spans="1:9" x14ac:dyDescent="0.2">
      <c r="A8" s="5" t="s">
        <v>43</v>
      </c>
      <c r="B8" s="5" t="s">
        <v>44</v>
      </c>
      <c r="C8" s="5" t="s">
        <v>51</v>
      </c>
      <c r="D8" s="5">
        <v>286994</v>
      </c>
      <c r="E8" s="5">
        <v>2408</v>
      </c>
      <c r="F8" s="5">
        <v>33683000</v>
      </c>
      <c r="G8" s="5">
        <v>0.8390419311901991</v>
      </c>
      <c r="H8" s="5">
        <v>13987.956810631229</v>
      </c>
      <c r="I8" s="5">
        <v>117.36482295797124</v>
      </c>
    </row>
    <row r="9" spans="1:9" x14ac:dyDescent="0.2">
      <c r="A9" s="5" t="s">
        <v>43</v>
      </c>
      <c r="B9" s="5" t="s">
        <v>44</v>
      </c>
      <c r="C9" s="5" t="s">
        <v>52</v>
      </c>
      <c r="D9" s="5">
        <v>291369</v>
      </c>
      <c r="E9" s="5">
        <v>2434</v>
      </c>
      <c r="F9" s="5">
        <v>35534614</v>
      </c>
      <c r="G9" s="5">
        <v>0.83536683724074967</v>
      </c>
      <c r="H9" s="5">
        <v>14599.266228430566</v>
      </c>
      <c r="I9" s="5">
        <v>121.95742855279731</v>
      </c>
    </row>
    <row r="10" spans="1:9" x14ac:dyDescent="0.2">
      <c r="A10" s="5" t="s">
        <v>43</v>
      </c>
      <c r="B10" s="5" t="s">
        <v>44</v>
      </c>
      <c r="C10" s="5" t="s">
        <v>53</v>
      </c>
      <c r="D10" s="5">
        <v>295261</v>
      </c>
      <c r="E10" s="5">
        <v>2511</v>
      </c>
      <c r="F10" s="5">
        <v>37884873</v>
      </c>
      <c r="G10" s="5">
        <v>0.85043402277984559</v>
      </c>
      <c r="H10" s="5">
        <v>15087.563918757467</v>
      </c>
      <c r="I10" s="5">
        <v>128.30977677376964</v>
      </c>
    </row>
    <row r="11" spans="1:9" x14ac:dyDescent="0.2">
      <c r="A11" s="5" t="s">
        <v>43</v>
      </c>
      <c r="B11" s="5" t="s">
        <v>44</v>
      </c>
      <c r="C11" s="5" t="s">
        <v>54</v>
      </c>
      <c r="D11" s="5">
        <v>299020</v>
      </c>
      <c r="E11" s="5">
        <v>2640</v>
      </c>
      <c r="F11" s="5">
        <v>37769149</v>
      </c>
      <c r="G11" s="5">
        <v>0.88288408802086815</v>
      </c>
      <c r="H11" s="5">
        <v>14306.495833333332</v>
      </c>
      <c r="I11" s="5">
        <v>126.30977526586851</v>
      </c>
    </row>
    <row r="12" spans="1:9" x14ac:dyDescent="0.2">
      <c r="A12" s="5" t="s">
        <v>43</v>
      </c>
      <c r="B12" s="5" t="s">
        <v>44</v>
      </c>
      <c r="C12" s="5" t="s">
        <v>55</v>
      </c>
      <c r="D12" s="5">
        <v>303338</v>
      </c>
      <c r="E12" s="5">
        <v>2691</v>
      </c>
      <c r="F12" s="5">
        <v>36040781</v>
      </c>
      <c r="G12" s="5">
        <v>0.8871292090011802</v>
      </c>
      <c r="H12" s="5">
        <v>13393.081010776663</v>
      </c>
      <c r="I12" s="5">
        <v>118.81393363179028</v>
      </c>
    </row>
    <row r="13" spans="1:9" x14ac:dyDescent="0.2">
      <c r="A13" s="5" t="s">
        <v>43</v>
      </c>
      <c r="B13" s="5" t="s">
        <v>44</v>
      </c>
      <c r="C13" s="5" t="s">
        <v>56</v>
      </c>
      <c r="D13" s="5">
        <v>307787</v>
      </c>
      <c r="E13" s="5">
        <v>2793</v>
      </c>
      <c r="F13" s="5">
        <v>35674424</v>
      </c>
      <c r="G13" s="5">
        <v>0.90744573357549219</v>
      </c>
      <c r="H13" s="5">
        <v>12772.797708557107</v>
      </c>
      <c r="I13" s="5">
        <v>115.90620786452969</v>
      </c>
    </row>
    <row r="14" spans="1:9" x14ac:dyDescent="0.2">
      <c r="A14" s="5" t="s">
        <v>43</v>
      </c>
      <c r="B14" s="5" t="s">
        <v>44</v>
      </c>
      <c r="C14" s="5" t="s">
        <v>57</v>
      </c>
      <c r="D14" s="5">
        <v>311628</v>
      </c>
      <c r="E14" s="5">
        <v>2801</v>
      </c>
      <c r="F14" s="5">
        <v>34483926</v>
      </c>
      <c r="G14" s="5">
        <v>0.89882808990206275</v>
      </c>
      <c r="H14" s="5">
        <v>12311.290967511603</v>
      </c>
      <c r="I14" s="5">
        <v>110.65734144556971</v>
      </c>
    </row>
    <row r="15" spans="1:9" x14ac:dyDescent="0.2">
      <c r="A15" s="5" t="s">
        <v>43</v>
      </c>
      <c r="B15" s="5" t="s">
        <v>44</v>
      </c>
      <c r="C15" s="5" t="s">
        <v>58</v>
      </c>
      <c r="D15" s="5">
        <v>314965</v>
      </c>
      <c r="E15" s="5">
        <v>2716</v>
      </c>
      <c r="F15" s="5">
        <v>36517629</v>
      </c>
      <c r="G15" s="5">
        <v>0.8623180353372597</v>
      </c>
      <c r="H15" s="5">
        <v>13445.371502209131</v>
      </c>
      <c r="I15" s="5">
        <v>115.94186338164558</v>
      </c>
    </row>
    <row r="16" spans="1:9" x14ac:dyDescent="0.2">
      <c r="A16" s="5" t="s">
        <v>43</v>
      </c>
      <c r="B16" s="5" t="s">
        <v>44</v>
      </c>
      <c r="C16" s="5" t="s">
        <v>59</v>
      </c>
      <c r="D16" s="5">
        <v>317978</v>
      </c>
      <c r="E16" s="5">
        <v>2699</v>
      </c>
      <c r="F16" s="5">
        <v>38570099</v>
      </c>
      <c r="G16" s="5">
        <v>0.84880086043688552</v>
      </c>
      <c r="H16" s="5">
        <v>14290.514635050018</v>
      </c>
      <c r="I16" s="5">
        <v>121.29801118316361</v>
      </c>
    </row>
    <row r="17" spans="1:9" x14ac:dyDescent="0.2">
      <c r="A17" s="5" t="s">
        <v>43</v>
      </c>
      <c r="B17" s="5" t="s">
        <v>44</v>
      </c>
      <c r="C17" s="5" t="s">
        <v>60</v>
      </c>
      <c r="D17" s="5">
        <v>320713</v>
      </c>
      <c r="E17" s="5">
        <v>2717</v>
      </c>
      <c r="F17" s="5">
        <v>41349895</v>
      </c>
      <c r="G17" s="5">
        <v>0.84717488845166866</v>
      </c>
      <c r="H17" s="5">
        <v>15218.952889216047</v>
      </c>
      <c r="I17" s="5">
        <v>128.93114716272805</v>
      </c>
    </row>
    <row r="18" spans="1:9" x14ac:dyDescent="0.2">
      <c r="A18" s="5" t="s">
        <v>43</v>
      </c>
      <c r="B18" s="5" t="s">
        <v>44</v>
      </c>
      <c r="C18" s="5" t="s">
        <v>61</v>
      </c>
      <c r="D18" s="5">
        <v>323028</v>
      </c>
      <c r="E18" s="5">
        <v>2728</v>
      </c>
      <c r="F18" s="5">
        <v>42956284</v>
      </c>
      <c r="G18" s="5">
        <v>0.84450883514741759</v>
      </c>
      <c r="H18" s="5">
        <v>15746.438416422287</v>
      </c>
      <c r="I18" s="5">
        <v>132.98006364773332</v>
      </c>
    </row>
    <row r="19" spans="1:9" x14ac:dyDescent="0.2">
      <c r="A19" s="5" t="s">
        <v>43</v>
      </c>
      <c r="B19" s="5" t="s">
        <v>44</v>
      </c>
      <c r="C19" s="5" t="s">
        <v>62</v>
      </c>
      <c r="D19" s="5">
        <v>325246</v>
      </c>
      <c r="E19" s="5">
        <v>2782</v>
      </c>
      <c r="F19" s="5">
        <v>43203482</v>
      </c>
      <c r="G19" s="5">
        <v>0.85535256390547465</v>
      </c>
      <c r="H19" s="5">
        <v>15529.64845434939</v>
      </c>
      <c r="I19" s="5">
        <v>132.8332462197844</v>
      </c>
    </row>
    <row r="20" spans="1:9" x14ac:dyDescent="0.2">
      <c r="A20" s="5" t="s">
        <v>43</v>
      </c>
      <c r="B20" s="5" t="s">
        <v>63</v>
      </c>
      <c r="C20" s="5" t="s">
        <v>45</v>
      </c>
      <c r="D20" s="5">
        <v>269851</v>
      </c>
      <c r="E20" s="5">
        <v>9802</v>
      </c>
      <c r="F20" s="5">
        <v>25120954</v>
      </c>
      <c r="G20" s="5">
        <v>3.6323749031873143</v>
      </c>
      <c r="H20" s="5">
        <v>2562.8396245664148</v>
      </c>
      <c r="I20" s="5">
        <v>93.091943331690445</v>
      </c>
    </row>
    <row r="21" spans="1:9" x14ac:dyDescent="0.2">
      <c r="A21" s="5" t="s">
        <v>43</v>
      </c>
      <c r="B21" s="5" t="s">
        <v>63</v>
      </c>
      <c r="C21" s="5" t="s">
        <v>46</v>
      </c>
      <c r="D21" s="5">
        <v>271791</v>
      </c>
      <c r="E21" s="5">
        <v>10119</v>
      </c>
      <c r="F21" s="5">
        <v>26799314</v>
      </c>
      <c r="G21" s="5">
        <v>3.7230813382341577</v>
      </c>
      <c r="H21" s="5">
        <v>2648.4152584247454</v>
      </c>
      <c r="I21" s="5">
        <v>98.602654245357641</v>
      </c>
    </row>
    <row r="22" spans="1:9" x14ac:dyDescent="0.2">
      <c r="A22" s="5" t="s">
        <v>43</v>
      </c>
      <c r="B22" s="5" t="s">
        <v>63</v>
      </c>
      <c r="C22" s="5" t="s">
        <v>47</v>
      </c>
      <c r="D22" s="5">
        <v>273949</v>
      </c>
      <c r="E22" s="5">
        <v>10411</v>
      </c>
      <c r="F22" s="5">
        <v>27651971</v>
      </c>
      <c r="G22" s="5">
        <v>3.8003423994977168</v>
      </c>
      <c r="H22" s="5">
        <v>2656.0340985496109</v>
      </c>
      <c r="I22" s="5">
        <v>100.93838999229784</v>
      </c>
    </row>
    <row r="23" spans="1:9" x14ac:dyDescent="0.2">
      <c r="A23" s="5" t="s">
        <v>43</v>
      </c>
      <c r="B23" s="5" t="s">
        <v>63</v>
      </c>
      <c r="C23" s="5" t="s">
        <v>48</v>
      </c>
      <c r="D23" s="5">
        <v>276416</v>
      </c>
      <c r="E23" s="5">
        <v>10556</v>
      </c>
      <c r="F23" s="5">
        <v>28581723</v>
      </c>
      <c r="G23" s="5">
        <v>3.8188816855753647</v>
      </c>
      <c r="H23" s="5">
        <v>2707.6281735505872</v>
      </c>
      <c r="I23" s="5">
        <v>103.40111643320213</v>
      </c>
    </row>
    <row r="24" spans="1:9" x14ac:dyDescent="0.2">
      <c r="A24" s="5" t="s">
        <v>43</v>
      </c>
      <c r="B24" s="5" t="s">
        <v>63</v>
      </c>
      <c r="C24" s="5" t="s">
        <v>49</v>
      </c>
      <c r="D24" s="5">
        <v>279396</v>
      </c>
      <c r="E24" s="5">
        <v>10431</v>
      </c>
      <c r="F24" s="5">
        <v>29202281</v>
      </c>
      <c r="G24" s="5">
        <v>3.7334106429583818</v>
      </c>
      <c r="H24" s="5">
        <v>2799.5667721215609</v>
      </c>
      <c r="I24" s="5">
        <v>104.51932382711277</v>
      </c>
    </row>
    <row r="25" spans="1:9" x14ac:dyDescent="0.2">
      <c r="A25" s="5" t="s">
        <v>43</v>
      </c>
      <c r="B25" s="5" t="s">
        <v>63</v>
      </c>
      <c r="C25" s="5" t="s">
        <v>50</v>
      </c>
      <c r="D25" s="5">
        <v>282911</v>
      </c>
      <c r="E25" s="5">
        <v>10233</v>
      </c>
      <c r="F25" s="5">
        <v>28341327</v>
      </c>
      <c r="G25" s="5">
        <v>3.6170385739684918</v>
      </c>
      <c r="H25" s="5">
        <v>2769.6009967751393</v>
      </c>
      <c r="I25" s="5">
        <v>100.17753639837264</v>
      </c>
    </row>
    <row r="26" spans="1:9" x14ac:dyDescent="0.2">
      <c r="A26" s="5" t="s">
        <v>43</v>
      </c>
      <c r="B26" s="5" t="s">
        <v>63</v>
      </c>
      <c r="C26" s="5" t="s">
        <v>51</v>
      </c>
      <c r="D26" s="5">
        <v>286994</v>
      </c>
      <c r="E26" s="5">
        <v>10010</v>
      </c>
      <c r="F26" s="5">
        <v>28163716</v>
      </c>
      <c r="G26" s="5">
        <v>3.4878777953546067</v>
      </c>
      <c r="H26" s="5">
        <v>2813.5580419580419</v>
      </c>
      <c r="I26" s="5">
        <v>98.133466204868398</v>
      </c>
    </row>
    <row r="27" spans="1:9" x14ac:dyDescent="0.2">
      <c r="A27" s="5" t="s">
        <v>43</v>
      </c>
      <c r="B27" s="5" t="s">
        <v>63</v>
      </c>
      <c r="C27" s="5" t="s">
        <v>52</v>
      </c>
      <c r="D27" s="5">
        <v>291369</v>
      </c>
      <c r="E27" s="5">
        <v>10124</v>
      </c>
      <c r="F27" s="5">
        <v>28746847</v>
      </c>
      <c r="G27" s="5">
        <v>3.4746318242503493</v>
      </c>
      <c r="H27" s="5">
        <v>2839.475207427894</v>
      </c>
      <c r="I27" s="5">
        <v>98.661309198988221</v>
      </c>
    </row>
    <row r="28" spans="1:9" x14ac:dyDescent="0.2">
      <c r="A28" s="5" t="s">
        <v>43</v>
      </c>
      <c r="B28" s="5" t="s">
        <v>63</v>
      </c>
      <c r="C28" s="5" t="s">
        <v>53</v>
      </c>
      <c r="D28" s="5">
        <v>295261</v>
      </c>
      <c r="E28" s="5">
        <v>10342</v>
      </c>
      <c r="F28" s="5">
        <v>28911662</v>
      </c>
      <c r="G28" s="5">
        <v>3.502663744957851</v>
      </c>
      <c r="H28" s="5">
        <v>2795.5581125507638</v>
      </c>
      <c r="I28" s="5">
        <v>97.919000477543591</v>
      </c>
    </row>
    <row r="29" spans="1:9" x14ac:dyDescent="0.2">
      <c r="A29" s="5" t="s">
        <v>43</v>
      </c>
      <c r="B29" s="5" t="s">
        <v>63</v>
      </c>
      <c r="C29" s="5" t="s">
        <v>54</v>
      </c>
      <c r="D29" s="5">
        <v>299020</v>
      </c>
      <c r="E29" s="5">
        <v>11301</v>
      </c>
      <c r="F29" s="5">
        <v>32428891</v>
      </c>
      <c r="G29" s="5">
        <v>3.7793458631529662</v>
      </c>
      <c r="H29" s="5">
        <v>2869.5594195203962</v>
      </c>
      <c r="I29" s="5">
        <v>108.45057521236038</v>
      </c>
    </row>
    <row r="30" spans="1:9" x14ac:dyDescent="0.2">
      <c r="A30" s="5" t="s">
        <v>43</v>
      </c>
      <c r="B30" s="5" t="s">
        <v>63</v>
      </c>
      <c r="C30" s="5" t="s">
        <v>55</v>
      </c>
      <c r="D30" s="5">
        <v>303338</v>
      </c>
      <c r="E30" s="5">
        <v>11830</v>
      </c>
      <c r="F30" s="5">
        <v>33765789</v>
      </c>
      <c r="G30" s="5">
        <v>3.8999400009230629</v>
      </c>
      <c r="H30" s="5">
        <v>2854.2509721048182</v>
      </c>
      <c r="I30" s="5">
        <v>111.31407538785118</v>
      </c>
    </row>
    <row r="31" spans="1:9" x14ac:dyDescent="0.2">
      <c r="A31" s="5" t="s">
        <v>43</v>
      </c>
      <c r="B31" s="5" t="s">
        <v>63</v>
      </c>
      <c r="C31" s="5" t="s">
        <v>56</v>
      </c>
      <c r="D31" s="5">
        <v>307787</v>
      </c>
      <c r="E31" s="5">
        <v>11877</v>
      </c>
      <c r="F31" s="5">
        <v>33902635</v>
      </c>
      <c r="G31" s="5">
        <v>3.8588374427769856</v>
      </c>
      <c r="H31" s="5">
        <v>2854.4779826555528</v>
      </c>
      <c r="I31" s="5">
        <v>110.14966519053762</v>
      </c>
    </row>
    <row r="32" spans="1:9" x14ac:dyDescent="0.2">
      <c r="A32" s="5" t="s">
        <v>43</v>
      </c>
      <c r="B32" s="5" t="s">
        <v>63</v>
      </c>
      <c r="C32" s="5" t="s">
        <v>57</v>
      </c>
      <c r="D32" s="5">
        <v>311628</v>
      </c>
      <c r="E32" s="5">
        <v>11947</v>
      </c>
      <c r="F32" s="5">
        <v>34369219</v>
      </c>
      <c r="G32" s="5">
        <v>3.8337376615708472</v>
      </c>
      <c r="H32" s="5">
        <v>2876.8074830501382</v>
      </c>
      <c r="I32" s="5">
        <v>110.28925192858151</v>
      </c>
    </row>
    <row r="33" spans="1:9" x14ac:dyDescent="0.2">
      <c r="A33" s="5" t="s">
        <v>43</v>
      </c>
      <c r="B33" s="5" t="s">
        <v>63</v>
      </c>
      <c r="C33" s="5" t="s">
        <v>58</v>
      </c>
      <c r="D33" s="5">
        <v>314965</v>
      </c>
      <c r="E33" s="5">
        <v>11553</v>
      </c>
      <c r="F33" s="5">
        <v>33261505</v>
      </c>
      <c r="G33" s="5">
        <v>3.66802660613084</v>
      </c>
      <c r="H33" s="5">
        <v>2879.0361810785075</v>
      </c>
      <c r="I33" s="5">
        <v>105.60381312209293</v>
      </c>
    </row>
    <row r="34" spans="1:9" x14ac:dyDescent="0.2">
      <c r="A34" s="5" t="s">
        <v>43</v>
      </c>
      <c r="B34" s="5" t="s">
        <v>63</v>
      </c>
      <c r="C34" s="5" t="s">
        <v>59</v>
      </c>
      <c r="D34" s="5">
        <v>317978</v>
      </c>
      <c r="E34" s="5">
        <v>11351</v>
      </c>
      <c r="F34" s="5">
        <v>33644858</v>
      </c>
      <c r="G34" s="5">
        <v>3.5697438187547568</v>
      </c>
      <c r="H34" s="5">
        <v>2964.043520394679</v>
      </c>
      <c r="I34" s="5">
        <v>105.80876035448993</v>
      </c>
    </row>
    <row r="35" spans="1:9" x14ac:dyDescent="0.2">
      <c r="A35" s="5" t="s">
        <v>43</v>
      </c>
      <c r="B35" s="5" t="s">
        <v>63</v>
      </c>
      <c r="C35" s="5" t="s">
        <v>60</v>
      </c>
      <c r="D35" s="5">
        <v>320713</v>
      </c>
      <c r="E35" s="5">
        <v>11396</v>
      </c>
      <c r="F35" s="5">
        <v>34195369</v>
      </c>
      <c r="G35" s="5">
        <v>3.5533327305098328</v>
      </c>
      <c r="H35" s="5">
        <v>3000.6466303966304</v>
      </c>
      <c r="I35" s="5">
        <v>106.62295884482387</v>
      </c>
    </row>
    <row r="36" spans="1:9" x14ac:dyDescent="0.2">
      <c r="A36" s="5" t="s">
        <v>43</v>
      </c>
      <c r="B36" s="5" t="s">
        <v>63</v>
      </c>
      <c r="C36" s="5" t="s">
        <v>61</v>
      </c>
      <c r="D36" s="5">
        <v>323028</v>
      </c>
      <c r="E36" s="5">
        <v>11271</v>
      </c>
      <c r="F36" s="5">
        <v>33888964</v>
      </c>
      <c r="G36" s="5">
        <v>3.489171217355771</v>
      </c>
      <c r="H36" s="5">
        <v>3006.7397746428887</v>
      </c>
      <c r="I36" s="5">
        <v>104.91029879762745</v>
      </c>
    </row>
    <row r="37" spans="1:9" x14ac:dyDescent="0.2">
      <c r="A37" s="5" t="s">
        <v>43</v>
      </c>
      <c r="B37" s="5" t="s">
        <v>63</v>
      </c>
      <c r="C37" s="5" t="s">
        <v>62</v>
      </c>
      <c r="D37" s="5">
        <v>325246</v>
      </c>
      <c r="E37" s="5">
        <v>11170</v>
      </c>
      <c r="F37" s="5">
        <v>34059433</v>
      </c>
      <c r="G37" s="5">
        <v>3.4343235581682787</v>
      </c>
      <c r="H37" s="5">
        <v>3049.1882721575648</v>
      </c>
      <c r="I37" s="5">
        <v>104.71899116361155</v>
      </c>
    </row>
    <row r="38" spans="1:9" x14ac:dyDescent="0.2">
      <c r="A38" s="5" t="s">
        <v>43</v>
      </c>
      <c r="B38" s="5" t="s">
        <v>64</v>
      </c>
      <c r="C38" s="5" t="s">
        <v>45</v>
      </c>
      <c r="D38" s="5">
        <v>214868</v>
      </c>
      <c r="E38" s="5">
        <v>30660</v>
      </c>
      <c r="F38" s="5">
        <v>15374911</v>
      </c>
      <c r="G38" s="5">
        <v>14.269225757209076</v>
      </c>
      <c r="H38" s="5">
        <v>501.46480756686236</v>
      </c>
      <c r="I38" s="5">
        <v>71.555145484669652</v>
      </c>
    </row>
    <row r="39" spans="1:9" x14ac:dyDescent="0.2">
      <c r="A39" s="5" t="s">
        <v>43</v>
      </c>
      <c r="B39" s="5" t="s">
        <v>64</v>
      </c>
      <c r="C39" s="5" t="s">
        <v>46</v>
      </c>
      <c r="D39" s="5">
        <v>217197</v>
      </c>
      <c r="E39" s="5">
        <v>31197</v>
      </c>
      <c r="F39" s="5">
        <v>15916922</v>
      </c>
      <c r="G39" s="5">
        <v>14.363458058812967</v>
      </c>
      <c r="H39" s="5">
        <v>510.20681475782931</v>
      </c>
      <c r="I39" s="5">
        <v>73.283341850946371</v>
      </c>
    </row>
    <row r="40" spans="1:9" x14ac:dyDescent="0.2">
      <c r="A40" s="5" t="s">
        <v>43</v>
      </c>
      <c r="B40" s="5" t="s">
        <v>64</v>
      </c>
      <c r="C40" s="5" t="s">
        <v>47</v>
      </c>
      <c r="D40" s="5">
        <v>219621</v>
      </c>
      <c r="E40" s="5">
        <v>31806</v>
      </c>
      <c r="F40" s="5">
        <v>16228729</v>
      </c>
      <c r="G40" s="5">
        <v>14.482221645471062</v>
      </c>
      <c r="H40" s="5">
        <v>510.24111802804504</v>
      </c>
      <c r="I40" s="5">
        <v>73.894249639151084</v>
      </c>
    </row>
    <row r="41" spans="1:9" x14ac:dyDescent="0.2">
      <c r="A41" s="5" t="s">
        <v>43</v>
      </c>
      <c r="B41" s="5" t="s">
        <v>64</v>
      </c>
      <c r="C41" s="5" t="s">
        <v>48</v>
      </c>
      <c r="D41" s="5">
        <v>222055</v>
      </c>
      <c r="E41" s="5">
        <v>33161</v>
      </c>
      <c r="F41" s="5">
        <v>16948266</v>
      </c>
      <c r="G41" s="5">
        <v>14.933687599918938</v>
      </c>
      <c r="H41" s="5">
        <v>511.09031693857241</v>
      </c>
      <c r="I41" s="5">
        <v>76.324631285041988</v>
      </c>
    </row>
    <row r="42" spans="1:9" x14ac:dyDescent="0.2">
      <c r="A42" s="5" t="s">
        <v>43</v>
      </c>
      <c r="B42" s="5" t="s">
        <v>64</v>
      </c>
      <c r="C42" s="5" t="s">
        <v>49</v>
      </c>
      <c r="D42" s="5">
        <v>224189</v>
      </c>
      <c r="E42" s="5">
        <v>34357</v>
      </c>
      <c r="F42" s="5">
        <v>17374170</v>
      </c>
      <c r="G42" s="5">
        <v>15.325015946366682</v>
      </c>
      <c r="H42" s="5">
        <v>505.69520039584364</v>
      </c>
      <c r="I42" s="5">
        <v>77.497870100673978</v>
      </c>
    </row>
    <row r="43" spans="1:9" x14ac:dyDescent="0.2">
      <c r="A43" s="5" t="s">
        <v>43</v>
      </c>
      <c r="B43" s="5" t="s">
        <v>64</v>
      </c>
      <c r="C43" s="5" t="s">
        <v>50</v>
      </c>
      <c r="D43" s="5">
        <v>226492</v>
      </c>
      <c r="E43" s="5">
        <v>35304</v>
      </c>
      <c r="F43" s="5">
        <v>18019675</v>
      </c>
      <c r="G43" s="5">
        <v>15.58730551189446</v>
      </c>
      <c r="H43" s="5">
        <v>510.41454226150012</v>
      </c>
      <c r="I43" s="5">
        <v>79.559874079437691</v>
      </c>
    </row>
    <row r="44" spans="1:9" x14ac:dyDescent="0.2">
      <c r="A44" s="5" t="s">
        <v>43</v>
      </c>
      <c r="B44" s="5" t="s">
        <v>64</v>
      </c>
      <c r="C44" s="5" t="s">
        <v>51</v>
      </c>
      <c r="D44" s="5">
        <v>228729</v>
      </c>
      <c r="E44" s="5">
        <v>35374</v>
      </c>
      <c r="F44" s="5">
        <v>19357537</v>
      </c>
      <c r="G44" s="5">
        <v>15.465463496102375</v>
      </c>
      <c r="H44" s="5">
        <v>547.22499575959739</v>
      </c>
      <c r="I44" s="5">
        <v>84.630881960748312</v>
      </c>
    </row>
    <row r="45" spans="1:9" x14ac:dyDescent="0.2">
      <c r="A45" s="5" t="s">
        <v>43</v>
      </c>
      <c r="B45" s="5" t="s">
        <v>64</v>
      </c>
      <c r="C45" s="5" t="s">
        <v>52</v>
      </c>
      <c r="D45" s="5">
        <v>231048</v>
      </c>
      <c r="E45" s="5">
        <v>34279</v>
      </c>
      <c r="F45" s="5">
        <v>18781539</v>
      </c>
      <c r="G45" s="5">
        <v>14.836311069561303</v>
      </c>
      <c r="H45" s="5">
        <v>547.90218501123138</v>
      </c>
      <c r="I45" s="5">
        <v>81.288472525189576</v>
      </c>
    </row>
    <row r="46" spans="1:9" x14ac:dyDescent="0.2">
      <c r="A46" s="5" t="s">
        <v>43</v>
      </c>
      <c r="B46" s="5" t="s">
        <v>64</v>
      </c>
      <c r="C46" s="5" t="s">
        <v>53</v>
      </c>
      <c r="D46" s="5">
        <v>233498</v>
      </c>
      <c r="E46" s="5">
        <v>31374</v>
      </c>
      <c r="F46" s="5">
        <v>17884411</v>
      </c>
      <c r="G46" s="5">
        <v>13.436517657538822</v>
      </c>
      <c r="H46" s="5">
        <v>570.03923631032069</v>
      </c>
      <c r="I46" s="5">
        <v>76.593422641735685</v>
      </c>
    </row>
    <row r="47" spans="1:9" x14ac:dyDescent="0.2">
      <c r="A47" s="5" t="s">
        <v>43</v>
      </c>
      <c r="B47" s="5" t="s">
        <v>64</v>
      </c>
      <c r="C47" s="5" t="s">
        <v>54</v>
      </c>
      <c r="D47" s="5">
        <v>236157</v>
      </c>
      <c r="E47" s="5">
        <v>29172</v>
      </c>
      <c r="F47" s="5">
        <v>17065292</v>
      </c>
      <c r="G47" s="5">
        <v>12.352799197144273</v>
      </c>
      <c r="H47" s="5">
        <v>584.98875634169747</v>
      </c>
      <c r="I47" s="5">
        <v>72.262486396761474</v>
      </c>
    </row>
    <row r="48" spans="1:9" x14ac:dyDescent="0.2">
      <c r="A48" s="5" t="s">
        <v>43</v>
      </c>
      <c r="B48" s="5" t="s">
        <v>64</v>
      </c>
      <c r="C48" s="5" t="s">
        <v>55</v>
      </c>
      <c r="D48" s="5">
        <v>239007</v>
      </c>
      <c r="E48" s="5">
        <v>27845</v>
      </c>
      <c r="F48" s="5">
        <v>14858487</v>
      </c>
      <c r="G48" s="5">
        <v>11.650286393285553</v>
      </c>
      <c r="H48" s="5">
        <v>533.61418567067699</v>
      </c>
      <c r="I48" s="5">
        <v>62.167580865832385</v>
      </c>
    </row>
    <row r="49" spans="1:9" x14ac:dyDescent="0.2">
      <c r="A49" s="5" t="s">
        <v>43</v>
      </c>
      <c r="B49" s="5" t="s">
        <v>64</v>
      </c>
      <c r="C49" s="5" t="s">
        <v>56</v>
      </c>
      <c r="D49" s="5">
        <v>241668</v>
      </c>
      <c r="E49" s="5">
        <v>26447</v>
      </c>
      <c r="F49" s="5">
        <v>14182874</v>
      </c>
      <c r="G49" s="5">
        <v>10.943525828823013</v>
      </c>
      <c r="H49" s="5">
        <v>536.27534313910837</v>
      </c>
      <c r="I49" s="5">
        <v>58.687430690037573</v>
      </c>
    </row>
    <row r="50" spans="1:9" x14ac:dyDescent="0.2">
      <c r="A50" s="5" t="s">
        <v>43</v>
      </c>
      <c r="B50" s="5" t="s">
        <v>64</v>
      </c>
      <c r="C50" s="5" t="s">
        <v>57</v>
      </c>
      <c r="D50" s="5">
        <v>243956</v>
      </c>
      <c r="E50" s="5">
        <v>26833</v>
      </c>
      <c r="F50" s="5">
        <v>13798653</v>
      </c>
      <c r="G50" s="5">
        <v>10.999114594435062</v>
      </c>
      <c r="H50" s="5">
        <v>514.24190362613206</v>
      </c>
      <c r="I50" s="5">
        <v>56.562056272442568</v>
      </c>
    </row>
    <row r="51" spans="1:9" x14ac:dyDescent="0.2">
      <c r="A51" s="5" t="s">
        <v>43</v>
      </c>
      <c r="B51" s="5" t="s">
        <v>64</v>
      </c>
      <c r="C51" s="5" t="s">
        <v>58</v>
      </c>
      <c r="D51" s="5">
        <v>245754</v>
      </c>
      <c r="E51" s="5">
        <v>27535</v>
      </c>
      <c r="F51" s="5">
        <v>13657867</v>
      </c>
      <c r="G51" s="5">
        <v>11.204293724618928</v>
      </c>
      <c r="H51" s="5">
        <v>496.01841292899945</v>
      </c>
      <c r="I51" s="5">
        <v>55.575359912758287</v>
      </c>
    </row>
    <row r="52" spans="1:9" x14ac:dyDescent="0.2">
      <c r="A52" s="5" t="s">
        <v>43</v>
      </c>
      <c r="B52" s="5" t="s">
        <v>64</v>
      </c>
      <c r="C52" s="5" t="s">
        <v>59</v>
      </c>
      <c r="D52" s="5">
        <v>247113</v>
      </c>
      <c r="E52" s="5">
        <v>27781</v>
      </c>
      <c r="F52" s="5">
        <v>14019992</v>
      </c>
      <c r="G52" s="5">
        <v>11.242225216803648</v>
      </c>
      <c r="H52" s="5">
        <v>504.66117130412874</v>
      </c>
      <c r="I52" s="5">
        <v>56.73514545976942</v>
      </c>
    </row>
    <row r="53" spans="1:9" x14ac:dyDescent="0.2">
      <c r="A53" s="5" t="s">
        <v>43</v>
      </c>
      <c r="B53" s="5" t="s">
        <v>64</v>
      </c>
      <c r="C53" s="5" t="s">
        <v>60</v>
      </c>
      <c r="D53" s="5">
        <v>248561</v>
      </c>
      <c r="E53" s="5">
        <v>27720</v>
      </c>
      <c r="F53" s="5">
        <v>14340786</v>
      </c>
      <c r="G53" s="5">
        <v>11.152192017251298</v>
      </c>
      <c r="H53" s="5">
        <v>517.34437229437231</v>
      </c>
      <c r="I53" s="5">
        <v>57.695237788711822</v>
      </c>
    </row>
    <row r="54" spans="1:9" x14ac:dyDescent="0.2">
      <c r="A54" s="5" t="s">
        <v>43</v>
      </c>
      <c r="B54" s="5" t="s">
        <v>64</v>
      </c>
      <c r="C54" s="5" t="s">
        <v>61</v>
      </c>
      <c r="D54" s="5">
        <v>250147</v>
      </c>
      <c r="E54" s="5">
        <v>27813</v>
      </c>
      <c r="F54" s="5">
        <v>14512651</v>
      </c>
      <c r="G54" s="5">
        <v>11.118662226610754</v>
      </c>
      <c r="H54" s="5">
        <v>521.79380145974903</v>
      </c>
      <c r="I54" s="5">
        <v>58.016490303701424</v>
      </c>
    </row>
    <row r="55" spans="1:9" x14ac:dyDescent="0.2">
      <c r="A55" s="5" t="s">
        <v>43</v>
      </c>
      <c r="B55" s="5" t="s">
        <v>64</v>
      </c>
      <c r="C55" s="5" t="s">
        <v>62</v>
      </c>
      <c r="D55" s="5">
        <v>251783</v>
      </c>
      <c r="E55" s="5">
        <v>26745</v>
      </c>
      <c r="F55" s="5">
        <v>14217953</v>
      </c>
      <c r="G55" s="5">
        <v>10.622242168851749</v>
      </c>
      <c r="H55" s="5">
        <v>531.61162834174615</v>
      </c>
      <c r="I55" s="5">
        <v>56.469074560236393</v>
      </c>
    </row>
    <row r="56" spans="1:9" x14ac:dyDescent="0.2">
      <c r="A56" s="5" t="s">
        <v>43</v>
      </c>
      <c r="B56" s="5" t="s">
        <v>65</v>
      </c>
      <c r="C56" s="5" t="s">
        <v>45</v>
      </c>
      <c r="D56" s="5">
        <v>188509</v>
      </c>
      <c r="E56" s="5">
        <v>13026</v>
      </c>
      <c r="F56" s="5">
        <v>35033052</v>
      </c>
      <c r="G56" s="5">
        <v>6.9100149064500895</v>
      </c>
      <c r="H56" s="5">
        <v>2689.4712114233071</v>
      </c>
      <c r="I56" s="5">
        <v>185.84286161403435</v>
      </c>
    </row>
    <row r="57" spans="1:9" x14ac:dyDescent="0.2">
      <c r="A57" s="5" t="s">
        <v>43</v>
      </c>
      <c r="B57" s="5" t="s">
        <v>65</v>
      </c>
      <c r="C57" s="5" t="s">
        <v>46</v>
      </c>
      <c r="D57" s="5">
        <v>190750</v>
      </c>
      <c r="E57" s="5">
        <v>13321</v>
      </c>
      <c r="F57" s="5">
        <v>36542859</v>
      </c>
      <c r="G57" s="5">
        <v>6.9834862385321097</v>
      </c>
      <c r="H57" s="5">
        <v>2743.2519330380601</v>
      </c>
      <c r="I57" s="5">
        <v>191.57462123197902</v>
      </c>
    </row>
    <row r="58" spans="1:9" x14ac:dyDescent="0.2">
      <c r="A58" s="5" t="s">
        <v>43</v>
      </c>
      <c r="B58" s="5" t="s">
        <v>65</v>
      </c>
      <c r="C58" s="5" t="s">
        <v>47</v>
      </c>
      <c r="D58" s="5">
        <v>193100</v>
      </c>
      <c r="E58" s="5">
        <v>13715</v>
      </c>
      <c r="F58" s="5">
        <v>37635025</v>
      </c>
      <c r="G58" s="5">
        <v>7.1025375453133091</v>
      </c>
      <c r="H58" s="5">
        <v>2744.0776522056144</v>
      </c>
      <c r="I58" s="5">
        <v>194.89914552045573</v>
      </c>
    </row>
    <row r="59" spans="1:9" x14ac:dyDescent="0.2">
      <c r="A59" s="5" t="s">
        <v>43</v>
      </c>
      <c r="B59" s="5" t="s">
        <v>65</v>
      </c>
      <c r="C59" s="5" t="s">
        <v>48</v>
      </c>
      <c r="D59" s="5">
        <v>195453</v>
      </c>
      <c r="E59" s="5">
        <v>13911</v>
      </c>
      <c r="F59" s="5">
        <v>38206716</v>
      </c>
      <c r="G59" s="5">
        <v>7.1173120903746678</v>
      </c>
      <c r="H59" s="5">
        <v>2746.5111063187405</v>
      </c>
      <c r="I59" s="5">
        <v>195.47776703350678</v>
      </c>
    </row>
    <row r="60" spans="1:9" x14ac:dyDescent="0.2">
      <c r="A60" s="5" t="s">
        <v>43</v>
      </c>
      <c r="B60" s="5" t="s">
        <v>65</v>
      </c>
      <c r="C60" s="5" t="s">
        <v>49</v>
      </c>
      <c r="D60" s="5">
        <v>197542</v>
      </c>
      <c r="E60" s="5">
        <v>13545</v>
      </c>
      <c r="F60" s="5">
        <v>38301387</v>
      </c>
      <c r="G60" s="5">
        <v>6.8567696996081846</v>
      </c>
      <c r="H60" s="5">
        <v>2827.7140642303434</v>
      </c>
      <c r="I60" s="5">
        <v>193.88984114770531</v>
      </c>
    </row>
    <row r="61" spans="1:9" x14ac:dyDescent="0.2">
      <c r="A61" s="5" t="s">
        <v>43</v>
      </c>
      <c r="B61" s="5" t="s">
        <v>65</v>
      </c>
      <c r="C61" s="5" t="s">
        <v>50</v>
      </c>
      <c r="D61" s="5">
        <v>199693</v>
      </c>
      <c r="E61" s="5">
        <v>12945</v>
      </c>
      <c r="F61" s="5">
        <v>37331808</v>
      </c>
      <c r="G61" s="5">
        <v>6.4824505616120742</v>
      </c>
      <c r="H61" s="5">
        <v>2883.8785631517962</v>
      </c>
      <c r="I61" s="5">
        <v>186.94600211324382</v>
      </c>
    </row>
    <row r="62" spans="1:9" x14ac:dyDescent="0.2">
      <c r="A62" s="5" t="s">
        <v>43</v>
      </c>
      <c r="B62" s="5" t="s">
        <v>65</v>
      </c>
      <c r="C62" s="5" t="s">
        <v>51</v>
      </c>
      <c r="D62" s="5">
        <v>201814</v>
      </c>
      <c r="E62" s="5">
        <v>12557</v>
      </c>
      <c r="F62" s="5">
        <v>36808555</v>
      </c>
      <c r="G62" s="5">
        <v>6.2220658626259819</v>
      </c>
      <c r="H62" s="5">
        <v>2931.3175917814765</v>
      </c>
      <c r="I62" s="5">
        <v>182.38851120338529</v>
      </c>
    </row>
    <row r="63" spans="1:9" x14ac:dyDescent="0.2">
      <c r="A63" s="5" t="s">
        <v>43</v>
      </c>
      <c r="B63" s="5" t="s">
        <v>65</v>
      </c>
      <c r="C63" s="5" t="s">
        <v>52</v>
      </c>
      <c r="D63" s="5">
        <v>203969</v>
      </c>
      <c r="E63" s="5">
        <v>12337</v>
      </c>
      <c r="F63" s="5">
        <v>36757640</v>
      </c>
      <c r="G63" s="5">
        <v>6.0484681495717485</v>
      </c>
      <c r="H63" s="5">
        <v>2979.463402772149</v>
      </c>
      <c r="I63" s="5">
        <v>180.21189494482005</v>
      </c>
    </row>
    <row r="64" spans="1:9" x14ac:dyDescent="0.2">
      <c r="A64" s="5" t="s">
        <v>43</v>
      </c>
      <c r="B64" s="5" t="s">
        <v>65</v>
      </c>
      <c r="C64" s="5" t="s">
        <v>53</v>
      </c>
      <c r="D64" s="5">
        <v>206103</v>
      </c>
      <c r="E64" s="5">
        <v>12388</v>
      </c>
      <c r="F64" s="5">
        <v>37438037</v>
      </c>
      <c r="G64" s="5">
        <v>6.0105869395399392</v>
      </c>
      <c r="H64" s="5">
        <v>3022.1211656441719</v>
      </c>
      <c r="I64" s="5">
        <v>181.64722007928074</v>
      </c>
    </row>
    <row r="65" spans="1:9" x14ac:dyDescent="0.2">
      <c r="A65" s="5" t="s">
        <v>43</v>
      </c>
      <c r="B65" s="5" t="s">
        <v>65</v>
      </c>
      <c r="C65" s="5" t="s">
        <v>54</v>
      </c>
      <c r="D65" s="5">
        <v>208296</v>
      </c>
      <c r="E65" s="5">
        <v>13241</v>
      </c>
      <c r="F65" s="5">
        <v>40121019</v>
      </c>
      <c r="G65" s="5">
        <v>6.3568191419902442</v>
      </c>
      <c r="H65" s="5">
        <v>3030.0595876444377</v>
      </c>
      <c r="I65" s="5">
        <v>192.6154078810923</v>
      </c>
    </row>
    <row r="66" spans="1:9" x14ac:dyDescent="0.2">
      <c r="A66" s="5" t="s">
        <v>43</v>
      </c>
      <c r="B66" s="5" t="s">
        <v>65</v>
      </c>
      <c r="C66" s="5" t="s">
        <v>55</v>
      </c>
      <c r="D66" s="5">
        <v>210797</v>
      </c>
      <c r="E66" s="5">
        <v>13235</v>
      </c>
      <c r="F66" s="5">
        <v>40184576</v>
      </c>
      <c r="G66" s="5">
        <v>6.278552351314298</v>
      </c>
      <c r="H66" s="5">
        <v>3036.23543634303</v>
      </c>
      <c r="I66" s="5">
        <v>190.63163137995323</v>
      </c>
    </row>
    <row r="67" spans="1:9" x14ac:dyDescent="0.2">
      <c r="A67" s="5" t="s">
        <v>43</v>
      </c>
      <c r="B67" s="5" t="s">
        <v>65</v>
      </c>
      <c r="C67" s="5" t="s">
        <v>56</v>
      </c>
      <c r="D67" s="5">
        <v>213159</v>
      </c>
      <c r="E67" s="5">
        <v>13026</v>
      </c>
      <c r="F67" s="5">
        <v>39040899</v>
      </c>
      <c r="G67" s="5">
        <v>6.1109312766526394</v>
      </c>
      <c r="H67" s="5">
        <v>2997.1517733763244</v>
      </c>
      <c r="I67" s="5">
        <v>183.15388512800303</v>
      </c>
    </row>
    <row r="68" spans="1:9" x14ac:dyDescent="0.2">
      <c r="A68" s="5" t="s">
        <v>43</v>
      </c>
      <c r="B68" s="5" t="s">
        <v>65</v>
      </c>
      <c r="C68" s="5" t="s">
        <v>57</v>
      </c>
      <c r="D68" s="5">
        <v>215024</v>
      </c>
      <c r="E68" s="5">
        <v>12968</v>
      </c>
      <c r="F68" s="5">
        <v>39429062</v>
      </c>
      <c r="G68" s="5">
        <v>6.0309546841282833</v>
      </c>
      <c r="H68" s="5">
        <v>3040.4890499691546</v>
      </c>
      <c r="I68" s="5">
        <v>183.37051677952229</v>
      </c>
    </row>
    <row r="69" spans="1:9" x14ac:dyDescent="0.2">
      <c r="A69" s="5" t="s">
        <v>43</v>
      </c>
      <c r="B69" s="5" t="s">
        <v>65</v>
      </c>
      <c r="C69" s="5" t="s">
        <v>58</v>
      </c>
      <c r="D69" s="5">
        <v>216490</v>
      </c>
      <c r="E69" s="5">
        <v>12381</v>
      </c>
      <c r="F69" s="5">
        <v>38484913</v>
      </c>
      <c r="G69" s="5">
        <v>5.7189708531571899</v>
      </c>
      <c r="H69" s="5">
        <v>3108.3848639043695</v>
      </c>
      <c r="I69" s="5">
        <v>177.76762437064068</v>
      </c>
    </row>
    <row r="70" spans="1:9" x14ac:dyDescent="0.2">
      <c r="A70" s="5" t="s">
        <v>43</v>
      </c>
      <c r="B70" s="5" t="s">
        <v>65</v>
      </c>
      <c r="C70" s="5" t="s">
        <v>59</v>
      </c>
      <c r="D70" s="5">
        <v>217638</v>
      </c>
      <c r="E70" s="5">
        <v>12378</v>
      </c>
      <c r="F70" s="5">
        <v>39435186</v>
      </c>
      <c r="G70" s="5">
        <v>5.6874259090783781</v>
      </c>
      <c r="H70" s="5">
        <v>3185.9093553078042</v>
      </c>
      <c r="I70" s="5">
        <v>181.19623411352796</v>
      </c>
    </row>
    <row r="71" spans="1:9" x14ac:dyDescent="0.2">
      <c r="A71" s="5" t="s">
        <v>43</v>
      </c>
      <c r="B71" s="5" t="s">
        <v>65</v>
      </c>
      <c r="C71" s="5" t="s">
        <v>60</v>
      </c>
      <c r="D71" s="5">
        <v>218789</v>
      </c>
      <c r="E71" s="5">
        <v>12463</v>
      </c>
      <c r="F71" s="5">
        <v>40801240</v>
      </c>
      <c r="G71" s="5">
        <v>5.6963558496999394</v>
      </c>
      <c r="H71" s="5">
        <v>3273.7896172671108</v>
      </c>
      <c r="I71" s="5">
        <v>186.4867063700643</v>
      </c>
    </row>
    <row r="72" spans="1:9" x14ac:dyDescent="0.2">
      <c r="A72" s="5" t="s">
        <v>43</v>
      </c>
      <c r="B72" s="5" t="s">
        <v>65</v>
      </c>
      <c r="C72" s="5" t="s">
        <v>61</v>
      </c>
      <c r="D72" s="5">
        <v>219894</v>
      </c>
      <c r="E72" s="5">
        <v>12277</v>
      </c>
      <c r="F72" s="5">
        <v>40271369</v>
      </c>
      <c r="G72" s="5">
        <v>5.5831446060374548</v>
      </c>
      <c r="H72" s="5">
        <v>3280.2288018245499</v>
      </c>
      <c r="I72" s="5">
        <v>183.13991741475439</v>
      </c>
    </row>
    <row r="73" spans="1:9" x14ac:dyDescent="0.2">
      <c r="A73" s="5" t="s">
        <v>43</v>
      </c>
      <c r="B73" s="5" t="s">
        <v>65</v>
      </c>
      <c r="C73" s="5" t="s">
        <v>62</v>
      </c>
      <c r="D73" s="5">
        <v>221120</v>
      </c>
      <c r="E73" s="5">
        <v>12544</v>
      </c>
      <c r="F73" s="5">
        <v>42318159</v>
      </c>
      <c r="G73" s="5">
        <v>5.6729377713458753</v>
      </c>
      <c r="H73" s="5">
        <v>3373.5777264030612</v>
      </c>
      <c r="I73" s="5">
        <v>191.38096508683068</v>
      </c>
    </row>
    <row r="74" spans="1:9" x14ac:dyDescent="0.2">
      <c r="A74" s="5" t="s">
        <v>66</v>
      </c>
      <c r="B74" s="5" t="s">
        <v>44</v>
      </c>
      <c r="C74" s="5" t="s">
        <v>45</v>
      </c>
      <c r="D74" s="5">
        <v>2101478</v>
      </c>
      <c r="E74" s="5">
        <v>15950</v>
      </c>
      <c r="F74" s="5">
        <v>152697218</v>
      </c>
      <c r="G74" s="5">
        <v>0.75898962539698256</v>
      </c>
      <c r="H74" s="5">
        <v>9573.4932915360496</v>
      </c>
      <c r="I74" s="5">
        <v>72.661820870834717</v>
      </c>
    </row>
    <row r="75" spans="1:9" x14ac:dyDescent="0.2">
      <c r="A75" s="5" t="s">
        <v>66</v>
      </c>
      <c r="B75" s="5" t="s">
        <v>44</v>
      </c>
      <c r="C75" s="5" t="s">
        <v>46</v>
      </c>
      <c r="D75" s="5">
        <v>2125370</v>
      </c>
      <c r="E75" s="5">
        <v>16039</v>
      </c>
      <c r="F75" s="5">
        <v>152149535</v>
      </c>
      <c r="G75" s="5">
        <v>0.75464507356366184</v>
      </c>
      <c r="H75" s="5">
        <v>9486.2232682835584</v>
      </c>
      <c r="I75" s="5">
        <v>71.58731656135167</v>
      </c>
    </row>
    <row r="76" spans="1:9" x14ac:dyDescent="0.2">
      <c r="A76" s="5" t="s">
        <v>66</v>
      </c>
      <c r="B76" s="5" t="s">
        <v>44</v>
      </c>
      <c r="C76" s="5" t="s">
        <v>47</v>
      </c>
      <c r="D76" s="5">
        <v>2144814</v>
      </c>
      <c r="E76" s="5">
        <v>16101</v>
      </c>
      <c r="F76" s="5">
        <v>154273858</v>
      </c>
      <c r="G76" s="5">
        <v>0.75069446581381882</v>
      </c>
      <c r="H76" s="5">
        <v>9581.6320725420774</v>
      </c>
      <c r="I76" s="5">
        <v>71.928781703215293</v>
      </c>
    </row>
    <row r="77" spans="1:9" x14ac:dyDescent="0.2">
      <c r="A77" s="5" t="s">
        <v>66</v>
      </c>
      <c r="B77" s="5" t="s">
        <v>44</v>
      </c>
      <c r="C77" s="5" t="s">
        <v>48</v>
      </c>
      <c r="D77" s="5">
        <v>2165461</v>
      </c>
      <c r="E77" s="5">
        <v>16245</v>
      </c>
      <c r="F77" s="5">
        <v>157719874</v>
      </c>
      <c r="G77" s="5">
        <v>0.75018668080376416</v>
      </c>
      <c r="H77" s="5">
        <v>9708.8257309941528</v>
      </c>
      <c r="I77" s="5">
        <v>72.834317496366822</v>
      </c>
    </row>
    <row r="78" spans="1:9" x14ac:dyDescent="0.2">
      <c r="A78" s="5" t="s">
        <v>66</v>
      </c>
      <c r="B78" s="5" t="s">
        <v>44</v>
      </c>
      <c r="C78" s="5" t="s">
        <v>49</v>
      </c>
      <c r="D78" s="5">
        <v>2177594</v>
      </c>
      <c r="E78" s="5">
        <v>16093</v>
      </c>
      <c r="F78" s="5">
        <v>156831651</v>
      </c>
      <c r="G78" s="5">
        <v>0.73902665051428318</v>
      </c>
      <c r="H78" s="5">
        <v>9745.3334368980304</v>
      </c>
      <c r="I78" s="5">
        <v>72.02061128015599</v>
      </c>
    </row>
    <row r="79" spans="1:9" x14ac:dyDescent="0.2">
      <c r="A79" s="5" t="s">
        <v>66</v>
      </c>
      <c r="B79" s="5" t="s">
        <v>44</v>
      </c>
      <c r="C79" s="5" t="s">
        <v>50</v>
      </c>
      <c r="D79" s="5">
        <v>2185284</v>
      </c>
      <c r="E79" s="5">
        <v>16120</v>
      </c>
      <c r="F79" s="5">
        <v>160591135</v>
      </c>
      <c r="G79" s="5">
        <v>0.73766155794853205</v>
      </c>
      <c r="H79" s="5">
        <v>9962.2292183622831</v>
      </c>
      <c r="I79" s="5">
        <v>73.487535258575093</v>
      </c>
    </row>
    <row r="80" spans="1:9" x14ac:dyDescent="0.2">
      <c r="A80" s="5" t="s">
        <v>66</v>
      </c>
      <c r="B80" s="5" t="s">
        <v>44</v>
      </c>
      <c r="C80" s="5" t="s">
        <v>51</v>
      </c>
      <c r="D80" s="5">
        <v>2194837</v>
      </c>
      <c r="E80" s="5">
        <v>16041</v>
      </c>
      <c r="F80" s="5">
        <v>165008411</v>
      </c>
      <c r="G80" s="5">
        <v>0.73085153931704272</v>
      </c>
      <c r="H80" s="5">
        <v>10286.666105604389</v>
      </c>
      <c r="I80" s="5">
        <v>75.180257577214164</v>
      </c>
    </row>
    <row r="81" spans="1:9" x14ac:dyDescent="0.2">
      <c r="A81" s="5" t="s">
        <v>66</v>
      </c>
      <c r="B81" s="5" t="s">
        <v>44</v>
      </c>
      <c r="C81" s="5" t="s">
        <v>52</v>
      </c>
      <c r="D81" s="5">
        <v>2201764</v>
      </c>
      <c r="E81" s="5">
        <v>16030</v>
      </c>
      <c r="F81" s="5">
        <v>166960440</v>
      </c>
      <c r="G81" s="5">
        <v>0.72805259782610665</v>
      </c>
      <c r="H81" s="5">
        <v>10415.498440424204</v>
      </c>
      <c r="I81" s="5">
        <v>75.830306972046046</v>
      </c>
    </row>
    <row r="82" spans="1:9" x14ac:dyDescent="0.2">
      <c r="A82" s="5" t="s">
        <v>66</v>
      </c>
      <c r="B82" s="5" t="s">
        <v>44</v>
      </c>
      <c r="C82" s="5" t="s">
        <v>53</v>
      </c>
      <c r="D82" s="5">
        <v>2213736</v>
      </c>
      <c r="E82" s="5">
        <v>16205</v>
      </c>
      <c r="F82" s="5">
        <v>169143436</v>
      </c>
      <c r="G82" s="5">
        <v>0.73202043965495434</v>
      </c>
      <c r="H82" s="5">
        <v>10437.731317494601</v>
      </c>
      <c r="I82" s="5">
        <v>76.406326680326828</v>
      </c>
    </row>
    <row r="83" spans="1:9" x14ac:dyDescent="0.2">
      <c r="A83" s="5" t="s">
        <v>66</v>
      </c>
      <c r="B83" s="5" t="s">
        <v>44</v>
      </c>
      <c r="C83" s="5" t="s">
        <v>54</v>
      </c>
      <c r="D83" s="5">
        <v>2226301</v>
      </c>
      <c r="E83" s="5">
        <v>16180</v>
      </c>
      <c r="F83" s="5">
        <v>172330626</v>
      </c>
      <c r="G83" s="5">
        <v>0.72676605724023835</v>
      </c>
      <c r="H83" s="5">
        <v>10650.842150803461</v>
      </c>
      <c r="I83" s="5">
        <v>77.406705562275718</v>
      </c>
    </row>
    <row r="84" spans="1:9" x14ac:dyDescent="0.2">
      <c r="A84" s="5" t="s">
        <v>66</v>
      </c>
      <c r="B84" s="5" t="s">
        <v>44</v>
      </c>
      <c r="C84" s="5" t="s">
        <v>55</v>
      </c>
      <c r="D84" s="5">
        <v>2238919</v>
      </c>
      <c r="E84" s="5">
        <v>16427</v>
      </c>
      <c r="F84" s="5">
        <v>175631880</v>
      </c>
      <c r="G84" s="5">
        <v>0.73370229115032748</v>
      </c>
      <c r="H84" s="5">
        <v>10691.658854325196</v>
      </c>
      <c r="I84" s="5">
        <v>78.444945976160824</v>
      </c>
    </row>
    <row r="85" spans="1:9" x14ac:dyDescent="0.2">
      <c r="A85" s="5" t="s">
        <v>66</v>
      </c>
      <c r="B85" s="5" t="s">
        <v>44</v>
      </c>
      <c r="C85" s="5" t="s">
        <v>56</v>
      </c>
      <c r="D85" s="5">
        <v>2253897</v>
      </c>
      <c r="E85" s="5">
        <v>16388</v>
      </c>
      <c r="F85" s="5">
        <v>174986624</v>
      </c>
      <c r="G85" s="5">
        <v>0.72709622489403913</v>
      </c>
      <c r="H85" s="5">
        <v>10677.729070051257</v>
      </c>
      <c r="I85" s="5">
        <v>77.637364972756075</v>
      </c>
    </row>
    <row r="86" spans="1:9" x14ac:dyDescent="0.2">
      <c r="A86" s="5" t="s">
        <v>66</v>
      </c>
      <c r="B86" s="5" t="s">
        <v>44</v>
      </c>
      <c r="C86" s="5" t="s">
        <v>57</v>
      </c>
      <c r="D86" s="5">
        <v>2269125</v>
      </c>
      <c r="E86" s="5">
        <v>16221</v>
      </c>
      <c r="F86" s="5">
        <v>172955129</v>
      </c>
      <c r="G86" s="5">
        <v>0.71485704842174846</v>
      </c>
      <c r="H86" s="5">
        <v>10662.420874175452</v>
      </c>
      <c r="I86" s="5">
        <v>76.221067151435022</v>
      </c>
    </row>
    <row r="87" spans="1:9" x14ac:dyDescent="0.2">
      <c r="A87" s="5" t="s">
        <v>66</v>
      </c>
      <c r="B87" s="5" t="s">
        <v>44</v>
      </c>
      <c r="C87" s="5" t="s">
        <v>58</v>
      </c>
      <c r="D87" s="5">
        <v>2284746</v>
      </c>
      <c r="E87" s="5">
        <v>16314</v>
      </c>
      <c r="F87" s="5">
        <v>174152867</v>
      </c>
      <c r="G87" s="5">
        <v>0.71403998518872558</v>
      </c>
      <c r="H87" s="5">
        <v>10675.056209390706</v>
      </c>
      <c r="I87" s="5">
        <v>76.224169776421533</v>
      </c>
    </row>
    <row r="88" spans="1:9" x14ac:dyDescent="0.2">
      <c r="A88" s="5" t="s">
        <v>66</v>
      </c>
      <c r="B88" s="5" t="s">
        <v>44</v>
      </c>
      <c r="C88" s="5" t="s">
        <v>59</v>
      </c>
      <c r="D88" s="5">
        <v>2300938</v>
      </c>
      <c r="E88" s="5">
        <v>16326</v>
      </c>
      <c r="F88" s="5">
        <v>177658772</v>
      </c>
      <c r="G88" s="5">
        <v>0.70953671937270801</v>
      </c>
      <c r="H88" s="5">
        <v>10881.953448487076</v>
      </c>
      <c r="I88" s="5">
        <v>77.21145550206046</v>
      </c>
    </row>
    <row r="89" spans="1:9" x14ac:dyDescent="0.2">
      <c r="A89" s="5" t="s">
        <v>66</v>
      </c>
      <c r="B89" s="5" t="s">
        <v>44</v>
      </c>
      <c r="C89" s="5" t="s">
        <v>60</v>
      </c>
      <c r="D89" s="5">
        <v>2318083</v>
      </c>
      <c r="E89" s="5">
        <v>16449</v>
      </c>
      <c r="F89" s="5">
        <v>181042553</v>
      </c>
      <c r="G89" s="5">
        <v>0.709594954106475</v>
      </c>
      <c r="H89" s="5">
        <v>11006.295397896529</v>
      </c>
      <c r="I89" s="5">
        <v>78.100116777526949</v>
      </c>
    </row>
    <row r="90" spans="1:9" x14ac:dyDescent="0.2">
      <c r="A90" s="5" t="s">
        <v>66</v>
      </c>
      <c r="B90" s="5" t="s">
        <v>44</v>
      </c>
      <c r="C90" s="5" t="s">
        <v>61</v>
      </c>
      <c r="D90" s="5">
        <v>2336772</v>
      </c>
      <c r="E90" s="5">
        <v>16725</v>
      </c>
      <c r="F90" s="5">
        <v>186280918</v>
      </c>
      <c r="G90" s="5">
        <v>0.71573093138740107</v>
      </c>
      <c r="H90" s="5">
        <v>11137.872526158446</v>
      </c>
      <c r="I90" s="5">
        <v>79.717198768215297</v>
      </c>
    </row>
    <row r="91" spans="1:9" x14ac:dyDescent="0.2">
      <c r="A91" s="5" t="s">
        <v>66</v>
      </c>
      <c r="B91" s="5" t="s">
        <v>44</v>
      </c>
      <c r="C91" s="5" t="s">
        <v>62</v>
      </c>
      <c r="D91" s="5">
        <v>2353703</v>
      </c>
      <c r="E91" s="5">
        <v>16730</v>
      </c>
      <c r="F91" s="5">
        <v>188073102</v>
      </c>
      <c r="G91" s="5">
        <v>0.71079486239342859</v>
      </c>
      <c r="H91" s="5">
        <v>11241.667782426779</v>
      </c>
      <c r="I91" s="5">
        <v>79.905197044826807</v>
      </c>
    </row>
    <row r="92" spans="1:9" x14ac:dyDescent="0.2">
      <c r="A92" s="5" t="s">
        <v>66</v>
      </c>
      <c r="B92" s="5" t="s">
        <v>63</v>
      </c>
      <c r="C92" s="5" t="s">
        <v>45</v>
      </c>
      <c r="D92" s="5">
        <v>2101478</v>
      </c>
      <c r="E92" s="5">
        <v>68867</v>
      </c>
      <c r="F92" s="5">
        <v>164408886</v>
      </c>
      <c r="G92" s="5">
        <v>3.2770745161262691</v>
      </c>
      <c r="H92" s="5">
        <v>2387.3391609914765</v>
      </c>
      <c r="I92" s="5">
        <v>78.234883258354358</v>
      </c>
    </row>
    <row r="93" spans="1:9" x14ac:dyDescent="0.2">
      <c r="A93" s="5" t="s">
        <v>66</v>
      </c>
      <c r="B93" s="5" t="s">
        <v>63</v>
      </c>
      <c r="C93" s="5" t="s">
        <v>46</v>
      </c>
      <c r="D93" s="5">
        <v>2125370</v>
      </c>
      <c r="E93" s="5">
        <v>69286</v>
      </c>
      <c r="F93" s="5">
        <v>165733237</v>
      </c>
      <c r="G93" s="5">
        <v>3.2599500322296824</v>
      </c>
      <c r="H93" s="5">
        <v>2392.016237046445</v>
      </c>
      <c r="I93" s="5">
        <v>77.978534090534822</v>
      </c>
    </row>
    <row r="94" spans="1:9" x14ac:dyDescent="0.2">
      <c r="A94" s="5" t="s">
        <v>66</v>
      </c>
      <c r="B94" s="5" t="s">
        <v>63</v>
      </c>
      <c r="C94" s="5" t="s">
        <v>47</v>
      </c>
      <c r="D94" s="5">
        <v>2144814</v>
      </c>
      <c r="E94" s="5">
        <v>70151</v>
      </c>
      <c r="F94" s="5">
        <v>169157034</v>
      </c>
      <c r="G94" s="5">
        <v>3.2707265058881561</v>
      </c>
      <c r="H94" s="5">
        <v>2411.3274792946645</v>
      </c>
      <c r="I94" s="5">
        <v>78.867927009055336</v>
      </c>
    </row>
    <row r="95" spans="1:9" x14ac:dyDescent="0.2">
      <c r="A95" s="5" t="s">
        <v>66</v>
      </c>
      <c r="B95" s="5" t="s">
        <v>63</v>
      </c>
      <c r="C95" s="5" t="s">
        <v>48</v>
      </c>
      <c r="D95" s="5">
        <v>2165461</v>
      </c>
      <c r="E95" s="5">
        <v>71177</v>
      </c>
      <c r="F95" s="5">
        <v>172597548</v>
      </c>
      <c r="G95" s="5">
        <v>3.2869213530052028</v>
      </c>
      <c r="H95" s="5">
        <v>2424.9061916068395</v>
      </c>
      <c r="I95" s="5">
        <v>79.704759402270469</v>
      </c>
    </row>
    <row r="96" spans="1:9" x14ac:dyDescent="0.2">
      <c r="A96" s="5" t="s">
        <v>66</v>
      </c>
      <c r="B96" s="5" t="s">
        <v>63</v>
      </c>
      <c r="C96" s="5" t="s">
        <v>49</v>
      </c>
      <c r="D96" s="5">
        <v>2177594</v>
      </c>
      <c r="E96" s="5">
        <v>71103</v>
      </c>
      <c r="F96" s="5">
        <v>172915882</v>
      </c>
      <c r="G96" s="5">
        <v>3.265209217145161</v>
      </c>
      <c r="H96" s="5">
        <v>2431.9069800149077</v>
      </c>
      <c r="I96" s="5">
        <v>79.406850863843303</v>
      </c>
    </row>
    <row r="97" spans="1:9" x14ac:dyDescent="0.2">
      <c r="A97" s="5" t="s">
        <v>66</v>
      </c>
      <c r="B97" s="5" t="s">
        <v>63</v>
      </c>
      <c r="C97" s="5" t="s">
        <v>50</v>
      </c>
      <c r="D97" s="5">
        <v>2185284</v>
      </c>
      <c r="E97" s="5">
        <v>71272</v>
      </c>
      <c r="F97" s="5">
        <v>176522788</v>
      </c>
      <c r="G97" s="5">
        <v>3.2614525160116488</v>
      </c>
      <c r="H97" s="5">
        <v>2476.7480637557528</v>
      </c>
      <c r="I97" s="5">
        <v>80.777962040631792</v>
      </c>
    </row>
    <row r="98" spans="1:9" x14ac:dyDescent="0.2">
      <c r="A98" s="5" t="s">
        <v>66</v>
      </c>
      <c r="B98" s="5" t="s">
        <v>63</v>
      </c>
      <c r="C98" s="5" t="s">
        <v>51</v>
      </c>
      <c r="D98" s="5">
        <v>2194837</v>
      </c>
      <c r="E98" s="5">
        <v>70906</v>
      </c>
      <c r="F98" s="5">
        <v>177269450</v>
      </c>
      <c r="G98" s="5">
        <v>3.2305815876076447</v>
      </c>
      <c r="H98" s="5">
        <v>2500.0627591459115</v>
      </c>
      <c r="I98" s="5">
        <v>80.76656717560347</v>
      </c>
    </row>
    <row r="99" spans="1:9" x14ac:dyDescent="0.2">
      <c r="A99" s="5" t="s">
        <v>66</v>
      </c>
      <c r="B99" s="5" t="s">
        <v>63</v>
      </c>
      <c r="C99" s="5" t="s">
        <v>52</v>
      </c>
      <c r="D99" s="5">
        <v>2201764</v>
      </c>
      <c r="E99" s="5">
        <v>71390</v>
      </c>
      <c r="F99" s="5">
        <v>180839615</v>
      </c>
      <c r="G99" s="5">
        <v>3.2424001845792736</v>
      </c>
      <c r="H99" s="5">
        <v>2533.1224961479197</v>
      </c>
      <c r="I99" s="5">
        <v>82.133968490719255</v>
      </c>
    </row>
    <row r="100" spans="1:9" x14ac:dyDescent="0.2">
      <c r="A100" s="5" t="s">
        <v>66</v>
      </c>
      <c r="B100" s="5" t="s">
        <v>63</v>
      </c>
      <c r="C100" s="5" t="s">
        <v>53</v>
      </c>
      <c r="D100" s="5">
        <v>2213736</v>
      </c>
      <c r="E100" s="5">
        <v>72026</v>
      </c>
      <c r="F100" s="5">
        <v>184217252</v>
      </c>
      <c r="G100" s="5">
        <v>3.2535948279288949</v>
      </c>
      <c r="H100" s="5">
        <v>2557.6493488462502</v>
      </c>
      <c r="I100" s="5">
        <v>83.215546930618643</v>
      </c>
    </row>
    <row r="101" spans="1:9" x14ac:dyDescent="0.2">
      <c r="A101" s="5" t="s">
        <v>66</v>
      </c>
      <c r="B101" s="5" t="s">
        <v>63</v>
      </c>
      <c r="C101" s="5" t="s">
        <v>54</v>
      </c>
      <c r="D101" s="5">
        <v>2226301</v>
      </c>
      <c r="E101" s="5">
        <v>73120</v>
      </c>
      <c r="F101" s="5">
        <v>186279165</v>
      </c>
      <c r="G101" s="5">
        <v>3.2843716999633021</v>
      </c>
      <c r="H101" s="5">
        <v>2547.5815782275713</v>
      </c>
      <c r="I101" s="5">
        <v>83.672048388784802</v>
      </c>
    </row>
    <row r="102" spans="1:9" x14ac:dyDescent="0.2">
      <c r="A102" s="5" t="s">
        <v>66</v>
      </c>
      <c r="B102" s="5" t="s">
        <v>63</v>
      </c>
      <c r="C102" s="5" t="s">
        <v>55</v>
      </c>
      <c r="D102" s="5">
        <v>2238919</v>
      </c>
      <c r="E102" s="5">
        <v>74081</v>
      </c>
      <c r="F102" s="5">
        <v>188125739</v>
      </c>
      <c r="G102" s="5">
        <v>3.308784283844123</v>
      </c>
      <c r="H102" s="5">
        <v>2539.4600369865416</v>
      </c>
      <c r="I102" s="5">
        <v>84.025254598312841</v>
      </c>
    </row>
    <row r="103" spans="1:9" x14ac:dyDescent="0.2">
      <c r="A103" s="5" t="s">
        <v>66</v>
      </c>
      <c r="B103" s="5" t="s">
        <v>63</v>
      </c>
      <c r="C103" s="5" t="s">
        <v>56</v>
      </c>
      <c r="D103" s="5">
        <v>2253897</v>
      </c>
      <c r="E103" s="5">
        <v>73569</v>
      </c>
      <c r="F103" s="5">
        <v>187275127</v>
      </c>
      <c r="G103" s="5">
        <v>3.2640799468653627</v>
      </c>
      <c r="H103" s="5">
        <v>2545.5711916704045</v>
      </c>
      <c r="I103" s="5">
        <v>83.089478800495314</v>
      </c>
    </row>
    <row r="104" spans="1:9" x14ac:dyDescent="0.2">
      <c r="A104" s="5" t="s">
        <v>66</v>
      </c>
      <c r="B104" s="5" t="s">
        <v>63</v>
      </c>
      <c r="C104" s="5" t="s">
        <v>57</v>
      </c>
      <c r="D104" s="5">
        <v>2269125</v>
      </c>
      <c r="E104" s="5">
        <v>73538</v>
      </c>
      <c r="F104" s="5">
        <v>187042150</v>
      </c>
      <c r="G104" s="5">
        <v>3.2408086817605906</v>
      </c>
      <c r="H104" s="5">
        <v>2543.4761619842802</v>
      </c>
      <c r="I104" s="5">
        <v>82.429196276097613</v>
      </c>
    </row>
    <row r="105" spans="1:9" x14ac:dyDescent="0.2">
      <c r="A105" s="5" t="s">
        <v>66</v>
      </c>
      <c r="B105" s="5" t="s">
        <v>63</v>
      </c>
      <c r="C105" s="5" t="s">
        <v>58</v>
      </c>
      <c r="D105" s="5">
        <v>2284746</v>
      </c>
      <c r="E105" s="5">
        <v>74048</v>
      </c>
      <c r="F105" s="5">
        <v>190332945</v>
      </c>
      <c r="G105" s="5">
        <v>3.2409729571689807</v>
      </c>
      <c r="H105" s="5">
        <v>2570.3995381374243</v>
      </c>
      <c r="I105" s="5">
        <v>83.305953922230302</v>
      </c>
    </row>
    <row r="106" spans="1:9" x14ac:dyDescent="0.2">
      <c r="A106" s="5" t="s">
        <v>66</v>
      </c>
      <c r="B106" s="5" t="s">
        <v>63</v>
      </c>
      <c r="C106" s="5" t="s">
        <v>59</v>
      </c>
      <c r="D106" s="5">
        <v>2300938</v>
      </c>
      <c r="E106" s="5">
        <v>74561</v>
      </c>
      <c r="F106" s="5">
        <v>194028968</v>
      </c>
      <c r="G106" s="5">
        <v>3.2404610641399292</v>
      </c>
      <c r="H106" s="5">
        <v>2602.284947895012</v>
      </c>
      <c r="I106" s="5">
        <v>84.326030514511913</v>
      </c>
    </row>
    <row r="107" spans="1:9" x14ac:dyDescent="0.2">
      <c r="A107" s="5" t="s">
        <v>66</v>
      </c>
      <c r="B107" s="5" t="s">
        <v>63</v>
      </c>
      <c r="C107" s="5" t="s">
        <v>60</v>
      </c>
      <c r="D107" s="5">
        <v>2318083</v>
      </c>
      <c r="E107" s="5">
        <v>75436</v>
      </c>
      <c r="F107" s="5">
        <v>197512564</v>
      </c>
      <c r="G107" s="5">
        <v>3.2542406807694118</v>
      </c>
      <c r="H107" s="5">
        <v>2618.2799194018771</v>
      </c>
      <c r="I107" s="5">
        <v>85.205130273592445</v>
      </c>
    </row>
    <row r="108" spans="1:9" x14ac:dyDescent="0.2">
      <c r="A108" s="5" t="s">
        <v>66</v>
      </c>
      <c r="B108" s="5" t="s">
        <v>63</v>
      </c>
      <c r="C108" s="5" t="s">
        <v>61</v>
      </c>
      <c r="D108" s="5">
        <v>2336772</v>
      </c>
      <c r="E108" s="5">
        <v>75643</v>
      </c>
      <c r="F108" s="5">
        <v>201210665</v>
      </c>
      <c r="G108" s="5">
        <v>3.2370723373953472</v>
      </c>
      <c r="H108" s="5">
        <v>2660.003767698267</v>
      </c>
      <c r="I108" s="5">
        <v>86.106246137834589</v>
      </c>
    </row>
    <row r="109" spans="1:9" x14ac:dyDescent="0.2">
      <c r="A109" s="5" t="s">
        <v>66</v>
      </c>
      <c r="B109" s="5" t="s">
        <v>63</v>
      </c>
      <c r="C109" s="5" t="s">
        <v>62</v>
      </c>
      <c r="D109" s="5">
        <v>2353703</v>
      </c>
      <c r="E109" s="5">
        <v>75238</v>
      </c>
      <c r="F109" s="5">
        <v>203749553</v>
      </c>
      <c r="G109" s="5">
        <v>3.1965800273016605</v>
      </c>
      <c r="H109" s="5">
        <v>2708.0671070469712</v>
      </c>
      <c r="I109" s="5">
        <v>86.565532269789344</v>
      </c>
    </row>
    <row r="110" spans="1:9" x14ac:dyDescent="0.2">
      <c r="A110" s="5" t="s">
        <v>66</v>
      </c>
      <c r="B110" s="5" t="s">
        <v>64</v>
      </c>
      <c r="C110" s="5" t="s">
        <v>45</v>
      </c>
      <c r="D110" s="5">
        <v>1648620</v>
      </c>
      <c r="E110" s="5">
        <v>135392</v>
      </c>
      <c r="F110" s="5">
        <v>109615404</v>
      </c>
      <c r="G110" s="5">
        <v>8.2124443473935784</v>
      </c>
      <c r="H110" s="5">
        <v>809.61507326873084</v>
      </c>
      <c r="I110" s="5">
        <v>66.489187320304254</v>
      </c>
    </row>
    <row r="111" spans="1:9" x14ac:dyDescent="0.2">
      <c r="A111" s="5" t="s">
        <v>66</v>
      </c>
      <c r="B111" s="5" t="s">
        <v>64</v>
      </c>
      <c r="C111" s="5" t="s">
        <v>46</v>
      </c>
      <c r="D111" s="5">
        <v>1663481</v>
      </c>
      <c r="E111" s="5">
        <v>132260</v>
      </c>
      <c r="F111" s="5">
        <v>104797370</v>
      </c>
      <c r="G111" s="5">
        <v>7.9507971536795434</v>
      </c>
      <c r="H111" s="5">
        <v>792.35876304249211</v>
      </c>
      <c r="I111" s="5">
        <v>62.998837978912896</v>
      </c>
    </row>
    <row r="112" spans="1:9" x14ac:dyDescent="0.2">
      <c r="A112" s="5" t="s">
        <v>66</v>
      </c>
      <c r="B112" s="5" t="s">
        <v>64</v>
      </c>
      <c r="C112" s="5" t="s">
        <v>47</v>
      </c>
      <c r="D112" s="5">
        <v>1677635</v>
      </c>
      <c r="E112" s="5">
        <v>133880</v>
      </c>
      <c r="F112" s="5">
        <v>109254510</v>
      </c>
      <c r="G112" s="5">
        <v>7.980281765699929</v>
      </c>
      <c r="H112" s="5">
        <v>816.06296683597247</v>
      </c>
      <c r="I112" s="5">
        <v>65.124124139040973</v>
      </c>
    </row>
    <row r="113" spans="1:9" x14ac:dyDescent="0.2">
      <c r="A113" s="5" t="s">
        <v>66</v>
      </c>
      <c r="B113" s="5" t="s">
        <v>64</v>
      </c>
      <c r="C113" s="5" t="s">
        <v>48</v>
      </c>
      <c r="D113" s="5">
        <v>1692163</v>
      </c>
      <c r="E113" s="5">
        <v>134474</v>
      </c>
      <c r="F113" s="5">
        <v>111298151</v>
      </c>
      <c r="G113" s="5">
        <v>7.9468703665072455</v>
      </c>
      <c r="H113" s="5">
        <v>827.65553936076867</v>
      </c>
      <c r="I113" s="5">
        <v>65.772712794216631</v>
      </c>
    </row>
    <row r="114" spans="1:9" x14ac:dyDescent="0.2">
      <c r="A114" s="5" t="s">
        <v>66</v>
      </c>
      <c r="B114" s="5" t="s">
        <v>64</v>
      </c>
      <c r="C114" s="5" t="s">
        <v>49</v>
      </c>
      <c r="D114" s="5">
        <v>1702689</v>
      </c>
      <c r="E114" s="5">
        <v>133494</v>
      </c>
      <c r="F114" s="5">
        <v>113005132</v>
      </c>
      <c r="G114" s="5">
        <v>7.8401869043612775</v>
      </c>
      <c r="H114" s="5">
        <v>846.51843528548102</v>
      </c>
      <c r="I114" s="5">
        <v>66.368627506256274</v>
      </c>
    </row>
    <row r="115" spans="1:9" x14ac:dyDescent="0.2">
      <c r="A115" s="5" t="s">
        <v>66</v>
      </c>
      <c r="B115" s="5" t="s">
        <v>64</v>
      </c>
      <c r="C115" s="5" t="s">
        <v>50</v>
      </c>
      <c r="D115" s="5">
        <v>1710531</v>
      </c>
      <c r="E115" s="5">
        <v>133659</v>
      </c>
      <c r="F115" s="5">
        <v>114407878</v>
      </c>
      <c r="G115" s="5">
        <v>7.8138893711952608</v>
      </c>
      <c r="H115" s="5">
        <v>855.96838222641202</v>
      </c>
      <c r="I115" s="5">
        <v>66.884422439581627</v>
      </c>
    </row>
    <row r="116" spans="1:9" x14ac:dyDescent="0.2">
      <c r="A116" s="5" t="s">
        <v>66</v>
      </c>
      <c r="B116" s="5" t="s">
        <v>64</v>
      </c>
      <c r="C116" s="5" t="s">
        <v>51</v>
      </c>
      <c r="D116" s="5">
        <v>1718162</v>
      </c>
      <c r="E116" s="5">
        <v>144130</v>
      </c>
      <c r="F116" s="5">
        <v>144288435</v>
      </c>
      <c r="G116" s="5">
        <v>8.388615276091544</v>
      </c>
      <c r="H116" s="5">
        <v>1001.0992506764726</v>
      </c>
      <c r="I116" s="5">
        <v>83.978364671084563</v>
      </c>
    </row>
    <row r="117" spans="1:9" x14ac:dyDescent="0.2">
      <c r="A117" s="5" t="s">
        <v>66</v>
      </c>
      <c r="B117" s="5" t="s">
        <v>64</v>
      </c>
      <c r="C117" s="5" t="s">
        <v>52</v>
      </c>
      <c r="D117" s="5">
        <v>1723840</v>
      </c>
      <c r="E117" s="5">
        <v>145745</v>
      </c>
      <c r="F117" s="5">
        <v>146425604</v>
      </c>
      <c r="G117" s="5">
        <v>8.4546709671431231</v>
      </c>
      <c r="H117" s="5">
        <v>1004.6698274383341</v>
      </c>
      <c r="I117" s="5">
        <v>84.941528216075739</v>
      </c>
    </row>
    <row r="118" spans="1:9" x14ac:dyDescent="0.2">
      <c r="A118" s="5" t="s">
        <v>66</v>
      </c>
      <c r="B118" s="5" t="s">
        <v>64</v>
      </c>
      <c r="C118" s="5" t="s">
        <v>53</v>
      </c>
      <c r="D118" s="5">
        <v>1731735</v>
      </c>
      <c r="E118" s="5">
        <v>144740</v>
      </c>
      <c r="F118" s="5">
        <v>143712815</v>
      </c>
      <c r="G118" s="5">
        <v>8.3580917403644328</v>
      </c>
      <c r="H118" s="5">
        <v>992.90324029293902</v>
      </c>
      <c r="I118" s="5">
        <v>82.987763716734946</v>
      </c>
    </row>
    <row r="119" spans="1:9" x14ac:dyDescent="0.2">
      <c r="A119" s="5" t="s">
        <v>66</v>
      </c>
      <c r="B119" s="5" t="s">
        <v>64</v>
      </c>
      <c r="C119" s="5" t="s">
        <v>54</v>
      </c>
      <c r="D119" s="5">
        <v>1739615</v>
      </c>
      <c r="E119" s="5">
        <v>144370</v>
      </c>
      <c r="F119" s="5">
        <v>143838758</v>
      </c>
      <c r="G119" s="5">
        <v>8.29896270151729</v>
      </c>
      <c r="H119" s="5">
        <v>996.32027429521372</v>
      </c>
      <c r="I119" s="5">
        <v>82.684247951414534</v>
      </c>
    </row>
    <row r="120" spans="1:9" x14ac:dyDescent="0.2">
      <c r="A120" s="5" t="s">
        <v>66</v>
      </c>
      <c r="B120" s="5" t="s">
        <v>64</v>
      </c>
      <c r="C120" s="5" t="s">
        <v>55</v>
      </c>
      <c r="D120" s="5">
        <v>1747419</v>
      </c>
      <c r="E120" s="5">
        <v>133141</v>
      </c>
      <c r="F120" s="5">
        <v>113770072</v>
      </c>
      <c r="G120" s="5">
        <v>7.6192945137943449</v>
      </c>
      <c r="H120" s="5">
        <v>854.50816803238672</v>
      </c>
      <c r="I120" s="5">
        <v>65.107493966816207</v>
      </c>
    </row>
    <row r="121" spans="1:9" x14ac:dyDescent="0.2">
      <c r="A121" s="5" t="s">
        <v>66</v>
      </c>
      <c r="B121" s="5" t="s">
        <v>64</v>
      </c>
      <c r="C121" s="5" t="s">
        <v>56</v>
      </c>
      <c r="D121" s="5">
        <v>1756774</v>
      </c>
      <c r="E121" s="5">
        <v>132221</v>
      </c>
      <c r="F121" s="5">
        <v>117610671</v>
      </c>
      <c r="G121" s="5">
        <v>7.5263522798037767</v>
      </c>
      <c r="H121" s="5">
        <v>889.50069202320356</v>
      </c>
      <c r="I121" s="5">
        <v>66.946955612958746</v>
      </c>
    </row>
    <row r="122" spans="1:9" x14ac:dyDescent="0.2">
      <c r="A122" s="5" t="s">
        <v>66</v>
      </c>
      <c r="B122" s="5" t="s">
        <v>64</v>
      </c>
      <c r="C122" s="5" t="s">
        <v>57</v>
      </c>
      <c r="D122" s="5">
        <v>1767067</v>
      </c>
      <c r="E122" s="5">
        <v>136796</v>
      </c>
      <c r="F122" s="5">
        <v>132664619</v>
      </c>
      <c r="G122" s="5">
        <v>7.7414155773380413</v>
      </c>
      <c r="H122" s="5">
        <v>969.79896341998301</v>
      </c>
      <c r="I122" s="5">
        <v>75.07616802305742</v>
      </c>
    </row>
    <row r="123" spans="1:9" x14ac:dyDescent="0.2">
      <c r="A123" s="5" t="s">
        <v>66</v>
      </c>
      <c r="B123" s="5" t="s">
        <v>64</v>
      </c>
      <c r="C123" s="5" t="s">
        <v>58</v>
      </c>
      <c r="D123" s="5">
        <v>1778753</v>
      </c>
      <c r="E123" s="5">
        <v>138544</v>
      </c>
      <c r="F123" s="5">
        <v>137022978</v>
      </c>
      <c r="G123" s="5">
        <v>7.7888273414015323</v>
      </c>
      <c r="H123" s="5">
        <v>989.02137948954839</v>
      </c>
      <c r="I123" s="5">
        <v>77.033167617988553</v>
      </c>
    </row>
    <row r="124" spans="1:9" x14ac:dyDescent="0.2">
      <c r="A124" s="5" t="s">
        <v>66</v>
      </c>
      <c r="B124" s="5" t="s">
        <v>64</v>
      </c>
      <c r="C124" s="5" t="s">
        <v>59</v>
      </c>
      <c r="D124" s="5">
        <v>1791590</v>
      </c>
      <c r="E124" s="5">
        <v>145019</v>
      </c>
      <c r="F124" s="5">
        <v>153991030</v>
      </c>
      <c r="G124" s="5">
        <v>8.0944300872409425</v>
      </c>
      <c r="H124" s="5">
        <v>1061.8679621291003</v>
      </c>
      <c r="I124" s="5">
        <v>85.95215981335015</v>
      </c>
    </row>
    <row r="125" spans="1:9" x14ac:dyDescent="0.2">
      <c r="A125" s="5" t="s">
        <v>66</v>
      </c>
      <c r="B125" s="5" t="s">
        <v>64</v>
      </c>
      <c r="C125" s="5" t="s">
        <v>60</v>
      </c>
      <c r="D125" s="5">
        <v>1806060</v>
      </c>
      <c r="E125" s="5">
        <v>145572</v>
      </c>
      <c r="F125" s="5">
        <v>163894358</v>
      </c>
      <c r="G125" s="5">
        <v>8.0601973356366905</v>
      </c>
      <c r="H125" s="5">
        <v>1125.8645756051988</v>
      </c>
      <c r="I125" s="5">
        <v>90.74690652580756</v>
      </c>
    </row>
    <row r="126" spans="1:9" x14ac:dyDescent="0.2">
      <c r="A126" s="5" t="s">
        <v>66</v>
      </c>
      <c r="B126" s="5" t="s">
        <v>64</v>
      </c>
      <c r="C126" s="5" t="s">
        <v>61</v>
      </c>
      <c r="D126" s="5">
        <v>1821494</v>
      </c>
      <c r="E126" s="5">
        <v>142229</v>
      </c>
      <c r="F126" s="5">
        <v>159957891</v>
      </c>
      <c r="G126" s="5">
        <v>7.8083704914756789</v>
      </c>
      <c r="H126" s="5">
        <v>1124.6503244767241</v>
      </c>
      <c r="I126" s="5">
        <v>87.816864068726005</v>
      </c>
    </row>
    <row r="127" spans="1:9" x14ac:dyDescent="0.2">
      <c r="A127" s="5" t="s">
        <v>66</v>
      </c>
      <c r="B127" s="5" t="s">
        <v>64</v>
      </c>
      <c r="C127" s="5" t="s">
        <v>62</v>
      </c>
      <c r="D127" s="5">
        <v>1836031</v>
      </c>
      <c r="E127" s="5">
        <v>139069</v>
      </c>
      <c r="F127" s="5">
        <v>158363612</v>
      </c>
      <c r="G127" s="5">
        <v>7.5744363793421785</v>
      </c>
      <c r="H127" s="5">
        <v>1138.7412866994082</v>
      </c>
      <c r="I127" s="5">
        <v>86.253234286349198</v>
      </c>
    </row>
    <row r="128" spans="1:9" x14ac:dyDescent="0.2">
      <c r="A128" s="5" t="s">
        <v>66</v>
      </c>
      <c r="B128" s="5" t="s">
        <v>65</v>
      </c>
      <c r="C128" s="5" t="s">
        <v>45</v>
      </c>
      <c r="D128" s="5">
        <v>1584023</v>
      </c>
      <c r="E128" s="5">
        <v>98362</v>
      </c>
      <c r="F128" s="5">
        <v>255994145</v>
      </c>
      <c r="G128" s="5">
        <v>6.2096320571102819</v>
      </c>
      <c r="H128" s="5">
        <v>2602.571572355178</v>
      </c>
      <c r="I128" s="5">
        <v>161.61011866620623</v>
      </c>
    </row>
    <row r="129" spans="1:9" x14ac:dyDescent="0.2">
      <c r="A129" s="5" t="s">
        <v>66</v>
      </c>
      <c r="B129" s="5" t="s">
        <v>65</v>
      </c>
      <c r="C129" s="5" t="s">
        <v>46</v>
      </c>
      <c r="D129" s="5">
        <v>1599017</v>
      </c>
      <c r="E129" s="5">
        <v>97921</v>
      </c>
      <c r="F129" s="5">
        <v>256110514</v>
      </c>
      <c r="G129" s="5">
        <v>6.1238248248767837</v>
      </c>
      <c r="H129" s="5">
        <v>2615.4809897774735</v>
      </c>
      <c r="I129" s="5">
        <v>160.16747414192594</v>
      </c>
    </row>
    <row r="130" spans="1:9" x14ac:dyDescent="0.2">
      <c r="A130" s="5" t="s">
        <v>66</v>
      </c>
      <c r="B130" s="5" t="s">
        <v>65</v>
      </c>
      <c r="C130" s="5" t="s">
        <v>47</v>
      </c>
      <c r="D130" s="5">
        <v>1613258</v>
      </c>
      <c r="E130" s="5">
        <v>98656</v>
      </c>
      <c r="F130" s="5">
        <v>259867578</v>
      </c>
      <c r="G130" s="5">
        <v>6.1153268727010808</v>
      </c>
      <c r="H130" s="5">
        <v>2634.0777854362632</v>
      </c>
      <c r="I130" s="5">
        <v>161.08246666063332</v>
      </c>
    </row>
    <row r="131" spans="1:9" x14ac:dyDescent="0.2">
      <c r="A131" s="5" t="s">
        <v>66</v>
      </c>
      <c r="B131" s="5" t="s">
        <v>65</v>
      </c>
      <c r="C131" s="5" t="s">
        <v>48</v>
      </c>
      <c r="D131" s="5">
        <v>1628061</v>
      </c>
      <c r="E131" s="5">
        <v>99665</v>
      </c>
      <c r="F131" s="5">
        <v>266932681</v>
      </c>
      <c r="G131" s="5">
        <v>6.1216993712152066</v>
      </c>
      <c r="H131" s="5">
        <v>2678.2991120252846</v>
      </c>
      <c r="I131" s="5">
        <v>163.9574199001143</v>
      </c>
    </row>
    <row r="132" spans="1:9" x14ac:dyDescent="0.2">
      <c r="A132" s="5" t="s">
        <v>66</v>
      </c>
      <c r="B132" s="5" t="s">
        <v>65</v>
      </c>
      <c r="C132" s="5" t="s">
        <v>49</v>
      </c>
      <c r="D132" s="5">
        <v>1639060</v>
      </c>
      <c r="E132" s="5">
        <v>99934</v>
      </c>
      <c r="F132" s="5">
        <v>272773061</v>
      </c>
      <c r="G132" s="5">
        <v>6.0970312252144518</v>
      </c>
      <c r="H132" s="5">
        <v>2729.5321011867832</v>
      </c>
      <c r="I132" s="5">
        <v>166.42042451161032</v>
      </c>
    </row>
    <row r="133" spans="1:9" x14ac:dyDescent="0.2">
      <c r="A133" s="5" t="s">
        <v>66</v>
      </c>
      <c r="B133" s="5" t="s">
        <v>65</v>
      </c>
      <c r="C133" s="5" t="s">
        <v>50</v>
      </c>
      <c r="D133" s="5">
        <v>1647383</v>
      </c>
      <c r="E133" s="5">
        <v>99901</v>
      </c>
      <c r="F133" s="5">
        <v>275089555</v>
      </c>
      <c r="G133" s="5">
        <v>6.0642242878553443</v>
      </c>
      <c r="H133" s="5">
        <v>2753.6216354190647</v>
      </c>
      <c r="I133" s="5">
        <v>166.98579201072246</v>
      </c>
    </row>
    <row r="134" spans="1:9" x14ac:dyDescent="0.2">
      <c r="A134" s="5" t="s">
        <v>66</v>
      </c>
      <c r="B134" s="5" t="s">
        <v>65</v>
      </c>
      <c r="C134" s="5" t="s">
        <v>51</v>
      </c>
      <c r="D134" s="5">
        <v>1655416</v>
      </c>
      <c r="E134" s="5">
        <v>100114</v>
      </c>
      <c r="F134" s="5">
        <v>280140172</v>
      </c>
      <c r="G134" s="5">
        <v>6.0476641520922838</v>
      </c>
      <c r="H134" s="5">
        <v>2798.2117585952014</v>
      </c>
      <c r="I134" s="5">
        <v>169.22644942419308</v>
      </c>
    </row>
    <row r="135" spans="1:9" x14ac:dyDescent="0.2">
      <c r="A135" s="5" t="s">
        <v>66</v>
      </c>
      <c r="B135" s="5" t="s">
        <v>65</v>
      </c>
      <c r="C135" s="5" t="s">
        <v>52</v>
      </c>
      <c r="D135" s="5">
        <v>1661411</v>
      </c>
      <c r="E135" s="5">
        <v>101132</v>
      </c>
      <c r="F135" s="5">
        <v>283883636</v>
      </c>
      <c r="G135" s="5">
        <v>6.0871151087840394</v>
      </c>
      <c r="H135" s="5">
        <v>2807.0604358659971</v>
      </c>
      <c r="I135" s="5">
        <v>170.86899990429822</v>
      </c>
    </row>
    <row r="136" spans="1:9" x14ac:dyDescent="0.2">
      <c r="A136" s="5" t="s">
        <v>66</v>
      </c>
      <c r="B136" s="5" t="s">
        <v>65</v>
      </c>
      <c r="C136" s="5" t="s">
        <v>53</v>
      </c>
      <c r="D136" s="5">
        <v>1669317</v>
      </c>
      <c r="E136" s="5">
        <v>101683</v>
      </c>
      <c r="F136" s="5">
        <v>284170639</v>
      </c>
      <c r="G136" s="5">
        <v>6.0912936248777196</v>
      </c>
      <c r="H136" s="5">
        <v>2794.6720592429415</v>
      </c>
      <c r="I136" s="5">
        <v>170.23168098090417</v>
      </c>
    </row>
    <row r="137" spans="1:9" x14ac:dyDescent="0.2">
      <c r="A137" s="5" t="s">
        <v>66</v>
      </c>
      <c r="B137" s="5" t="s">
        <v>65</v>
      </c>
      <c r="C137" s="5" t="s">
        <v>54</v>
      </c>
      <c r="D137" s="5">
        <v>1677313</v>
      </c>
      <c r="E137" s="5">
        <v>103176</v>
      </c>
      <c r="F137" s="5">
        <v>287719508</v>
      </c>
      <c r="G137" s="5">
        <v>6.1512669370594519</v>
      </c>
      <c r="H137" s="5">
        <v>2788.6282468791192</v>
      </c>
      <c r="I137" s="5">
        <v>171.53596734777588</v>
      </c>
    </row>
    <row r="138" spans="1:9" x14ac:dyDescent="0.2">
      <c r="A138" s="5" t="s">
        <v>66</v>
      </c>
      <c r="B138" s="5" t="s">
        <v>65</v>
      </c>
      <c r="C138" s="5" t="s">
        <v>55</v>
      </c>
      <c r="D138" s="5">
        <v>1685187</v>
      </c>
      <c r="E138" s="5">
        <v>103559</v>
      </c>
      <c r="F138" s="5">
        <v>288301620</v>
      </c>
      <c r="G138" s="5">
        <v>6.1452527226948703</v>
      </c>
      <c r="H138" s="5">
        <v>2783.9359205863325</v>
      </c>
      <c r="I138" s="5">
        <v>171.0798979579121</v>
      </c>
    </row>
    <row r="139" spans="1:9" x14ac:dyDescent="0.2">
      <c r="A139" s="5" t="s">
        <v>66</v>
      </c>
      <c r="B139" s="5" t="s">
        <v>65</v>
      </c>
      <c r="C139" s="5" t="s">
        <v>56</v>
      </c>
      <c r="D139" s="5">
        <v>1694546</v>
      </c>
      <c r="E139" s="5">
        <v>102472</v>
      </c>
      <c r="F139" s="5">
        <v>288567231</v>
      </c>
      <c r="G139" s="5">
        <v>6.0471654354617694</v>
      </c>
      <c r="H139" s="5">
        <v>2816.0593235225233</v>
      </c>
      <c r="I139" s="5">
        <v>170.29176605415256</v>
      </c>
    </row>
    <row r="140" spans="1:9" x14ac:dyDescent="0.2">
      <c r="A140" s="5" t="s">
        <v>66</v>
      </c>
      <c r="B140" s="5" t="s">
        <v>65</v>
      </c>
      <c r="C140" s="5" t="s">
        <v>57</v>
      </c>
      <c r="D140" s="5">
        <v>1704774</v>
      </c>
      <c r="E140" s="5">
        <v>103427</v>
      </c>
      <c r="F140" s="5">
        <v>296176109</v>
      </c>
      <c r="G140" s="5">
        <v>6.0669038828607196</v>
      </c>
      <c r="H140" s="5">
        <v>2863.6246724743055</v>
      </c>
      <c r="I140" s="5">
        <v>173.7333564449012</v>
      </c>
    </row>
    <row r="141" spans="1:9" x14ac:dyDescent="0.2">
      <c r="A141" s="5" t="s">
        <v>66</v>
      </c>
      <c r="B141" s="5" t="s">
        <v>65</v>
      </c>
      <c r="C141" s="5" t="s">
        <v>58</v>
      </c>
      <c r="D141" s="5">
        <v>1716211</v>
      </c>
      <c r="E141" s="5">
        <v>104243</v>
      </c>
      <c r="F141" s="5">
        <v>301980454</v>
      </c>
      <c r="G141" s="5">
        <v>6.0740200359979051</v>
      </c>
      <c r="H141" s="5">
        <v>2896.8895177613845</v>
      </c>
      <c r="I141" s="5">
        <v>175.95764972954956</v>
      </c>
    </row>
    <row r="142" spans="1:9" x14ac:dyDescent="0.2">
      <c r="A142" s="5" t="s">
        <v>66</v>
      </c>
      <c r="B142" s="5" t="s">
        <v>65</v>
      </c>
      <c r="C142" s="5" t="s">
        <v>59</v>
      </c>
      <c r="D142" s="5">
        <v>1728719</v>
      </c>
      <c r="E142" s="5">
        <v>105506</v>
      </c>
      <c r="F142" s="5">
        <v>307941761</v>
      </c>
      <c r="G142" s="5">
        <v>6.1031318565943913</v>
      </c>
      <c r="H142" s="5">
        <v>2918.7132580137622</v>
      </c>
      <c r="I142" s="5">
        <v>178.13291865248198</v>
      </c>
    </row>
    <row r="143" spans="1:9" x14ac:dyDescent="0.2">
      <c r="A143" s="5" t="s">
        <v>66</v>
      </c>
      <c r="B143" s="5" t="s">
        <v>65</v>
      </c>
      <c r="C143" s="5" t="s">
        <v>60</v>
      </c>
      <c r="D143" s="5">
        <v>1742836</v>
      </c>
      <c r="E143" s="5">
        <v>106767</v>
      </c>
      <c r="F143" s="5">
        <v>315263157</v>
      </c>
      <c r="G143" s="5">
        <v>6.1260497258491329</v>
      </c>
      <c r="H143" s="5">
        <v>2952.8146056365731</v>
      </c>
      <c r="I143" s="5">
        <v>180.89089105343245</v>
      </c>
    </row>
    <row r="144" spans="1:9" x14ac:dyDescent="0.2">
      <c r="A144" s="5" t="s">
        <v>66</v>
      </c>
      <c r="B144" s="5" t="s">
        <v>65</v>
      </c>
      <c r="C144" s="5" t="s">
        <v>61</v>
      </c>
      <c r="D144" s="5">
        <v>1757882</v>
      </c>
      <c r="E144" s="5">
        <v>106984</v>
      </c>
      <c r="F144" s="5">
        <v>317871179</v>
      </c>
      <c r="G144" s="5">
        <v>6.0859602635444245</v>
      </c>
      <c r="H144" s="5">
        <v>2971.2029742765271</v>
      </c>
      <c r="I144" s="5">
        <v>180.82623236371953</v>
      </c>
    </row>
    <row r="145" spans="1:9" x14ac:dyDescent="0.2">
      <c r="A145" s="5" t="s">
        <v>66</v>
      </c>
      <c r="B145" s="5" t="s">
        <v>65</v>
      </c>
      <c r="C145" s="5" t="s">
        <v>62</v>
      </c>
      <c r="D145" s="5">
        <v>1772026</v>
      </c>
      <c r="E145" s="5">
        <v>107346</v>
      </c>
      <c r="F145" s="5">
        <v>324761911</v>
      </c>
      <c r="G145" s="5">
        <v>6.0578117928292246</v>
      </c>
      <c r="H145" s="5">
        <v>3025.3750582229427</v>
      </c>
      <c r="I145" s="5">
        <v>183.27152705434344</v>
      </c>
    </row>
    <row r="146" spans="1:9" x14ac:dyDescent="0.2">
      <c r="A146" s="5" t="s">
        <v>67</v>
      </c>
      <c r="B146" s="5" t="s">
        <v>44</v>
      </c>
      <c r="C146" s="5" t="s">
        <v>45</v>
      </c>
      <c r="D146" s="5">
        <v>1320450</v>
      </c>
      <c r="E146" s="5">
        <v>13967</v>
      </c>
      <c r="F146" s="5">
        <v>109279148</v>
      </c>
      <c r="G146" s="5">
        <v>1.057745465560983</v>
      </c>
      <c r="H146" s="5">
        <v>7824.0959404310161</v>
      </c>
      <c r="I146" s="5">
        <v>82.759020031050028</v>
      </c>
    </row>
    <row r="147" spans="1:9" x14ac:dyDescent="0.2">
      <c r="A147" s="5" t="s">
        <v>67</v>
      </c>
      <c r="B147" s="5" t="s">
        <v>44</v>
      </c>
      <c r="C147" s="5" t="s">
        <v>46</v>
      </c>
      <c r="D147" s="5">
        <v>1326686</v>
      </c>
      <c r="E147" s="5">
        <v>14036</v>
      </c>
      <c r="F147" s="5">
        <v>111000832</v>
      </c>
      <c r="G147" s="5">
        <v>1.0579745320294327</v>
      </c>
      <c r="H147" s="5">
        <v>7908.295240809347</v>
      </c>
      <c r="I147" s="5">
        <v>83.667749565458593</v>
      </c>
    </row>
    <row r="148" spans="1:9" x14ac:dyDescent="0.2">
      <c r="A148" s="5" t="s">
        <v>67</v>
      </c>
      <c r="B148" s="5" t="s">
        <v>44</v>
      </c>
      <c r="C148" s="5" t="s">
        <v>47</v>
      </c>
      <c r="D148" s="5">
        <v>1341133</v>
      </c>
      <c r="E148" s="5">
        <v>14165</v>
      </c>
      <c r="F148" s="5">
        <v>111407138</v>
      </c>
      <c r="G148" s="5">
        <v>1.0561965144396566</v>
      </c>
      <c r="H148" s="5">
        <v>7864.9585598305684</v>
      </c>
      <c r="I148" s="5">
        <v>83.069418171053883</v>
      </c>
    </row>
    <row r="149" spans="1:9" x14ac:dyDescent="0.2">
      <c r="A149" s="5" t="s">
        <v>67</v>
      </c>
      <c r="B149" s="5" t="s">
        <v>44</v>
      </c>
      <c r="C149" s="5" t="s">
        <v>48</v>
      </c>
      <c r="D149" s="5">
        <v>1353853</v>
      </c>
      <c r="E149" s="5">
        <v>14149</v>
      </c>
      <c r="F149" s="5">
        <v>114476401</v>
      </c>
      <c r="G149" s="5">
        <v>1.0450913060723728</v>
      </c>
      <c r="H149" s="5">
        <v>8090.7768040144183</v>
      </c>
      <c r="I149" s="5">
        <v>84.556004972474852</v>
      </c>
    </row>
    <row r="150" spans="1:9" x14ac:dyDescent="0.2">
      <c r="A150" s="5" t="s">
        <v>67</v>
      </c>
      <c r="B150" s="5" t="s">
        <v>44</v>
      </c>
      <c r="C150" s="5" t="s">
        <v>49</v>
      </c>
      <c r="D150" s="5">
        <v>1362284</v>
      </c>
      <c r="E150" s="5">
        <v>14229</v>
      </c>
      <c r="F150" s="5">
        <v>113739315</v>
      </c>
      <c r="G150" s="5">
        <v>1.0444958613622417</v>
      </c>
      <c r="H150" s="5">
        <v>7993.4861901749946</v>
      </c>
      <c r="I150" s="5">
        <v>83.491632434940144</v>
      </c>
    </row>
    <row r="151" spans="1:9" x14ac:dyDescent="0.2">
      <c r="A151" s="5" t="s">
        <v>67</v>
      </c>
      <c r="B151" s="5" t="s">
        <v>44</v>
      </c>
      <c r="C151" s="5" t="s">
        <v>50</v>
      </c>
      <c r="D151" s="5">
        <v>1365872</v>
      </c>
      <c r="E151" s="5">
        <v>14510</v>
      </c>
      <c r="F151" s="5">
        <v>115699893</v>
      </c>
      <c r="G151" s="5">
        <v>1.0623250202068715</v>
      </c>
      <c r="H151" s="5">
        <v>7973.8037904893181</v>
      </c>
      <c r="I151" s="5">
        <v>84.707712728571934</v>
      </c>
    </row>
    <row r="152" spans="1:9" x14ac:dyDescent="0.2">
      <c r="A152" s="5" t="s">
        <v>67</v>
      </c>
      <c r="B152" s="5" t="s">
        <v>44</v>
      </c>
      <c r="C152" s="5" t="s">
        <v>51</v>
      </c>
      <c r="D152" s="5">
        <v>1366673</v>
      </c>
      <c r="E152" s="5">
        <v>14637</v>
      </c>
      <c r="F152" s="5">
        <v>116461820</v>
      </c>
      <c r="G152" s="5">
        <v>1.0709950368522683</v>
      </c>
      <c r="H152" s="5">
        <v>7956.6728154676503</v>
      </c>
      <c r="I152" s="5">
        <v>85.21557095223217</v>
      </c>
    </row>
    <row r="153" spans="1:9" x14ac:dyDescent="0.2">
      <c r="A153" s="5" t="s">
        <v>67</v>
      </c>
      <c r="B153" s="5" t="s">
        <v>44</v>
      </c>
      <c r="C153" s="5" t="s">
        <v>52</v>
      </c>
      <c r="D153" s="5">
        <v>1367977</v>
      </c>
      <c r="E153" s="5">
        <v>14745</v>
      </c>
      <c r="F153" s="5">
        <v>117324499</v>
      </c>
      <c r="G153" s="5">
        <v>1.0778689992594905</v>
      </c>
      <c r="H153" s="5">
        <v>7956.900576466599</v>
      </c>
      <c r="I153" s="5">
        <v>85.764964615633161</v>
      </c>
    </row>
    <row r="154" spans="1:9" x14ac:dyDescent="0.2">
      <c r="A154" s="5" t="s">
        <v>67</v>
      </c>
      <c r="B154" s="5" t="s">
        <v>44</v>
      </c>
      <c r="C154" s="5" t="s">
        <v>53</v>
      </c>
      <c r="D154" s="5">
        <v>1371322</v>
      </c>
      <c r="E154" s="5">
        <v>14814</v>
      </c>
      <c r="F154" s="5">
        <v>117076236</v>
      </c>
      <c r="G154" s="5">
        <v>1.0802714460936236</v>
      </c>
      <c r="H154" s="5">
        <v>7903.0805994329685</v>
      </c>
      <c r="I154" s="5">
        <v>85.374723077439143</v>
      </c>
    </row>
    <row r="155" spans="1:9" x14ac:dyDescent="0.2">
      <c r="A155" s="5" t="s">
        <v>67</v>
      </c>
      <c r="B155" s="5" t="s">
        <v>44</v>
      </c>
      <c r="C155" s="5" t="s">
        <v>54</v>
      </c>
      <c r="D155" s="5">
        <v>1376008</v>
      </c>
      <c r="E155" s="5">
        <v>15072</v>
      </c>
      <c r="F155" s="5">
        <v>119389933</v>
      </c>
      <c r="G155" s="5">
        <v>1.095342468939134</v>
      </c>
      <c r="H155" s="5">
        <v>7921.3065950106156</v>
      </c>
      <c r="I155" s="5">
        <v>86.765435230027734</v>
      </c>
    </row>
    <row r="156" spans="1:9" x14ac:dyDescent="0.2">
      <c r="A156" s="5" t="s">
        <v>67</v>
      </c>
      <c r="B156" s="5" t="s">
        <v>44</v>
      </c>
      <c r="C156" s="5" t="s">
        <v>55</v>
      </c>
      <c r="D156" s="5">
        <v>1374047</v>
      </c>
      <c r="E156" s="5">
        <v>15125</v>
      </c>
      <c r="F156" s="5">
        <v>122318687</v>
      </c>
      <c r="G156" s="5">
        <v>1.1007629287790011</v>
      </c>
      <c r="H156" s="5">
        <v>8087.1859173553721</v>
      </c>
      <c r="I156" s="5">
        <v>89.020744559683905</v>
      </c>
    </row>
    <row r="157" spans="1:9" x14ac:dyDescent="0.2">
      <c r="A157" s="5" t="s">
        <v>67</v>
      </c>
      <c r="B157" s="5" t="s">
        <v>44</v>
      </c>
      <c r="C157" s="5" t="s">
        <v>56</v>
      </c>
      <c r="D157" s="5">
        <v>1371357</v>
      </c>
      <c r="E157" s="5">
        <v>15300</v>
      </c>
      <c r="F157" s="5">
        <v>121489491</v>
      </c>
      <c r="G157" s="5">
        <v>1.11568322471829</v>
      </c>
      <c r="H157" s="5">
        <v>7940.4896078431375</v>
      </c>
      <c r="I157" s="5">
        <v>88.590710515205018</v>
      </c>
    </row>
    <row r="158" spans="1:9" x14ac:dyDescent="0.2">
      <c r="A158" s="5" t="s">
        <v>67</v>
      </c>
      <c r="B158" s="5" t="s">
        <v>44</v>
      </c>
      <c r="C158" s="5" t="s">
        <v>57</v>
      </c>
      <c r="D158" s="5">
        <v>1365981</v>
      </c>
      <c r="E158" s="5">
        <v>15558</v>
      </c>
      <c r="F158" s="5">
        <v>128164680</v>
      </c>
      <c r="G158" s="5">
        <v>1.1389616693057956</v>
      </c>
      <c r="H158" s="5">
        <v>8237.8634785962204</v>
      </c>
      <c r="I158" s="5">
        <v>93.826107390952004</v>
      </c>
    </row>
    <row r="159" spans="1:9" x14ac:dyDescent="0.2">
      <c r="A159" s="5" t="s">
        <v>67</v>
      </c>
      <c r="B159" s="5" t="s">
        <v>44</v>
      </c>
      <c r="C159" s="5" t="s">
        <v>58</v>
      </c>
      <c r="D159" s="5">
        <v>1365163</v>
      </c>
      <c r="E159" s="5">
        <v>15635</v>
      </c>
      <c r="F159" s="5">
        <v>129579080</v>
      </c>
      <c r="G159" s="5">
        <v>1.1452844825123447</v>
      </c>
      <c r="H159" s="5">
        <v>8287.7569555484497</v>
      </c>
      <c r="I159" s="5">
        <v>94.918394360233904</v>
      </c>
    </row>
    <row r="160" spans="1:9" x14ac:dyDescent="0.2">
      <c r="A160" s="5" t="s">
        <v>67</v>
      </c>
      <c r="B160" s="5" t="s">
        <v>44</v>
      </c>
      <c r="C160" s="5" t="s">
        <v>59</v>
      </c>
      <c r="D160" s="5">
        <v>1364839</v>
      </c>
      <c r="E160" s="5">
        <v>15541</v>
      </c>
      <c r="F160" s="5">
        <v>129301420</v>
      </c>
      <c r="G160" s="5">
        <v>1.1386691030956766</v>
      </c>
      <c r="H160" s="5">
        <v>8320.019303777106</v>
      </c>
      <c r="I160" s="5">
        <v>94.737489183705918</v>
      </c>
    </row>
    <row r="161" spans="1:9" x14ac:dyDescent="0.2">
      <c r="A161" s="5" t="s">
        <v>67</v>
      </c>
      <c r="B161" s="5" t="s">
        <v>44</v>
      </c>
      <c r="C161" s="5" t="s">
        <v>60</v>
      </c>
      <c r="D161" s="5">
        <v>1367446</v>
      </c>
      <c r="E161" s="5">
        <v>15383</v>
      </c>
      <c r="F161" s="5">
        <v>131441955</v>
      </c>
      <c r="G161" s="5">
        <v>1.1249438734692265</v>
      </c>
      <c r="H161" s="5">
        <v>8544.6242605473581</v>
      </c>
      <c r="I161" s="5">
        <v>96.122227129992709</v>
      </c>
    </row>
    <row r="162" spans="1:9" x14ac:dyDescent="0.2">
      <c r="A162" s="5" t="s">
        <v>67</v>
      </c>
      <c r="B162" s="5" t="s">
        <v>44</v>
      </c>
      <c r="C162" s="5" t="s">
        <v>61</v>
      </c>
      <c r="D162" s="5">
        <v>1372193</v>
      </c>
      <c r="E162" s="5">
        <v>14963</v>
      </c>
      <c r="F162" s="5">
        <v>129100598</v>
      </c>
      <c r="G162" s="5">
        <v>1.0904442742383906</v>
      </c>
      <c r="H162" s="5">
        <v>8627.9889059680554</v>
      </c>
      <c r="I162" s="5">
        <v>94.08341100705222</v>
      </c>
    </row>
    <row r="163" spans="1:9" x14ac:dyDescent="0.2">
      <c r="A163" s="5" t="s">
        <v>67</v>
      </c>
      <c r="B163" s="5" t="s">
        <v>44</v>
      </c>
      <c r="C163" s="5" t="s">
        <v>62</v>
      </c>
      <c r="D163" s="5">
        <v>1378440</v>
      </c>
      <c r="E163" s="5">
        <v>14380</v>
      </c>
      <c r="F163" s="5">
        <v>127808958</v>
      </c>
      <c r="G163" s="5">
        <v>1.0432082644148457</v>
      </c>
      <c r="H163" s="5">
        <v>8887.9664812239225</v>
      </c>
      <c r="I163" s="5">
        <v>92.720000870549313</v>
      </c>
    </row>
    <row r="164" spans="1:9" x14ac:dyDescent="0.2">
      <c r="A164" s="5" t="s">
        <v>67</v>
      </c>
      <c r="B164" s="5" t="s">
        <v>63</v>
      </c>
      <c r="C164" s="5" t="s">
        <v>45</v>
      </c>
      <c r="D164" s="5">
        <v>1320450</v>
      </c>
      <c r="E164" s="5">
        <v>47006</v>
      </c>
      <c r="F164" s="5">
        <v>110711103</v>
      </c>
      <c r="G164" s="5">
        <v>3.5598470218486122</v>
      </c>
      <c r="H164" s="5">
        <v>2355.2547121644047</v>
      </c>
      <c r="I164" s="5">
        <v>83.843464727933664</v>
      </c>
    </row>
    <row r="165" spans="1:9" x14ac:dyDescent="0.2">
      <c r="A165" s="5" t="s">
        <v>67</v>
      </c>
      <c r="B165" s="5" t="s">
        <v>63</v>
      </c>
      <c r="C165" s="5" t="s">
        <v>46</v>
      </c>
      <c r="D165" s="5">
        <v>1326686</v>
      </c>
      <c r="E165" s="5">
        <v>46647</v>
      </c>
      <c r="F165" s="5">
        <v>111987201</v>
      </c>
      <c r="G165" s="5">
        <v>3.516054288656095</v>
      </c>
      <c r="H165" s="5">
        <v>2400.7374750787831</v>
      </c>
      <c r="I165" s="5">
        <v>84.411232951881601</v>
      </c>
    </row>
    <row r="166" spans="1:9" x14ac:dyDescent="0.2">
      <c r="A166" s="5" t="s">
        <v>67</v>
      </c>
      <c r="B166" s="5" t="s">
        <v>63</v>
      </c>
      <c r="C166" s="5" t="s">
        <v>47</v>
      </c>
      <c r="D166" s="5">
        <v>1341133</v>
      </c>
      <c r="E166" s="5">
        <v>47184</v>
      </c>
      <c r="F166" s="5">
        <v>113469902</v>
      </c>
      <c r="G166" s="5">
        <v>3.5182192966693089</v>
      </c>
      <c r="H166" s="5">
        <v>2404.838546965073</v>
      </c>
      <c r="I166" s="5">
        <v>84.607493813067009</v>
      </c>
    </row>
    <row r="167" spans="1:9" x14ac:dyDescent="0.2">
      <c r="A167" s="5" t="s">
        <v>67</v>
      </c>
      <c r="B167" s="5" t="s">
        <v>63</v>
      </c>
      <c r="C167" s="5" t="s">
        <v>48</v>
      </c>
      <c r="D167" s="5">
        <v>1353853</v>
      </c>
      <c r="E167" s="5">
        <v>47485</v>
      </c>
      <c r="F167" s="5">
        <v>114884208</v>
      </c>
      <c r="G167" s="5">
        <v>3.5073970364581677</v>
      </c>
      <c r="H167" s="5">
        <v>2419.3789196588395</v>
      </c>
      <c r="I167" s="5">
        <v>84.857224528807777</v>
      </c>
    </row>
    <row r="168" spans="1:9" x14ac:dyDescent="0.2">
      <c r="A168" s="5" t="s">
        <v>67</v>
      </c>
      <c r="B168" s="5" t="s">
        <v>63</v>
      </c>
      <c r="C168" s="5" t="s">
        <v>49</v>
      </c>
      <c r="D168" s="5">
        <v>1362284</v>
      </c>
      <c r="E168" s="5">
        <v>47442</v>
      </c>
      <c r="F168" s="5">
        <v>115582923</v>
      </c>
      <c r="G168" s="5">
        <v>3.4825337447991753</v>
      </c>
      <c r="H168" s="5">
        <v>2436.2995447072212</v>
      </c>
      <c r="I168" s="5">
        <v>84.84495376881766</v>
      </c>
    </row>
    <row r="169" spans="1:9" x14ac:dyDescent="0.2">
      <c r="A169" s="5" t="s">
        <v>67</v>
      </c>
      <c r="B169" s="5" t="s">
        <v>63</v>
      </c>
      <c r="C169" s="5" t="s">
        <v>50</v>
      </c>
      <c r="D169" s="5">
        <v>1365872</v>
      </c>
      <c r="E169" s="5">
        <v>47074</v>
      </c>
      <c r="F169" s="5">
        <v>114998071</v>
      </c>
      <c r="G169" s="5">
        <v>3.44644300490822</v>
      </c>
      <c r="H169" s="5">
        <v>2442.9211666737478</v>
      </c>
      <c r="I169" s="5">
        <v>84.193885664249649</v>
      </c>
    </row>
    <row r="170" spans="1:9" x14ac:dyDescent="0.2">
      <c r="A170" s="5" t="s">
        <v>67</v>
      </c>
      <c r="B170" s="5" t="s">
        <v>63</v>
      </c>
      <c r="C170" s="5" t="s">
        <v>51</v>
      </c>
      <c r="D170" s="5">
        <v>1366673</v>
      </c>
      <c r="E170" s="5">
        <v>46283</v>
      </c>
      <c r="F170" s="5">
        <v>113675581</v>
      </c>
      <c r="G170" s="5">
        <v>3.3865452818633281</v>
      </c>
      <c r="H170" s="5">
        <v>2456.0979409286347</v>
      </c>
      <c r="I170" s="5">
        <v>83.17686893646102</v>
      </c>
    </row>
    <row r="171" spans="1:9" x14ac:dyDescent="0.2">
      <c r="A171" s="5" t="s">
        <v>67</v>
      </c>
      <c r="B171" s="5" t="s">
        <v>63</v>
      </c>
      <c r="C171" s="5" t="s">
        <v>52</v>
      </c>
      <c r="D171" s="5">
        <v>1367977</v>
      </c>
      <c r="E171" s="5">
        <v>45849</v>
      </c>
      <c r="F171" s="5">
        <v>113307093</v>
      </c>
      <c r="G171" s="5">
        <v>3.3515914375753395</v>
      </c>
      <c r="H171" s="5">
        <v>2471.3100176666885</v>
      </c>
      <c r="I171" s="5">
        <v>82.828214948058331</v>
      </c>
    </row>
    <row r="172" spans="1:9" x14ac:dyDescent="0.2">
      <c r="A172" s="5" t="s">
        <v>67</v>
      </c>
      <c r="B172" s="5" t="s">
        <v>63</v>
      </c>
      <c r="C172" s="5" t="s">
        <v>53</v>
      </c>
      <c r="D172" s="5">
        <v>1371322</v>
      </c>
      <c r="E172" s="5">
        <v>45364</v>
      </c>
      <c r="F172" s="5">
        <v>113264524</v>
      </c>
      <c r="G172" s="5">
        <v>3.3080487296200309</v>
      </c>
      <c r="H172" s="5">
        <v>2496.7931399347499</v>
      </c>
      <c r="I172" s="5">
        <v>82.595133746851573</v>
      </c>
    </row>
    <row r="173" spans="1:9" x14ac:dyDescent="0.2">
      <c r="A173" s="5" t="s">
        <v>67</v>
      </c>
      <c r="B173" s="5" t="s">
        <v>63</v>
      </c>
      <c r="C173" s="5" t="s">
        <v>54</v>
      </c>
      <c r="D173" s="5">
        <v>1376008</v>
      </c>
      <c r="E173" s="5">
        <v>45541</v>
      </c>
      <c r="F173" s="5">
        <v>113841873</v>
      </c>
      <c r="G173" s="5">
        <v>3.3096464555438629</v>
      </c>
      <c r="H173" s="5">
        <v>2499.7666498320195</v>
      </c>
      <c r="I173" s="5">
        <v>82.733438323032999</v>
      </c>
    </row>
    <row r="174" spans="1:9" x14ac:dyDescent="0.2">
      <c r="A174" s="5" t="s">
        <v>67</v>
      </c>
      <c r="B174" s="5" t="s">
        <v>63</v>
      </c>
      <c r="C174" s="5" t="s">
        <v>55</v>
      </c>
      <c r="D174" s="5">
        <v>1374047</v>
      </c>
      <c r="E174" s="5">
        <v>44867</v>
      </c>
      <c r="F174" s="5">
        <v>114815893</v>
      </c>
      <c r="G174" s="5">
        <v>3.2653177074728883</v>
      </c>
      <c r="H174" s="5">
        <v>2559.0276372389508</v>
      </c>
      <c r="I174" s="5">
        <v>83.560382577888532</v>
      </c>
    </row>
    <row r="175" spans="1:9" x14ac:dyDescent="0.2">
      <c r="A175" s="5" t="s">
        <v>67</v>
      </c>
      <c r="B175" s="5" t="s">
        <v>63</v>
      </c>
      <c r="C175" s="5" t="s">
        <v>56</v>
      </c>
      <c r="D175" s="5">
        <v>1371357</v>
      </c>
      <c r="E175" s="5">
        <v>44796</v>
      </c>
      <c r="F175" s="5">
        <v>113682897</v>
      </c>
      <c r="G175" s="5">
        <v>3.2665454728418641</v>
      </c>
      <c r="H175" s="5">
        <v>2537.7912536833646</v>
      </c>
      <c r="I175" s="5">
        <v>82.898105307370727</v>
      </c>
    </row>
    <row r="176" spans="1:9" x14ac:dyDescent="0.2">
      <c r="A176" s="5" t="s">
        <v>67</v>
      </c>
      <c r="B176" s="5" t="s">
        <v>63</v>
      </c>
      <c r="C176" s="5" t="s">
        <v>57</v>
      </c>
      <c r="D176" s="5">
        <v>1365981</v>
      </c>
      <c r="E176" s="5">
        <v>44690</v>
      </c>
      <c r="F176" s="5">
        <v>113600251</v>
      </c>
      <c r="G176" s="5">
        <v>3.2716414064324466</v>
      </c>
      <c r="H176" s="5">
        <v>2541.9613112553143</v>
      </c>
      <c r="I176" s="5">
        <v>83.163858794522028</v>
      </c>
    </row>
    <row r="177" spans="1:9" x14ac:dyDescent="0.2">
      <c r="A177" s="5" t="s">
        <v>67</v>
      </c>
      <c r="B177" s="5" t="s">
        <v>63</v>
      </c>
      <c r="C177" s="5" t="s">
        <v>58</v>
      </c>
      <c r="D177" s="5">
        <v>1365163</v>
      </c>
      <c r="E177" s="5">
        <v>44898</v>
      </c>
      <c r="F177" s="5">
        <v>115105987</v>
      </c>
      <c r="G177" s="5">
        <v>3.2888380361905503</v>
      </c>
      <c r="H177" s="5">
        <v>2563.7219252527952</v>
      </c>
      <c r="I177" s="5">
        <v>84.316661819870589</v>
      </c>
    </row>
    <row r="178" spans="1:9" x14ac:dyDescent="0.2">
      <c r="A178" s="5" t="s">
        <v>67</v>
      </c>
      <c r="B178" s="5" t="s">
        <v>63</v>
      </c>
      <c r="C178" s="5" t="s">
        <v>59</v>
      </c>
      <c r="D178" s="5">
        <v>1364839</v>
      </c>
      <c r="E178" s="5">
        <v>45473</v>
      </c>
      <c r="F178" s="5">
        <v>114849064</v>
      </c>
      <c r="G178" s="5">
        <v>3.3317482867942667</v>
      </c>
      <c r="H178" s="5">
        <v>2525.6539924790536</v>
      </c>
      <c r="I178" s="5">
        <v>84.148433624771855</v>
      </c>
    </row>
    <row r="179" spans="1:9" x14ac:dyDescent="0.2">
      <c r="A179" s="5" t="s">
        <v>67</v>
      </c>
      <c r="B179" s="5" t="s">
        <v>63</v>
      </c>
      <c r="C179" s="5" t="s">
        <v>60</v>
      </c>
      <c r="D179" s="5">
        <v>1367446</v>
      </c>
      <c r="E179" s="5">
        <v>45298</v>
      </c>
      <c r="F179" s="5">
        <v>115309706</v>
      </c>
      <c r="G179" s="5">
        <v>3.3125988156022248</v>
      </c>
      <c r="H179" s="5">
        <v>2545.5805112808512</v>
      </c>
      <c r="I179" s="5">
        <v>84.324869866890538</v>
      </c>
    </row>
    <row r="180" spans="1:9" x14ac:dyDescent="0.2">
      <c r="A180" s="5" t="s">
        <v>67</v>
      </c>
      <c r="B180" s="5" t="s">
        <v>63</v>
      </c>
      <c r="C180" s="5" t="s">
        <v>61</v>
      </c>
      <c r="D180" s="5">
        <v>1372193</v>
      </c>
      <c r="E180" s="5">
        <v>44797</v>
      </c>
      <c r="F180" s="5">
        <v>115537500</v>
      </c>
      <c r="G180" s="5">
        <v>3.2646282264958355</v>
      </c>
      <c r="H180" s="5">
        <v>2579.1347634886265</v>
      </c>
      <c r="I180" s="5">
        <v>84.199161488216305</v>
      </c>
    </row>
    <row r="181" spans="1:9" x14ac:dyDescent="0.2">
      <c r="A181" s="5" t="s">
        <v>67</v>
      </c>
      <c r="B181" s="5" t="s">
        <v>63</v>
      </c>
      <c r="C181" s="5" t="s">
        <v>62</v>
      </c>
      <c r="D181" s="5">
        <v>1378440</v>
      </c>
      <c r="E181" s="5">
        <v>44222</v>
      </c>
      <c r="F181" s="5">
        <v>114647886</v>
      </c>
      <c r="G181" s="5">
        <v>3.2081193232929981</v>
      </c>
      <c r="H181" s="5">
        <v>2592.5531635837365</v>
      </c>
      <c r="I181" s="5">
        <v>83.172199007573781</v>
      </c>
    </row>
    <row r="182" spans="1:9" x14ac:dyDescent="0.2">
      <c r="A182" s="5" t="s">
        <v>67</v>
      </c>
      <c r="B182" s="5" t="s">
        <v>64</v>
      </c>
      <c r="C182" s="5" t="s">
        <v>45</v>
      </c>
      <c r="D182" s="5">
        <v>980119</v>
      </c>
      <c r="E182" s="5">
        <v>125072</v>
      </c>
      <c r="F182" s="5">
        <v>101607437</v>
      </c>
      <c r="G182" s="5">
        <v>12.760899441802476</v>
      </c>
      <c r="H182" s="5">
        <v>812.39155846232575</v>
      </c>
      <c r="I182" s="5">
        <v>103.66846984906935</v>
      </c>
    </row>
    <row r="183" spans="1:9" x14ac:dyDescent="0.2">
      <c r="A183" s="5" t="s">
        <v>67</v>
      </c>
      <c r="B183" s="5" t="s">
        <v>64</v>
      </c>
      <c r="C183" s="5" t="s">
        <v>46</v>
      </c>
      <c r="D183" s="5">
        <v>984370</v>
      </c>
      <c r="E183" s="5">
        <v>118445</v>
      </c>
      <c r="F183" s="5">
        <v>94401059</v>
      </c>
      <c r="G183" s="5">
        <v>12.032569054319007</v>
      </c>
      <c r="H183" s="5">
        <v>797.00332643843137</v>
      </c>
      <c r="I183" s="5">
        <v>95.899975618923776</v>
      </c>
    </row>
    <row r="184" spans="1:9" x14ac:dyDescent="0.2">
      <c r="A184" s="5" t="s">
        <v>67</v>
      </c>
      <c r="B184" s="5" t="s">
        <v>64</v>
      </c>
      <c r="C184" s="5" t="s">
        <v>47</v>
      </c>
      <c r="D184" s="5">
        <v>994320</v>
      </c>
      <c r="E184" s="5">
        <v>119221</v>
      </c>
      <c r="F184" s="5">
        <v>104560488</v>
      </c>
      <c r="G184" s="5">
        <v>11.99020436076917</v>
      </c>
      <c r="H184" s="5">
        <v>877.03079155517901</v>
      </c>
      <c r="I184" s="5">
        <v>105.15778421433744</v>
      </c>
    </row>
    <row r="185" spans="1:9" x14ac:dyDescent="0.2">
      <c r="A185" s="5" t="s">
        <v>67</v>
      </c>
      <c r="B185" s="5" t="s">
        <v>64</v>
      </c>
      <c r="C185" s="5" t="s">
        <v>48</v>
      </c>
      <c r="D185" s="5">
        <v>1002739</v>
      </c>
      <c r="E185" s="5">
        <v>117365</v>
      </c>
      <c r="F185" s="5">
        <v>102267687</v>
      </c>
      <c r="G185" s="5">
        <v>11.704441534636631</v>
      </c>
      <c r="H185" s="5">
        <v>871.36443573467386</v>
      </c>
      <c r="I185" s="5">
        <v>101.98834093418128</v>
      </c>
    </row>
    <row r="186" spans="1:9" x14ac:dyDescent="0.2">
      <c r="A186" s="5" t="s">
        <v>67</v>
      </c>
      <c r="B186" s="5" t="s">
        <v>64</v>
      </c>
      <c r="C186" s="5" t="s">
        <v>49</v>
      </c>
      <c r="D186" s="5">
        <v>1007579</v>
      </c>
      <c r="E186" s="5">
        <v>114202</v>
      </c>
      <c r="F186" s="5">
        <v>98224711</v>
      </c>
      <c r="G186" s="5">
        <v>11.334297360306239</v>
      </c>
      <c r="H186" s="5">
        <v>860.09624174707972</v>
      </c>
      <c r="I186" s="5">
        <v>97.485865624432421</v>
      </c>
    </row>
    <row r="187" spans="1:9" x14ac:dyDescent="0.2">
      <c r="A187" s="5" t="s">
        <v>67</v>
      </c>
      <c r="B187" s="5" t="s">
        <v>64</v>
      </c>
      <c r="C187" s="5" t="s">
        <v>50</v>
      </c>
      <c r="D187" s="5">
        <v>1009137</v>
      </c>
      <c r="E187" s="5">
        <v>112746</v>
      </c>
      <c r="F187" s="5">
        <v>96608389</v>
      </c>
      <c r="G187" s="5">
        <v>11.172516714777082</v>
      </c>
      <c r="H187" s="5">
        <v>856.86755184219396</v>
      </c>
      <c r="I187" s="5">
        <v>95.733670453070303</v>
      </c>
    </row>
    <row r="188" spans="1:9" x14ac:dyDescent="0.2">
      <c r="A188" s="5" t="s">
        <v>67</v>
      </c>
      <c r="B188" s="5" t="s">
        <v>64</v>
      </c>
      <c r="C188" s="5" t="s">
        <v>51</v>
      </c>
      <c r="D188" s="5">
        <v>1007443</v>
      </c>
      <c r="E188" s="5">
        <v>106543</v>
      </c>
      <c r="F188" s="5">
        <v>84070789</v>
      </c>
      <c r="G188" s="5">
        <v>10.575585914041786</v>
      </c>
      <c r="H188" s="5">
        <v>789.07848474324919</v>
      </c>
      <c r="I188" s="5">
        <v>83.449673083241436</v>
      </c>
    </row>
    <row r="189" spans="1:9" x14ac:dyDescent="0.2">
      <c r="A189" s="5" t="s">
        <v>67</v>
      </c>
      <c r="B189" s="5" t="s">
        <v>64</v>
      </c>
      <c r="C189" s="5" t="s">
        <v>52</v>
      </c>
      <c r="D189" s="5">
        <v>1005896</v>
      </c>
      <c r="E189" s="5">
        <v>109051</v>
      </c>
      <c r="F189" s="5">
        <v>91682382</v>
      </c>
      <c r="G189" s="5">
        <v>10.84118040035948</v>
      </c>
      <c r="H189" s="5">
        <v>840.72940183950629</v>
      </c>
      <c r="I189" s="5">
        <v>91.144991132284048</v>
      </c>
    </row>
    <row r="190" spans="1:9" x14ac:dyDescent="0.2">
      <c r="A190" s="5" t="s">
        <v>67</v>
      </c>
      <c r="B190" s="5" t="s">
        <v>64</v>
      </c>
      <c r="C190" s="5" t="s">
        <v>53</v>
      </c>
      <c r="D190" s="5">
        <v>1005394</v>
      </c>
      <c r="E190" s="5">
        <v>107106</v>
      </c>
      <c r="F190" s="5">
        <v>91198557</v>
      </c>
      <c r="G190" s="5">
        <v>10.653136979134548</v>
      </c>
      <c r="H190" s="5">
        <v>851.47944092767909</v>
      </c>
      <c r="I190" s="5">
        <v>90.709271191194702</v>
      </c>
    </row>
    <row r="191" spans="1:9" x14ac:dyDescent="0.2">
      <c r="A191" s="5" t="s">
        <v>67</v>
      </c>
      <c r="B191" s="5" t="s">
        <v>64</v>
      </c>
      <c r="C191" s="5" t="s">
        <v>54</v>
      </c>
      <c r="D191" s="5">
        <v>1005980</v>
      </c>
      <c r="E191" s="5">
        <v>105642</v>
      </c>
      <c r="F191" s="5">
        <v>89776314</v>
      </c>
      <c r="G191" s="5">
        <v>10.501401618322431</v>
      </c>
      <c r="H191" s="5">
        <v>849.81649344010907</v>
      </c>
      <c r="I191" s="5">
        <v>89.242642994890559</v>
      </c>
    </row>
    <row r="192" spans="1:9" x14ac:dyDescent="0.2">
      <c r="A192" s="5" t="s">
        <v>67</v>
      </c>
      <c r="B192" s="5" t="s">
        <v>64</v>
      </c>
      <c r="C192" s="5" t="s">
        <v>55</v>
      </c>
      <c r="D192" s="5">
        <v>1003332</v>
      </c>
      <c r="E192" s="5">
        <v>102870</v>
      </c>
      <c r="F192" s="5">
        <v>88821899</v>
      </c>
      <c r="G192" s="5">
        <v>10.252837545299064</v>
      </c>
      <c r="H192" s="5">
        <v>863.43831048896664</v>
      </c>
      <c r="I192" s="5">
        <v>88.526927278308676</v>
      </c>
    </row>
    <row r="193" spans="1:9" x14ac:dyDescent="0.2">
      <c r="A193" s="5" t="s">
        <v>67</v>
      </c>
      <c r="B193" s="5" t="s">
        <v>64</v>
      </c>
      <c r="C193" s="5" t="s">
        <v>56</v>
      </c>
      <c r="D193" s="5">
        <v>1001617</v>
      </c>
      <c r="E193" s="5">
        <v>95462</v>
      </c>
      <c r="F193" s="5">
        <v>78762883</v>
      </c>
      <c r="G193" s="5">
        <v>9.5307887146484127</v>
      </c>
      <c r="H193" s="5">
        <v>825.07053068236576</v>
      </c>
      <c r="I193" s="5">
        <v>78.635729026164697</v>
      </c>
    </row>
    <row r="194" spans="1:9" x14ac:dyDescent="0.2">
      <c r="A194" s="5" t="s">
        <v>67</v>
      </c>
      <c r="B194" s="5" t="s">
        <v>64</v>
      </c>
      <c r="C194" s="5" t="s">
        <v>57</v>
      </c>
      <c r="D194" s="5">
        <v>999594</v>
      </c>
      <c r="E194" s="5">
        <v>94107</v>
      </c>
      <c r="F194" s="5">
        <v>81452436</v>
      </c>
      <c r="G194" s="5">
        <v>9.4145222960521977</v>
      </c>
      <c r="H194" s="5">
        <v>865.53004558640691</v>
      </c>
      <c r="I194" s="5">
        <v>81.48551912076303</v>
      </c>
    </row>
    <row r="195" spans="1:9" x14ac:dyDescent="0.2">
      <c r="A195" s="5" t="s">
        <v>67</v>
      </c>
      <c r="B195" s="5" t="s">
        <v>64</v>
      </c>
      <c r="C195" s="5" t="s">
        <v>58</v>
      </c>
      <c r="D195" s="5">
        <v>1001033</v>
      </c>
      <c r="E195" s="5">
        <v>94632</v>
      </c>
      <c r="F195" s="5">
        <v>84340903</v>
      </c>
      <c r="G195" s="5">
        <v>9.4534346020560758</v>
      </c>
      <c r="H195" s="5">
        <v>891.25140544424721</v>
      </c>
      <c r="I195" s="5">
        <v>84.253868753577549</v>
      </c>
    </row>
    <row r="196" spans="1:9" x14ac:dyDescent="0.2">
      <c r="A196" s="5" t="s">
        <v>67</v>
      </c>
      <c r="B196" s="5" t="s">
        <v>64</v>
      </c>
      <c r="C196" s="5" t="s">
        <v>59</v>
      </c>
      <c r="D196" s="5">
        <v>1002188</v>
      </c>
      <c r="E196" s="5">
        <v>91142</v>
      </c>
      <c r="F196" s="5">
        <v>75630265</v>
      </c>
      <c r="G196" s="5">
        <v>9.0943016679505249</v>
      </c>
      <c r="H196" s="5">
        <v>829.80694959513721</v>
      </c>
      <c r="I196" s="5">
        <v>75.465147257799927</v>
      </c>
    </row>
    <row r="197" spans="1:9" x14ac:dyDescent="0.2">
      <c r="A197" s="5" t="s">
        <v>67</v>
      </c>
      <c r="B197" s="5" t="s">
        <v>64</v>
      </c>
      <c r="C197" s="5" t="s">
        <v>60</v>
      </c>
      <c r="D197" s="5">
        <v>1004465</v>
      </c>
      <c r="E197" s="5">
        <v>89716</v>
      </c>
      <c r="F197" s="5">
        <v>75117252</v>
      </c>
      <c r="G197" s="5">
        <v>8.9317198707769805</v>
      </c>
      <c r="H197" s="5">
        <v>837.27821124437116</v>
      </c>
      <c r="I197" s="5">
        <v>74.783344367399565</v>
      </c>
    </row>
    <row r="198" spans="1:9" x14ac:dyDescent="0.2">
      <c r="A198" s="5" t="s">
        <v>67</v>
      </c>
      <c r="B198" s="5" t="s">
        <v>64</v>
      </c>
      <c r="C198" s="5" t="s">
        <v>61</v>
      </c>
      <c r="D198" s="5">
        <v>1007819</v>
      </c>
      <c r="E198" s="5">
        <v>89808</v>
      </c>
      <c r="F198" s="5">
        <v>78921282</v>
      </c>
      <c r="G198" s="5">
        <v>8.9111239220534646</v>
      </c>
      <c r="H198" s="5">
        <v>878.77785943345805</v>
      </c>
      <c r="I198" s="5">
        <v>78.308984053684242</v>
      </c>
    </row>
    <row r="199" spans="1:9" x14ac:dyDescent="0.2">
      <c r="A199" s="5" t="s">
        <v>67</v>
      </c>
      <c r="B199" s="5" t="s">
        <v>64</v>
      </c>
      <c r="C199" s="5" t="s">
        <v>62</v>
      </c>
      <c r="D199" s="5">
        <v>1011899</v>
      </c>
      <c r="E199" s="5">
        <v>89361</v>
      </c>
      <c r="F199" s="5">
        <v>86424947</v>
      </c>
      <c r="G199" s="5">
        <v>8.8310196966298022</v>
      </c>
      <c r="H199" s="5">
        <v>967.14391065453606</v>
      </c>
      <c r="I199" s="5">
        <v>85.408669244657816</v>
      </c>
    </row>
    <row r="200" spans="1:9" x14ac:dyDescent="0.2">
      <c r="A200" s="5" t="s">
        <v>67</v>
      </c>
      <c r="B200" s="5" t="s">
        <v>65</v>
      </c>
      <c r="C200" s="5" t="s">
        <v>45</v>
      </c>
      <c r="D200" s="5">
        <v>955313</v>
      </c>
      <c r="E200" s="5">
        <v>67240</v>
      </c>
      <c r="F200" s="5">
        <v>166501016</v>
      </c>
      <c r="G200" s="5">
        <v>7.038530827069243</v>
      </c>
      <c r="H200" s="5">
        <v>2476.2197501487208</v>
      </c>
      <c r="I200" s="5">
        <v>174.28949046019471</v>
      </c>
    </row>
    <row r="201" spans="1:9" x14ac:dyDescent="0.2">
      <c r="A201" s="5" t="s">
        <v>67</v>
      </c>
      <c r="B201" s="5" t="s">
        <v>65</v>
      </c>
      <c r="C201" s="5" t="s">
        <v>46</v>
      </c>
      <c r="D201" s="5">
        <v>959536</v>
      </c>
      <c r="E201" s="5">
        <v>64120</v>
      </c>
      <c r="F201" s="5">
        <v>160793397</v>
      </c>
      <c r="G201" s="5">
        <v>6.6823964916376246</v>
      </c>
      <c r="H201" s="5">
        <v>2507.694900187149</v>
      </c>
      <c r="I201" s="5">
        <v>167.5741160310817</v>
      </c>
    </row>
    <row r="202" spans="1:9" x14ac:dyDescent="0.2">
      <c r="A202" s="5" t="s">
        <v>67</v>
      </c>
      <c r="B202" s="5" t="s">
        <v>65</v>
      </c>
      <c r="C202" s="5" t="s">
        <v>47</v>
      </c>
      <c r="D202" s="5">
        <v>969294</v>
      </c>
      <c r="E202" s="5">
        <v>64228</v>
      </c>
      <c r="F202" s="5">
        <v>160615214</v>
      </c>
      <c r="G202" s="5">
        <v>6.6262661277176997</v>
      </c>
      <c r="H202" s="5">
        <v>2500.7039608893319</v>
      </c>
      <c r="I202" s="5">
        <v>165.70329951490467</v>
      </c>
    </row>
    <row r="203" spans="1:9" x14ac:dyDescent="0.2">
      <c r="A203" s="5" t="s">
        <v>67</v>
      </c>
      <c r="B203" s="5" t="s">
        <v>65</v>
      </c>
      <c r="C203" s="5" t="s">
        <v>48</v>
      </c>
      <c r="D203" s="5">
        <v>977688</v>
      </c>
      <c r="E203" s="5">
        <v>64133</v>
      </c>
      <c r="F203" s="5">
        <v>162929454</v>
      </c>
      <c r="G203" s="5">
        <v>6.5596591141550267</v>
      </c>
      <c r="H203" s="5">
        <v>2540.4932562019553</v>
      </c>
      <c r="I203" s="5">
        <v>166.64769742494539</v>
      </c>
    </row>
    <row r="204" spans="1:9" x14ac:dyDescent="0.2">
      <c r="A204" s="5" t="s">
        <v>67</v>
      </c>
      <c r="B204" s="5" t="s">
        <v>65</v>
      </c>
      <c r="C204" s="5" t="s">
        <v>49</v>
      </c>
      <c r="D204" s="5">
        <v>982546</v>
      </c>
      <c r="E204" s="5">
        <v>63191</v>
      </c>
      <c r="F204" s="5">
        <v>161827184</v>
      </c>
      <c r="G204" s="5">
        <v>6.4313528323355857</v>
      </c>
      <c r="H204" s="5">
        <v>2560.9213970343876</v>
      </c>
      <c r="I204" s="5">
        <v>164.70189080205915</v>
      </c>
    </row>
    <row r="205" spans="1:9" x14ac:dyDescent="0.2">
      <c r="A205" s="5" t="s">
        <v>67</v>
      </c>
      <c r="B205" s="5" t="s">
        <v>65</v>
      </c>
      <c r="C205" s="5" t="s">
        <v>50</v>
      </c>
      <c r="D205" s="5">
        <v>984192</v>
      </c>
      <c r="E205" s="5">
        <v>62777</v>
      </c>
      <c r="F205" s="5">
        <v>164099871</v>
      </c>
      <c r="G205" s="5">
        <v>6.3785318311874102</v>
      </c>
      <c r="H205" s="5">
        <v>2614.0126320149097</v>
      </c>
      <c r="I205" s="5">
        <v>166.73562780433087</v>
      </c>
    </row>
    <row r="206" spans="1:9" x14ac:dyDescent="0.2">
      <c r="A206" s="5" t="s">
        <v>67</v>
      </c>
      <c r="B206" s="5" t="s">
        <v>65</v>
      </c>
      <c r="C206" s="5" t="s">
        <v>51</v>
      </c>
      <c r="D206" s="5">
        <v>982604</v>
      </c>
      <c r="E206" s="5">
        <v>61562</v>
      </c>
      <c r="F206" s="5">
        <v>163574494</v>
      </c>
      <c r="G206" s="5">
        <v>6.2651892318777449</v>
      </c>
      <c r="H206" s="5">
        <v>2657.0691985315616</v>
      </c>
      <c r="I206" s="5">
        <v>166.47041330993972</v>
      </c>
    </row>
    <row r="207" spans="1:9" x14ac:dyDescent="0.2">
      <c r="A207" s="5" t="s">
        <v>67</v>
      </c>
      <c r="B207" s="5" t="s">
        <v>65</v>
      </c>
      <c r="C207" s="5" t="s">
        <v>52</v>
      </c>
      <c r="D207" s="5">
        <v>981012</v>
      </c>
      <c r="E207" s="5">
        <v>60428</v>
      </c>
      <c r="F207" s="5">
        <v>163088198</v>
      </c>
      <c r="G207" s="5">
        <v>6.1597615523561382</v>
      </c>
      <c r="H207" s="5">
        <v>2698.8845899252001</v>
      </c>
      <c r="I207" s="5">
        <v>166.24485531267712</v>
      </c>
    </row>
    <row r="208" spans="1:9" x14ac:dyDescent="0.2">
      <c r="A208" s="5" t="s">
        <v>67</v>
      </c>
      <c r="B208" s="5" t="s">
        <v>65</v>
      </c>
      <c r="C208" s="5" t="s">
        <v>53</v>
      </c>
      <c r="D208" s="5">
        <v>980458</v>
      </c>
      <c r="E208" s="5">
        <v>59532</v>
      </c>
      <c r="F208" s="5">
        <v>161113578</v>
      </c>
      <c r="G208" s="5">
        <v>6.071856214136659</v>
      </c>
      <c r="H208" s="5">
        <v>2706.3357186051198</v>
      </c>
      <c r="I208" s="5">
        <v>164.32481350552496</v>
      </c>
    </row>
    <row r="209" spans="1:9" x14ac:dyDescent="0.2">
      <c r="A209" s="5" t="s">
        <v>67</v>
      </c>
      <c r="B209" s="5" t="s">
        <v>65</v>
      </c>
      <c r="C209" s="5" t="s">
        <v>54</v>
      </c>
      <c r="D209" s="5">
        <v>980978</v>
      </c>
      <c r="E209" s="5">
        <v>58629</v>
      </c>
      <c r="F209" s="5">
        <v>158312847</v>
      </c>
      <c r="G209" s="5">
        <v>5.9765866308928439</v>
      </c>
      <c r="H209" s="5">
        <v>2700.2481195312898</v>
      </c>
      <c r="I209" s="5">
        <v>161.38266811284248</v>
      </c>
    </row>
    <row r="210" spans="1:9" x14ac:dyDescent="0.2">
      <c r="A210" s="5" t="s">
        <v>67</v>
      </c>
      <c r="B210" s="5" t="s">
        <v>65</v>
      </c>
      <c r="C210" s="5" t="s">
        <v>55</v>
      </c>
      <c r="D210" s="5">
        <v>978385</v>
      </c>
      <c r="E210" s="5">
        <v>56863</v>
      </c>
      <c r="F210" s="5">
        <v>158992000</v>
      </c>
      <c r="G210" s="5">
        <v>5.811924753547939</v>
      </c>
      <c r="H210" s="5">
        <v>2796.0536728628458</v>
      </c>
      <c r="I210" s="5">
        <v>162.50453553560203</v>
      </c>
    </row>
    <row r="211" spans="1:9" x14ac:dyDescent="0.2">
      <c r="A211" s="5" t="s">
        <v>67</v>
      </c>
      <c r="B211" s="5" t="s">
        <v>65</v>
      </c>
      <c r="C211" s="5" t="s">
        <v>56</v>
      </c>
      <c r="D211" s="5">
        <v>976577</v>
      </c>
      <c r="E211" s="5">
        <v>55730</v>
      </c>
      <c r="F211" s="5">
        <v>158171018</v>
      </c>
      <c r="G211" s="5">
        <v>5.7066672674044137</v>
      </c>
      <c r="H211" s="5">
        <v>2838.1664812488784</v>
      </c>
      <c r="I211" s="5">
        <v>161.96471757987337</v>
      </c>
    </row>
    <row r="212" spans="1:9" x14ac:dyDescent="0.2">
      <c r="A212" s="5" t="s">
        <v>67</v>
      </c>
      <c r="B212" s="5" t="s">
        <v>65</v>
      </c>
      <c r="C212" s="5" t="s">
        <v>57</v>
      </c>
      <c r="D212" s="5">
        <v>974608</v>
      </c>
      <c r="E212" s="5">
        <v>55197</v>
      </c>
      <c r="F212" s="5">
        <v>161466491</v>
      </c>
      <c r="G212" s="5">
        <v>5.6635077897985653</v>
      </c>
      <c r="H212" s="5">
        <v>2925.2765730021561</v>
      </c>
      <c r="I212" s="5">
        <v>165.67326658512962</v>
      </c>
    </row>
    <row r="213" spans="1:9" x14ac:dyDescent="0.2">
      <c r="A213" s="5" t="s">
        <v>67</v>
      </c>
      <c r="B213" s="5" t="s">
        <v>65</v>
      </c>
      <c r="C213" s="5" t="s">
        <v>58</v>
      </c>
      <c r="D213" s="5">
        <v>975949</v>
      </c>
      <c r="E213" s="5">
        <v>55147</v>
      </c>
      <c r="F213" s="5">
        <v>164473609</v>
      </c>
      <c r="G213" s="5">
        <v>5.6506026441955468</v>
      </c>
      <c r="H213" s="5">
        <v>2982.4579578218218</v>
      </c>
      <c r="I213" s="5">
        <v>168.52684822670037</v>
      </c>
    </row>
    <row r="214" spans="1:9" x14ac:dyDescent="0.2">
      <c r="A214" s="5" t="s">
        <v>67</v>
      </c>
      <c r="B214" s="5" t="s">
        <v>65</v>
      </c>
      <c r="C214" s="5" t="s">
        <v>59</v>
      </c>
      <c r="D214" s="5">
        <v>977099</v>
      </c>
      <c r="E214" s="5">
        <v>56071</v>
      </c>
      <c r="F214" s="5">
        <v>165628082</v>
      </c>
      <c r="G214" s="5">
        <v>5.7385177960472786</v>
      </c>
      <c r="H214" s="5">
        <v>2953.8991992295482</v>
      </c>
      <c r="I214" s="5">
        <v>169.5100312250857</v>
      </c>
    </row>
    <row r="215" spans="1:9" x14ac:dyDescent="0.2">
      <c r="A215" s="5" t="s">
        <v>67</v>
      </c>
      <c r="B215" s="5" t="s">
        <v>65</v>
      </c>
      <c r="C215" s="5" t="s">
        <v>60</v>
      </c>
      <c r="D215" s="5">
        <v>979447</v>
      </c>
      <c r="E215" s="5">
        <v>55855</v>
      </c>
      <c r="F215" s="5">
        <v>164724731</v>
      </c>
      <c r="G215" s="5">
        <v>5.7027077524358134</v>
      </c>
      <c r="H215" s="5">
        <v>2949.1492435771193</v>
      </c>
      <c r="I215" s="5">
        <v>168.18136254437454</v>
      </c>
    </row>
    <row r="216" spans="1:9" x14ac:dyDescent="0.2">
      <c r="A216" s="5" t="s">
        <v>67</v>
      </c>
      <c r="B216" s="5" t="s">
        <v>65</v>
      </c>
      <c r="C216" s="5" t="s">
        <v>61</v>
      </c>
      <c r="D216" s="5">
        <v>982751</v>
      </c>
      <c r="E216" s="5">
        <v>54996</v>
      </c>
      <c r="F216" s="5">
        <v>164106177</v>
      </c>
      <c r="G216" s="5">
        <v>5.5961276050596744</v>
      </c>
      <c r="H216" s="5">
        <v>2983.965688413703</v>
      </c>
      <c r="I216" s="5">
        <v>166.98652761482816</v>
      </c>
    </row>
    <row r="217" spans="1:9" x14ac:dyDescent="0.2">
      <c r="A217" s="5" t="s">
        <v>67</v>
      </c>
      <c r="B217" s="5" t="s">
        <v>65</v>
      </c>
      <c r="C217" s="5" t="s">
        <v>62</v>
      </c>
      <c r="D217" s="5">
        <v>986782</v>
      </c>
      <c r="E217" s="5">
        <v>54196</v>
      </c>
      <c r="F217" s="5">
        <v>161059446</v>
      </c>
      <c r="G217" s="5">
        <v>5.4921958446749128</v>
      </c>
      <c r="H217" s="5">
        <v>2971.7958151893131</v>
      </c>
      <c r="I217" s="5">
        <v>163.2168462740504</v>
      </c>
    </row>
    <row r="218" spans="1:9" x14ac:dyDescent="0.2">
      <c r="A218" s="5" t="s">
        <v>68</v>
      </c>
      <c r="B218" s="5" t="s">
        <v>44</v>
      </c>
      <c r="C218" s="5" t="s">
        <v>45</v>
      </c>
      <c r="D218" s="5">
        <v>2157254</v>
      </c>
      <c r="E218" s="5">
        <v>30217</v>
      </c>
      <c r="F218" s="5">
        <v>273754611</v>
      </c>
      <c r="G218" s="5">
        <v>1.4007159101339017</v>
      </c>
      <c r="H218" s="5">
        <v>9059.6224310818416</v>
      </c>
      <c r="I218" s="5">
        <v>126.89957279022313</v>
      </c>
    </row>
    <row r="219" spans="1:9" x14ac:dyDescent="0.2">
      <c r="A219" s="5" t="s">
        <v>68</v>
      </c>
      <c r="B219" s="5" t="s">
        <v>44</v>
      </c>
      <c r="C219" s="5" t="s">
        <v>46</v>
      </c>
      <c r="D219" s="5">
        <v>2181076</v>
      </c>
      <c r="E219" s="5">
        <v>30143</v>
      </c>
      <c r="F219" s="5">
        <v>269915379</v>
      </c>
      <c r="G219" s="5">
        <v>1.3820242852610363</v>
      </c>
      <c r="H219" s="5">
        <v>8954.4962014398043</v>
      </c>
      <c r="I219" s="5">
        <v>123.75331212667508</v>
      </c>
    </row>
    <row r="220" spans="1:9" x14ac:dyDescent="0.2">
      <c r="A220" s="5" t="s">
        <v>68</v>
      </c>
      <c r="B220" s="5" t="s">
        <v>44</v>
      </c>
      <c r="C220" s="5" t="s">
        <v>47</v>
      </c>
      <c r="D220" s="5">
        <v>2204185</v>
      </c>
      <c r="E220" s="5">
        <v>30184</v>
      </c>
      <c r="F220" s="5">
        <v>274075894</v>
      </c>
      <c r="G220" s="5">
        <v>1.3693950371679329</v>
      </c>
      <c r="H220" s="5">
        <v>9080.1714153193752</v>
      </c>
      <c r="I220" s="5">
        <v>124.34341672772476</v>
      </c>
    </row>
    <row r="221" spans="1:9" x14ac:dyDescent="0.2">
      <c r="A221" s="5" t="s">
        <v>68</v>
      </c>
      <c r="B221" s="5" t="s">
        <v>44</v>
      </c>
      <c r="C221" s="5" t="s">
        <v>48</v>
      </c>
      <c r="D221" s="5">
        <v>2223142</v>
      </c>
      <c r="E221" s="5">
        <v>30180</v>
      </c>
      <c r="F221" s="5">
        <v>282455764</v>
      </c>
      <c r="G221" s="5">
        <v>1.3575381149742123</v>
      </c>
      <c r="H221" s="5">
        <v>9359.0379058979452</v>
      </c>
      <c r="I221" s="5">
        <v>127.05250676744895</v>
      </c>
    </row>
    <row r="222" spans="1:9" x14ac:dyDescent="0.2">
      <c r="A222" s="5" t="s">
        <v>68</v>
      </c>
      <c r="B222" s="5" t="s">
        <v>44</v>
      </c>
      <c r="C222" s="5" t="s">
        <v>49</v>
      </c>
      <c r="D222" s="5">
        <v>2239446</v>
      </c>
      <c r="E222" s="5">
        <v>30034</v>
      </c>
      <c r="F222" s="5">
        <v>285345725</v>
      </c>
      <c r="G222" s="5">
        <v>1.3411352629177038</v>
      </c>
      <c r="H222" s="5">
        <v>9500.7566424718643</v>
      </c>
      <c r="I222" s="5">
        <v>127.41799757618625</v>
      </c>
    </row>
    <row r="223" spans="1:9" x14ac:dyDescent="0.2">
      <c r="A223" s="5" t="s">
        <v>68</v>
      </c>
      <c r="B223" s="5" t="s">
        <v>44</v>
      </c>
      <c r="C223" s="5" t="s">
        <v>50</v>
      </c>
      <c r="D223" s="5">
        <v>2250593</v>
      </c>
      <c r="E223" s="5">
        <v>29954</v>
      </c>
      <c r="F223" s="5">
        <v>286671744</v>
      </c>
      <c r="G223" s="5">
        <v>1.3309381127551716</v>
      </c>
      <c r="H223" s="5">
        <v>9570.3994124323963</v>
      </c>
      <c r="I223" s="5">
        <v>127.37609332295978</v>
      </c>
    </row>
    <row r="224" spans="1:9" x14ac:dyDescent="0.2">
      <c r="A224" s="5" t="s">
        <v>68</v>
      </c>
      <c r="B224" s="5" t="s">
        <v>44</v>
      </c>
      <c r="C224" s="5" t="s">
        <v>51</v>
      </c>
      <c r="D224" s="5">
        <v>2262342</v>
      </c>
      <c r="E224" s="5">
        <v>29650</v>
      </c>
      <c r="F224" s="5">
        <v>285458704</v>
      </c>
      <c r="G224" s="5">
        <v>1.3105887615577132</v>
      </c>
      <c r="H224" s="5">
        <v>9627.6122765598648</v>
      </c>
      <c r="I224" s="5">
        <v>126.17840450294429</v>
      </c>
    </row>
    <row r="225" spans="1:9" x14ac:dyDescent="0.2">
      <c r="A225" s="5" t="s">
        <v>68</v>
      </c>
      <c r="B225" s="5" t="s">
        <v>44</v>
      </c>
      <c r="C225" s="5" t="s">
        <v>52</v>
      </c>
      <c r="D225" s="5">
        <v>2274115</v>
      </c>
      <c r="E225" s="5">
        <v>29666</v>
      </c>
      <c r="F225" s="5">
        <v>284342041</v>
      </c>
      <c r="G225" s="5">
        <v>1.3045074677401978</v>
      </c>
      <c r="H225" s="5">
        <v>9584.778568057709</v>
      </c>
      <c r="I225" s="5">
        <v>125.03415218667482</v>
      </c>
    </row>
    <row r="226" spans="1:9" x14ac:dyDescent="0.2">
      <c r="A226" s="5" t="s">
        <v>68</v>
      </c>
      <c r="B226" s="5" t="s">
        <v>44</v>
      </c>
      <c r="C226" s="5" t="s">
        <v>53</v>
      </c>
      <c r="D226" s="5">
        <v>2286758</v>
      </c>
      <c r="E226" s="5">
        <v>29905</v>
      </c>
      <c r="F226" s="5">
        <v>285480098</v>
      </c>
      <c r="G226" s="5">
        <v>1.3077466002086797</v>
      </c>
      <c r="H226" s="5">
        <v>9546.2330045142953</v>
      </c>
      <c r="I226" s="5">
        <v>124.8405375645346</v>
      </c>
    </row>
    <row r="227" spans="1:9" x14ac:dyDescent="0.2">
      <c r="A227" s="5" t="s">
        <v>68</v>
      </c>
      <c r="B227" s="5" t="s">
        <v>44</v>
      </c>
      <c r="C227" s="5" t="s">
        <v>54</v>
      </c>
      <c r="D227" s="5">
        <v>2299901</v>
      </c>
      <c r="E227" s="5">
        <v>30553</v>
      </c>
      <c r="F227" s="5">
        <v>300780380</v>
      </c>
      <c r="G227" s="5">
        <v>1.3284484853913276</v>
      </c>
      <c r="H227" s="5">
        <v>9844.5448892089153</v>
      </c>
      <c r="I227" s="5">
        <v>130.77970747436521</v>
      </c>
    </row>
    <row r="228" spans="1:9" x14ac:dyDescent="0.2">
      <c r="A228" s="5" t="s">
        <v>68</v>
      </c>
      <c r="B228" s="5" t="s">
        <v>44</v>
      </c>
      <c r="C228" s="5" t="s">
        <v>55</v>
      </c>
      <c r="D228" s="5">
        <v>2314673</v>
      </c>
      <c r="E228" s="5">
        <v>31381</v>
      </c>
      <c r="F228" s="5">
        <v>316973330</v>
      </c>
      <c r="G228" s="5">
        <v>1.355742258193706</v>
      </c>
      <c r="H228" s="5">
        <v>10100.803989675282</v>
      </c>
      <c r="I228" s="5">
        <v>136.94086810534361</v>
      </c>
    </row>
    <row r="229" spans="1:9" x14ac:dyDescent="0.2">
      <c r="A229" s="5" t="s">
        <v>68</v>
      </c>
      <c r="B229" s="5" t="s">
        <v>44</v>
      </c>
      <c r="C229" s="5" t="s">
        <v>56</v>
      </c>
      <c r="D229" s="5">
        <v>2332354</v>
      </c>
      <c r="E229" s="5">
        <v>31970</v>
      </c>
      <c r="F229" s="5">
        <v>326943756</v>
      </c>
      <c r="G229" s="5">
        <v>1.3707181671392936</v>
      </c>
      <c r="H229" s="5">
        <v>10226.579793556459</v>
      </c>
      <c r="I229" s="5">
        <v>140.17758710727446</v>
      </c>
    </row>
    <row r="230" spans="1:9" x14ac:dyDescent="0.2">
      <c r="A230" s="5" t="s">
        <v>68</v>
      </c>
      <c r="B230" s="5" t="s">
        <v>44</v>
      </c>
      <c r="C230" s="5" t="s">
        <v>57</v>
      </c>
      <c r="D230" s="5">
        <v>2352640</v>
      </c>
      <c r="E230" s="5">
        <v>32067</v>
      </c>
      <c r="F230" s="5">
        <v>333625090</v>
      </c>
      <c r="G230" s="5">
        <v>1.3630219668117518</v>
      </c>
      <c r="H230" s="5">
        <v>10404.000686063555</v>
      </c>
      <c r="I230" s="5">
        <v>141.80881477829163</v>
      </c>
    </row>
    <row r="231" spans="1:9" x14ac:dyDescent="0.2">
      <c r="A231" s="5" t="s">
        <v>68</v>
      </c>
      <c r="B231" s="5" t="s">
        <v>44</v>
      </c>
      <c r="C231" s="5" t="s">
        <v>58</v>
      </c>
      <c r="D231" s="5">
        <v>2375697</v>
      </c>
      <c r="E231" s="5">
        <v>31708</v>
      </c>
      <c r="F231" s="5">
        <v>331225377</v>
      </c>
      <c r="G231" s="5">
        <v>1.3346819901696219</v>
      </c>
      <c r="H231" s="5">
        <v>10446.113819856188</v>
      </c>
      <c r="I231" s="5">
        <v>139.42239982624048</v>
      </c>
    </row>
    <row r="232" spans="1:9" x14ac:dyDescent="0.2">
      <c r="A232" s="5" t="s">
        <v>68</v>
      </c>
      <c r="B232" s="5" t="s">
        <v>44</v>
      </c>
      <c r="C232" s="5" t="s">
        <v>59</v>
      </c>
      <c r="D232" s="5">
        <v>2400522</v>
      </c>
      <c r="E232" s="5">
        <v>31470</v>
      </c>
      <c r="F232" s="5">
        <v>325280276</v>
      </c>
      <c r="G232" s="5">
        <v>1.3109648651418317</v>
      </c>
      <c r="H232" s="5">
        <v>10336.201970130283</v>
      </c>
      <c r="I232" s="5">
        <v>135.50397621850581</v>
      </c>
    </row>
    <row r="233" spans="1:9" x14ac:dyDescent="0.2">
      <c r="A233" s="5" t="s">
        <v>68</v>
      </c>
      <c r="B233" s="5" t="s">
        <v>44</v>
      </c>
      <c r="C233" s="5" t="s">
        <v>60</v>
      </c>
      <c r="D233" s="5">
        <v>2427865</v>
      </c>
      <c r="E233" s="5">
        <v>31382</v>
      </c>
      <c r="F233" s="5">
        <v>326390807</v>
      </c>
      <c r="G233" s="5">
        <v>1.2925759875446123</v>
      </c>
      <c r="H233" s="5">
        <v>10400.57380026767</v>
      </c>
      <c r="I233" s="5">
        <v>134.43531950911603</v>
      </c>
    </row>
    <row r="234" spans="1:9" x14ac:dyDescent="0.2">
      <c r="A234" s="5" t="s">
        <v>68</v>
      </c>
      <c r="B234" s="5" t="s">
        <v>44</v>
      </c>
      <c r="C234" s="5" t="s">
        <v>61</v>
      </c>
      <c r="D234" s="5">
        <v>2455630</v>
      </c>
      <c r="E234" s="5">
        <v>30895</v>
      </c>
      <c r="F234" s="5">
        <v>324585001</v>
      </c>
      <c r="G234" s="5">
        <v>1.2581292784336402</v>
      </c>
      <c r="H234" s="5">
        <v>10506.068975562388</v>
      </c>
      <c r="I234" s="5">
        <v>132.17992979398363</v>
      </c>
    </row>
    <row r="235" spans="1:9" x14ac:dyDescent="0.2">
      <c r="A235" s="5" t="s">
        <v>68</v>
      </c>
      <c r="B235" s="5" t="s">
        <v>44</v>
      </c>
      <c r="C235" s="5" t="s">
        <v>62</v>
      </c>
      <c r="D235" s="5">
        <v>2479914</v>
      </c>
      <c r="E235" s="5">
        <v>30581</v>
      </c>
      <c r="F235" s="5">
        <v>327762957</v>
      </c>
      <c r="G235" s="5">
        <v>1.2331476010861666</v>
      </c>
      <c r="H235" s="5">
        <v>10717.862627121416</v>
      </c>
      <c r="I235" s="5">
        <v>132.16706587405852</v>
      </c>
    </row>
    <row r="236" spans="1:9" x14ac:dyDescent="0.2">
      <c r="A236" s="5" t="s">
        <v>68</v>
      </c>
      <c r="B236" s="5" t="s">
        <v>63</v>
      </c>
      <c r="C236" s="5" t="s">
        <v>45</v>
      </c>
      <c r="D236" s="5">
        <v>2157254</v>
      </c>
      <c r="E236" s="5">
        <v>80811</v>
      </c>
      <c r="F236" s="5">
        <v>229094648</v>
      </c>
      <c r="G236" s="5">
        <v>3.7460122915521308</v>
      </c>
      <c r="H236" s="5">
        <v>2834.9438566531785</v>
      </c>
      <c r="I236" s="5">
        <v>106.19734532883008</v>
      </c>
    </row>
    <row r="237" spans="1:9" x14ac:dyDescent="0.2">
      <c r="A237" s="5" t="s">
        <v>68</v>
      </c>
      <c r="B237" s="5" t="s">
        <v>63</v>
      </c>
      <c r="C237" s="5" t="s">
        <v>46</v>
      </c>
      <c r="D237" s="5">
        <v>2181076</v>
      </c>
      <c r="E237" s="5">
        <v>79864</v>
      </c>
      <c r="F237" s="5">
        <v>234043144</v>
      </c>
      <c r="G237" s="5">
        <v>3.6616789144440633</v>
      </c>
      <c r="H237" s="5">
        <v>2930.5211860162276</v>
      </c>
      <c r="I237" s="5">
        <v>107.3062763516723</v>
      </c>
    </row>
    <row r="238" spans="1:9" x14ac:dyDescent="0.2">
      <c r="A238" s="5" t="s">
        <v>68</v>
      </c>
      <c r="B238" s="5" t="s">
        <v>63</v>
      </c>
      <c r="C238" s="5" t="s">
        <v>47</v>
      </c>
      <c r="D238" s="5">
        <v>2204185</v>
      </c>
      <c r="E238" s="5">
        <v>80432</v>
      </c>
      <c r="F238" s="5">
        <v>238361426</v>
      </c>
      <c r="G238" s="5">
        <v>3.6490584955437044</v>
      </c>
      <c r="H238" s="5">
        <v>2963.5148448378754</v>
      </c>
      <c r="I238" s="5">
        <v>108.14039021225533</v>
      </c>
    </row>
    <row r="239" spans="1:9" x14ac:dyDescent="0.2">
      <c r="A239" s="5" t="s">
        <v>68</v>
      </c>
      <c r="B239" s="5" t="s">
        <v>63</v>
      </c>
      <c r="C239" s="5" t="s">
        <v>48</v>
      </c>
      <c r="D239" s="5">
        <v>2223142</v>
      </c>
      <c r="E239" s="5">
        <v>81285</v>
      </c>
      <c r="F239" s="5">
        <v>240593777</v>
      </c>
      <c r="G239" s="5">
        <v>3.6563116526069859</v>
      </c>
      <c r="H239" s="5">
        <v>2959.8791535953742</v>
      </c>
      <c r="I239" s="5">
        <v>108.22240639599269</v>
      </c>
    </row>
    <row r="240" spans="1:9" x14ac:dyDescent="0.2">
      <c r="A240" s="5" t="s">
        <v>68</v>
      </c>
      <c r="B240" s="5" t="s">
        <v>63</v>
      </c>
      <c r="C240" s="5" t="s">
        <v>49</v>
      </c>
      <c r="D240" s="5">
        <v>2239446</v>
      </c>
      <c r="E240" s="5">
        <v>82322</v>
      </c>
      <c r="F240" s="5">
        <v>240898490</v>
      </c>
      <c r="G240" s="5">
        <v>3.6759984388996205</v>
      </c>
      <c r="H240" s="5">
        <v>2926.2954009863706</v>
      </c>
      <c r="I240" s="5">
        <v>107.57057325785038</v>
      </c>
    </row>
    <row r="241" spans="1:9" x14ac:dyDescent="0.2">
      <c r="A241" s="5" t="s">
        <v>68</v>
      </c>
      <c r="B241" s="5" t="s">
        <v>63</v>
      </c>
      <c r="C241" s="5" t="s">
        <v>50</v>
      </c>
      <c r="D241" s="5">
        <v>2250593</v>
      </c>
      <c r="E241" s="5">
        <v>83684</v>
      </c>
      <c r="F241" s="5">
        <v>241064513</v>
      </c>
      <c r="G241" s="5">
        <v>3.7183089079189351</v>
      </c>
      <c r="H241" s="5">
        <v>2880.6523708235745</v>
      </c>
      <c r="I241" s="5">
        <v>107.11155371051096</v>
      </c>
    </row>
    <row r="242" spans="1:9" x14ac:dyDescent="0.2">
      <c r="A242" s="5" t="s">
        <v>68</v>
      </c>
      <c r="B242" s="5" t="s">
        <v>63</v>
      </c>
      <c r="C242" s="5" t="s">
        <v>51</v>
      </c>
      <c r="D242" s="5">
        <v>2262342</v>
      </c>
      <c r="E242" s="5">
        <v>83487</v>
      </c>
      <c r="F242" s="5">
        <v>238440095</v>
      </c>
      <c r="G242" s="5">
        <v>3.6902908578809042</v>
      </c>
      <c r="H242" s="5">
        <v>2856.0146489872673</v>
      </c>
      <c r="I242" s="5">
        <v>105.39524749131652</v>
      </c>
    </row>
    <row r="243" spans="1:9" x14ac:dyDescent="0.2">
      <c r="A243" s="5" t="s">
        <v>68</v>
      </c>
      <c r="B243" s="5" t="s">
        <v>63</v>
      </c>
      <c r="C243" s="5" t="s">
        <v>52</v>
      </c>
      <c r="D243" s="5">
        <v>2274115</v>
      </c>
      <c r="E243" s="5">
        <v>83372</v>
      </c>
      <c r="F243" s="5">
        <v>237713145</v>
      </c>
      <c r="G243" s="5">
        <v>3.666129461350899</v>
      </c>
      <c r="H243" s="5">
        <v>2851.2347670680806</v>
      </c>
      <c r="I243" s="5">
        <v>104.52995780776259</v>
      </c>
    </row>
    <row r="244" spans="1:9" x14ac:dyDescent="0.2">
      <c r="A244" s="5" t="s">
        <v>68</v>
      </c>
      <c r="B244" s="5" t="s">
        <v>63</v>
      </c>
      <c r="C244" s="5" t="s">
        <v>53</v>
      </c>
      <c r="D244" s="5">
        <v>2286758</v>
      </c>
      <c r="E244" s="5">
        <v>82543</v>
      </c>
      <c r="F244" s="5">
        <v>234251073</v>
      </c>
      <c r="G244" s="5">
        <v>3.609608012741182</v>
      </c>
      <c r="H244" s="5">
        <v>2837.9277830948718</v>
      </c>
      <c r="I244" s="5">
        <v>102.43806865440068</v>
      </c>
    </row>
    <row r="245" spans="1:9" x14ac:dyDescent="0.2">
      <c r="A245" s="5" t="s">
        <v>68</v>
      </c>
      <c r="B245" s="5" t="s">
        <v>63</v>
      </c>
      <c r="C245" s="5" t="s">
        <v>54</v>
      </c>
      <c r="D245" s="5">
        <v>2299901</v>
      </c>
      <c r="E245" s="5">
        <v>81865</v>
      </c>
      <c r="F245" s="5">
        <v>233888988</v>
      </c>
      <c r="G245" s="5">
        <v>3.5595010393925652</v>
      </c>
      <c r="H245" s="5">
        <v>2857.0083430037257</v>
      </c>
      <c r="I245" s="5">
        <v>101.69524166474991</v>
      </c>
    </row>
    <row r="246" spans="1:9" x14ac:dyDescent="0.2">
      <c r="A246" s="5" t="s">
        <v>68</v>
      </c>
      <c r="B246" s="5" t="s">
        <v>63</v>
      </c>
      <c r="C246" s="5" t="s">
        <v>55</v>
      </c>
      <c r="D246" s="5">
        <v>2314673</v>
      </c>
      <c r="E246" s="5">
        <v>81536</v>
      </c>
      <c r="F246" s="5">
        <v>234715177</v>
      </c>
      <c r="G246" s="5">
        <v>3.5225710067901601</v>
      </c>
      <c r="H246" s="5">
        <v>2878.6692626569857</v>
      </c>
      <c r="I246" s="5">
        <v>101.40316882773506</v>
      </c>
    </row>
    <row r="247" spans="1:9" x14ac:dyDescent="0.2">
      <c r="A247" s="5" t="s">
        <v>68</v>
      </c>
      <c r="B247" s="5" t="s">
        <v>63</v>
      </c>
      <c r="C247" s="5" t="s">
        <v>56</v>
      </c>
      <c r="D247" s="5">
        <v>2332354</v>
      </c>
      <c r="E247" s="5">
        <v>81951</v>
      </c>
      <c r="F247" s="5">
        <v>237591224</v>
      </c>
      <c r="G247" s="5">
        <v>3.5136604477707931</v>
      </c>
      <c r="H247" s="5">
        <v>2899.1863918683116</v>
      </c>
      <c r="I247" s="5">
        <v>101.86756555823001</v>
      </c>
    </row>
    <row r="248" spans="1:9" x14ac:dyDescent="0.2">
      <c r="A248" s="5" t="s">
        <v>68</v>
      </c>
      <c r="B248" s="5" t="s">
        <v>63</v>
      </c>
      <c r="C248" s="5" t="s">
        <v>57</v>
      </c>
      <c r="D248" s="5">
        <v>2352640</v>
      </c>
      <c r="E248" s="5">
        <v>82461</v>
      </c>
      <c r="F248" s="5">
        <v>240299156</v>
      </c>
      <c r="G248" s="5">
        <v>3.5050411452665942</v>
      </c>
      <c r="H248" s="5">
        <v>2914.0946144237882</v>
      </c>
      <c r="I248" s="5">
        <v>102.14021524755168</v>
      </c>
    </row>
    <row r="249" spans="1:9" x14ac:dyDescent="0.2">
      <c r="A249" s="5" t="s">
        <v>68</v>
      </c>
      <c r="B249" s="5" t="s">
        <v>63</v>
      </c>
      <c r="C249" s="5" t="s">
        <v>58</v>
      </c>
      <c r="D249" s="5">
        <v>2375697</v>
      </c>
      <c r="E249" s="5">
        <v>83549</v>
      </c>
      <c r="F249" s="5">
        <v>243260392</v>
      </c>
      <c r="G249" s="5">
        <v>3.516820537299159</v>
      </c>
      <c r="H249" s="5">
        <v>2911.5895103472212</v>
      </c>
      <c r="I249" s="5">
        <v>102.39537786173911</v>
      </c>
    </row>
    <row r="250" spans="1:9" x14ac:dyDescent="0.2">
      <c r="A250" s="5" t="s">
        <v>68</v>
      </c>
      <c r="B250" s="5" t="s">
        <v>63</v>
      </c>
      <c r="C250" s="5" t="s">
        <v>59</v>
      </c>
      <c r="D250" s="5">
        <v>2400522</v>
      </c>
      <c r="E250" s="5">
        <v>84429</v>
      </c>
      <c r="F250" s="5">
        <v>247593303</v>
      </c>
      <c r="G250" s="5">
        <v>3.5171100285687862</v>
      </c>
      <c r="H250" s="5">
        <v>2932.5623067903207</v>
      </c>
      <c r="I250" s="5">
        <v>103.14144298615051</v>
      </c>
    </row>
    <row r="251" spans="1:9" x14ac:dyDescent="0.2">
      <c r="A251" s="5" t="s">
        <v>68</v>
      </c>
      <c r="B251" s="5" t="s">
        <v>63</v>
      </c>
      <c r="C251" s="5" t="s">
        <v>60</v>
      </c>
      <c r="D251" s="5">
        <v>2427865</v>
      </c>
      <c r="E251" s="5">
        <v>85769</v>
      </c>
      <c r="F251" s="5">
        <v>253004432</v>
      </c>
      <c r="G251" s="5">
        <v>3.5326923037318796</v>
      </c>
      <c r="H251" s="5">
        <v>2949.8353950728119</v>
      </c>
      <c r="I251" s="5">
        <v>104.2086079744961</v>
      </c>
    </row>
    <row r="252" spans="1:9" x14ac:dyDescent="0.2">
      <c r="A252" s="5" t="s">
        <v>68</v>
      </c>
      <c r="B252" s="5" t="s">
        <v>63</v>
      </c>
      <c r="C252" s="5" t="s">
        <v>61</v>
      </c>
      <c r="D252" s="5">
        <v>2455630</v>
      </c>
      <c r="E252" s="5">
        <v>85828</v>
      </c>
      <c r="F252" s="5">
        <v>257873227</v>
      </c>
      <c r="G252" s="5">
        <v>3.4951519569316223</v>
      </c>
      <c r="H252" s="5">
        <v>3004.5349652793961</v>
      </c>
      <c r="I252" s="5">
        <v>105.01306263565765</v>
      </c>
    </row>
    <row r="253" spans="1:9" x14ac:dyDescent="0.2">
      <c r="A253" s="5" t="s">
        <v>68</v>
      </c>
      <c r="B253" s="5" t="s">
        <v>63</v>
      </c>
      <c r="C253" s="5" t="s">
        <v>62</v>
      </c>
      <c r="D253" s="5">
        <v>2479914</v>
      </c>
      <c r="E253" s="5">
        <v>85862</v>
      </c>
      <c r="F253" s="5">
        <v>261643660</v>
      </c>
      <c r="G253" s="5">
        <v>3.4622974828965845</v>
      </c>
      <c r="H253" s="5">
        <v>3047.2579255083738</v>
      </c>
      <c r="I253" s="5">
        <v>105.5051344522431</v>
      </c>
    </row>
    <row r="254" spans="1:9" x14ac:dyDescent="0.2">
      <c r="A254" s="5" t="s">
        <v>68</v>
      </c>
      <c r="B254" s="5" t="s">
        <v>64</v>
      </c>
      <c r="C254" s="5" t="s">
        <v>45</v>
      </c>
      <c r="D254" s="5">
        <v>1827586</v>
      </c>
      <c r="E254" s="5">
        <v>397668</v>
      </c>
      <c r="F254" s="5">
        <v>235582644</v>
      </c>
      <c r="G254" s="5">
        <v>21.759194916135275</v>
      </c>
      <c r="H254" s="5">
        <v>592.41036241286702</v>
      </c>
      <c r="I254" s="5">
        <v>128.90372546079911</v>
      </c>
    </row>
    <row r="255" spans="1:9" x14ac:dyDescent="0.2">
      <c r="A255" s="5" t="s">
        <v>68</v>
      </c>
      <c r="B255" s="5" t="s">
        <v>64</v>
      </c>
      <c r="C255" s="5" t="s">
        <v>46</v>
      </c>
      <c r="D255" s="5">
        <v>1849525</v>
      </c>
      <c r="E255" s="5">
        <v>406241</v>
      </c>
      <c r="F255" s="5">
        <v>245490687</v>
      </c>
      <c r="G255" s="5">
        <v>21.964612535651046</v>
      </c>
      <c r="H255" s="5">
        <v>604.29815552836862</v>
      </c>
      <c r="I255" s="5">
        <v>132.73174842189212</v>
      </c>
    </row>
    <row r="256" spans="1:9" x14ac:dyDescent="0.2">
      <c r="A256" s="5" t="s">
        <v>68</v>
      </c>
      <c r="B256" s="5" t="s">
        <v>64</v>
      </c>
      <c r="C256" s="5" t="s">
        <v>47</v>
      </c>
      <c r="D256" s="5">
        <v>1869675</v>
      </c>
      <c r="E256" s="5">
        <v>411945</v>
      </c>
      <c r="F256" s="5">
        <v>252036543</v>
      </c>
      <c r="G256" s="5">
        <v>22.032973645152232</v>
      </c>
      <c r="H256" s="5">
        <v>611.8208571532607</v>
      </c>
      <c r="I256" s="5">
        <v>134.80232821212243</v>
      </c>
    </row>
    <row r="257" spans="1:9" x14ac:dyDescent="0.2">
      <c r="A257" s="5" t="s">
        <v>68</v>
      </c>
      <c r="B257" s="5" t="s">
        <v>64</v>
      </c>
      <c r="C257" s="5" t="s">
        <v>48</v>
      </c>
      <c r="D257" s="5">
        <v>1885219</v>
      </c>
      <c r="E257" s="5">
        <v>421472</v>
      </c>
      <c r="F257" s="5">
        <v>263968869</v>
      </c>
      <c r="G257" s="5">
        <v>22.35665988938155</v>
      </c>
      <c r="H257" s="5">
        <v>626.30226681725003</v>
      </c>
      <c r="I257" s="5">
        <v>140.02026767181957</v>
      </c>
    </row>
    <row r="258" spans="1:9" x14ac:dyDescent="0.2">
      <c r="A258" s="5" t="s">
        <v>68</v>
      </c>
      <c r="B258" s="5" t="s">
        <v>64</v>
      </c>
      <c r="C258" s="5" t="s">
        <v>49</v>
      </c>
      <c r="D258" s="5">
        <v>1897394</v>
      </c>
      <c r="E258" s="5">
        <v>430963</v>
      </c>
      <c r="F258" s="5">
        <v>272854532</v>
      </c>
      <c r="G258" s="5">
        <v>22.713416401654058</v>
      </c>
      <c r="H258" s="5">
        <v>633.12751210660781</v>
      </c>
      <c r="I258" s="5">
        <v>143.80488817820654</v>
      </c>
    </row>
    <row r="259" spans="1:9" x14ac:dyDescent="0.2">
      <c r="A259" s="5" t="s">
        <v>68</v>
      </c>
      <c r="B259" s="5" t="s">
        <v>64</v>
      </c>
      <c r="C259" s="5" t="s">
        <v>50</v>
      </c>
      <c r="D259" s="5">
        <v>1904318</v>
      </c>
      <c r="E259" s="5">
        <v>431279</v>
      </c>
      <c r="F259" s="5">
        <v>273253501</v>
      </c>
      <c r="G259" s="5">
        <v>22.647425482508698</v>
      </c>
      <c r="H259" s="5">
        <v>633.58870012219472</v>
      </c>
      <c r="I259" s="5">
        <v>143.49152872576954</v>
      </c>
    </row>
    <row r="260" spans="1:9" x14ac:dyDescent="0.2">
      <c r="A260" s="5" t="s">
        <v>68</v>
      </c>
      <c r="B260" s="5" t="s">
        <v>64</v>
      </c>
      <c r="C260" s="5" t="s">
        <v>51</v>
      </c>
      <c r="D260" s="5">
        <v>1910962</v>
      </c>
      <c r="E260" s="5">
        <v>430065</v>
      </c>
      <c r="F260" s="5">
        <v>271694824</v>
      </c>
      <c r="G260" s="5">
        <v>22.505157088419342</v>
      </c>
      <c r="H260" s="5">
        <v>631.75293037099038</v>
      </c>
      <c r="I260" s="5">
        <v>142.17698939068384</v>
      </c>
    </row>
    <row r="261" spans="1:9" x14ac:dyDescent="0.2">
      <c r="A261" s="5" t="s">
        <v>68</v>
      </c>
      <c r="B261" s="5" t="s">
        <v>64</v>
      </c>
      <c r="C261" s="5" t="s">
        <v>52</v>
      </c>
      <c r="D261" s="5">
        <v>1916614</v>
      </c>
      <c r="E261" s="5">
        <v>424359</v>
      </c>
      <c r="F261" s="5">
        <v>259302341</v>
      </c>
      <c r="G261" s="5">
        <v>22.141077963533608</v>
      </c>
      <c r="H261" s="5">
        <v>611.04475455922932</v>
      </c>
      <c r="I261" s="5">
        <v>135.29189549904154</v>
      </c>
    </row>
    <row r="262" spans="1:9" x14ac:dyDescent="0.2">
      <c r="A262" s="5" t="s">
        <v>68</v>
      </c>
      <c r="B262" s="5" t="s">
        <v>64</v>
      </c>
      <c r="C262" s="5" t="s">
        <v>53</v>
      </c>
      <c r="D262" s="5">
        <v>1922778</v>
      </c>
      <c r="E262" s="5">
        <v>410618</v>
      </c>
      <c r="F262" s="5">
        <v>247940886</v>
      </c>
      <c r="G262" s="5">
        <v>21.355455492001678</v>
      </c>
      <c r="H262" s="5">
        <v>603.82371449863376</v>
      </c>
      <c r="I262" s="5">
        <v>128.94930459990701</v>
      </c>
    </row>
    <row r="263" spans="1:9" x14ac:dyDescent="0.2">
      <c r="A263" s="5" t="s">
        <v>68</v>
      </c>
      <c r="B263" s="5" t="s">
        <v>64</v>
      </c>
      <c r="C263" s="5" t="s">
        <v>54</v>
      </c>
      <c r="D263" s="5">
        <v>1929445</v>
      </c>
      <c r="E263" s="5">
        <v>401687</v>
      </c>
      <c r="F263" s="5">
        <v>244411012</v>
      </c>
      <c r="G263" s="5">
        <v>20.818784676422496</v>
      </c>
      <c r="H263" s="5">
        <v>608.46134428049697</v>
      </c>
      <c r="I263" s="5">
        <v>126.67425710502243</v>
      </c>
    </row>
    <row r="264" spans="1:9" x14ac:dyDescent="0.2">
      <c r="A264" s="5" t="s">
        <v>68</v>
      </c>
      <c r="B264" s="5" t="s">
        <v>64</v>
      </c>
      <c r="C264" s="5" t="s">
        <v>55</v>
      </c>
      <c r="D264" s="5">
        <v>1937868</v>
      </c>
      <c r="E264" s="5">
        <v>397355</v>
      </c>
      <c r="F264" s="5">
        <v>240997218</v>
      </c>
      <c r="G264" s="5">
        <v>20.50475058156696</v>
      </c>
      <c r="H264" s="5">
        <v>606.50354972254024</v>
      </c>
      <c r="I264" s="5">
        <v>124.36204013895683</v>
      </c>
    </row>
    <row r="265" spans="1:9" x14ac:dyDescent="0.2">
      <c r="A265" s="5" t="s">
        <v>68</v>
      </c>
      <c r="B265" s="5" t="s">
        <v>64</v>
      </c>
      <c r="C265" s="5" t="s">
        <v>56</v>
      </c>
      <c r="D265" s="5">
        <v>1949461</v>
      </c>
      <c r="E265" s="5">
        <v>383534</v>
      </c>
      <c r="F265" s="5">
        <v>234175619</v>
      </c>
      <c r="G265" s="5">
        <v>19.673848309866163</v>
      </c>
      <c r="H265" s="5">
        <v>610.57329728263983</v>
      </c>
      <c r="I265" s="5">
        <v>120.12326432793475</v>
      </c>
    </row>
    <row r="266" spans="1:9" x14ac:dyDescent="0.2">
      <c r="A266" s="5" t="s">
        <v>68</v>
      </c>
      <c r="B266" s="5" t="s">
        <v>64</v>
      </c>
      <c r="C266" s="5" t="s">
        <v>57</v>
      </c>
      <c r="D266" s="5">
        <v>1963597</v>
      </c>
      <c r="E266" s="5">
        <v>381148</v>
      </c>
      <c r="F266" s="5">
        <v>229331868</v>
      </c>
      <c r="G266" s="5">
        <v>19.410703927537067</v>
      </c>
      <c r="H266" s="5">
        <v>601.68718712940904</v>
      </c>
      <c r="I266" s="5">
        <v>116.7917184636155</v>
      </c>
    </row>
    <row r="267" spans="1:9" x14ac:dyDescent="0.2">
      <c r="A267" s="5" t="s">
        <v>68</v>
      </c>
      <c r="B267" s="5" t="s">
        <v>64</v>
      </c>
      <c r="C267" s="5" t="s">
        <v>58</v>
      </c>
      <c r="D267" s="5">
        <v>1980644</v>
      </c>
      <c r="E267" s="5">
        <v>380761</v>
      </c>
      <c r="F267" s="5">
        <v>224885401</v>
      </c>
      <c r="G267" s="5">
        <v>19.224100848007012</v>
      </c>
      <c r="H267" s="5">
        <v>590.62089079501311</v>
      </c>
      <c r="I267" s="5">
        <v>113.54155567583069</v>
      </c>
    </row>
    <row r="268" spans="1:9" x14ac:dyDescent="0.2">
      <c r="A268" s="5" t="s">
        <v>68</v>
      </c>
      <c r="B268" s="5" t="s">
        <v>64</v>
      </c>
      <c r="C268" s="5" t="s">
        <v>59</v>
      </c>
      <c r="D268" s="5">
        <v>1999484</v>
      </c>
      <c r="E268" s="5">
        <v>384820</v>
      </c>
      <c r="F268" s="5">
        <v>222968173</v>
      </c>
      <c r="G268" s="5">
        <v>19.245965459088445</v>
      </c>
      <c r="H268" s="5">
        <v>579.40900420976038</v>
      </c>
      <c r="I268" s="5">
        <v>111.5128568170588</v>
      </c>
    </row>
    <row r="269" spans="1:9" x14ac:dyDescent="0.2">
      <c r="A269" s="5" t="s">
        <v>68</v>
      </c>
      <c r="B269" s="5" t="s">
        <v>64</v>
      </c>
      <c r="C269" s="5" t="s">
        <v>60</v>
      </c>
      <c r="D269" s="5">
        <v>2021303</v>
      </c>
      <c r="E269" s="5">
        <v>396829</v>
      </c>
      <c r="F269" s="5">
        <v>228139658</v>
      </c>
      <c r="G269" s="5">
        <v>19.632336171271699</v>
      </c>
      <c r="H269" s="5">
        <v>574.90671800700045</v>
      </c>
      <c r="I269" s="5">
        <v>112.86761955035935</v>
      </c>
    </row>
    <row r="270" spans="1:9" x14ac:dyDescent="0.2">
      <c r="A270" s="5" t="s">
        <v>68</v>
      </c>
      <c r="B270" s="5" t="s">
        <v>64</v>
      </c>
      <c r="C270" s="5" t="s">
        <v>61</v>
      </c>
      <c r="D270" s="5">
        <v>2044199</v>
      </c>
      <c r="E270" s="5">
        <v>398401</v>
      </c>
      <c r="F270" s="5">
        <v>229139554</v>
      </c>
      <c r="G270" s="5">
        <v>19.489345215412001</v>
      </c>
      <c r="H270" s="5">
        <v>575.14803928704998</v>
      </c>
      <c r="I270" s="5">
        <v>112.09258687632662</v>
      </c>
    </row>
    <row r="271" spans="1:9" x14ac:dyDescent="0.2">
      <c r="A271" s="5" t="s">
        <v>68</v>
      </c>
      <c r="B271" s="5" t="s">
        <v>64</v>
      </c>
      <c r="C271" s="5" t="s">
        <v>62</v>
      </c>
      <c r="D271" s="5">
        <v>2064406</v>
      </c>
      <c r="E271" s="5">
        <v>392884</v>
      </c>
      <c r="F271" s="5">
        <v>228451174</v>
      </c>
      <c r="G271" s="5">
        <v>19.031333952720541</v>
      </c>
      <c r="H271" s="5">
        <v>581.47232770996015</v>
      </c>
      <c r="I271" s="5">
        <v>110.6619405291401</v>
      </c>
    </row>
    <row r="272" spans="1:9" x14ac:dyDescent="0.2">
      <c r="A272" s="5" t="s">
        <v>68</v>
      </c>
      <c r="B272" s="5" t="s">
        <v>65</v>
      </c>
      <c r="C272" s="5" t="s">
        <v>45</v>
      </c>
      <c r="D272" s="5">
        <v>1778352</v>
      </c>
      <c r="E272" s="5">
        <v>103367</v>
      </c>
      <c r="F272" s="5">
        <v>318698850</v>
      </c>
      <c r="G272" s="5">
        <v>5.8125163072327641</v>
      </c>
      <c r="H272" s="5">
        <v>3083.1779001035147</v>
      </c>
      <c r="I272" s="5">
        <v>179.21021822451348</v>
      </c>
    </row>
    <row r="273" spans="1:9" x14ac:dyDescent="0.2">
      <c r="A273" s="5" t="s">
        <v>68</v>
      </c>
      <c r="B273" s="5" t="s">
        <v>65</v>
      </c>
      <c r="C273" s="5" t="s">
        <v>46</v>
      </c>
      <c r="D273" s="5">
        <v>1800039</v>
      </c>
      <c r="E273" s="5">
        <v>102891</v>
      </c>
      <c r="F273" s="5">
        <v>325178535</v>
      </c>
      <c r="G273" s="5">
        <v>5.7160428190722534</v>
      </c>
      <c r="H273" s="5">
        <v>3160.4176750153074</v>
      </c>
      <c r="I273" s="5">
        <v>180.65082756540275</v>
      </c>
    </row>
    <row r="274" spans="1:9" x14ac:dyDescent="0.2">
      <c r="A274" s="5" t="s">
        <v>68</v>
      </c>
      <c r="B274" s="5" t="s">
        <v>65</v>
      </c>
      <c r="C274" s="5" t="s">
        <v>47</v>
      </c>
      <c r="D274" s="5">
        <v>1819904</v>
      </c>
      <c r="E274" s="5">
        <v>104159</v>
      </c>
      <c r="F274" s="5">
        <v>330373768</v>
      </c>
      <c r="G274" s="5">
        <v>5.7233238676325788</v>
      </c>
      <c r="H274" s="5">
        <v>3171.821618871149</v>
      </c>
      <c r="I274" s="5">
        <v>181.5336237515825</v>
      </c>
    </row>
    <row r="275" spans="1:9" x14ac:dyDescent="0.2">
      <c r="A275" s="5" t="s">
        <v>68</v>
      </c>
      <c r="B275" s="5" t="s">
        <v>65</v>
      </c>
      <c r="C275" s="5" t="s">
        <v>48</v>
      </c>
      <c r="D275" s="5">
        <v>1835429</v>
      </c>
      <c r="E275" s="5">
        <v>103873</v>
      </c>
      <c r="F275" s="5">
        <v>330472240</v>
      </c>
      <c r="G275" s="5">
        <v>5.6593308703305878</v>
      </c>
      <c r="H275" s="5">
        <v>3181.5027966844127</v>
      </c>
      <c r="I275" s="5">
        <v>180.05176991319195</v>
      </c>
    </row>
    <row r="276" spans="1:9" x14ac:dyDescent="0.2">
      <c r="A276" s="5" t="s">
        <v>68</v>
      </c>
      <c r="B276" s="5" t="s">
        <v>65</v>
      </c>
      <c r="C276" s="5" t="s">
        <v>49</v>
      </c>
      <c r="D276" s="5">
        <v>1847734</v>
      </c>
      <c r="E276" s="5">
        <v>103413</v>
      </c>
      <c r="F276" s="5">
        <v>325871105</v>
      </c>
      <c r="G276" s="5">
        <v>5.5967471508344815</v>
      </c>
      <c r="H276" s="5">
        <v>3151.1618945393711</v>
      </c>
      <c r="I276" s="5">
        <v>176.36256355081414</v>
      </c>
    </row>
    <row r="277" spans="1:9" x14ac:dyDescent="0.2">
      <c r="A277" s="5" t="s">
        <v>68</v>
      </c>
      <c r="B277" s="5" t="s">
        <v>65</v>
      </c>
      <c r="C277" s="5" t="s">
        <v>50</v>
      </c>
      <c r="D277" s="5">
        <v>1854854</v>
      </c>
      <c r="E277" s="5">
        <v>103341</v>
      </c>
      <c r="F277" s="5">
        <v>323613382</v>
      </c>
      <c r="G277" s="5">
        <v>5.571381898521393</v>
      </c>
      <c r="H277" s="5">
        <v>3131.5100686078131</v>
      </c>
      <c r="I277" s="5">
        <v>174.46838511279054</v>
      </c>
    </row>
    <row r="278" spans="1:9" x14ac:dyDescent="0.2">
      <c r="A278" s="5" t="s">
        <v>68</v>
      </c>
      <c r="B278" s="5" t="s">
        <v>65</v>
      </c>
      <c r="C278" s="5" t="s">
        <v>51</v>
      </c>
      <c r="D278" s="5">
        <v>1861545</v>
      </c>
      <c r="E278" s="5">
        <v>100829</v>
      </c>
      <c r="F278" s="5">
        <v>314549512</v>
      </c>
      <c r="G278" s="5">
        <v>5.4164148596998727</v>
      </c>
      <c r="H278" s="5">
        <v>3119.633359450158</v>
      </c>
      <c r="I278" s="5">
        <v>168.97228484941272</v>
      </c>
    </row>
    <row r="279" spans="1:9" x14ac:dyDescent="0.2">
      <c r="A279" s="5" t="s">
        <v>68</v>
      </c>
      <c r="B279" s="5" t="s">
        <v>65</v>
      </c>
      <c r="C279" s="5" t="s">
        <v>52</v>
      </c>
      <c r="D279" s="5">
        <v>1867279</v>
      </c>
      <c r="E279" s="5">
        <v>99107</v>
      </c>
      <c r="F279" s="5">
        <v>304465877</v>
      </c>
      <c r="G279" s="5">
        <v>5.3075625013723178</v>
      </c>
      <c r="H279" s="5">
        <v>3072.0925565298112</v>
      </c>
      <c r="I279" s="5">
        <v>163.05323253782643</v>
      </c>
    </row>
    <row r="280" spans="1:9" x14ac:dyDescent="0.2">
      <c r="A280" s="5" t="s">
        <v>68</v>
      </c>
      <c r="B280" s="5" t="s">
        <v>65</v>
      </c>
      <c r="C280" s="5" t="s">
        <v>53</v>
      </c>
      <c r="D280" s="5">
        <v>1873557</v>
      </c>
      <c r="E280" s="5">
        <v>96548</v>
      </c>
      <c r="F280" s="5">
        <v>304153289</v>
      </c>
      <c r="G280" s="5">
        <v>5.1531925636636622</v>
      </c>
      <c r="H280" s="5">
        <v>3150.2805754650535</v>
      </c>
      <c r="I280" s="5">
        <v>162.34002434940598</v>
      </c>
    </row>
    <row r="281" spans="1:9" x14ac:dyDescent="0.2">
      <c r="A281" s="5" t="s">
        <v>68</v>
      </c>
      <c r="B281" s="5" t="s">
        <v>65</v>
      </c>
      <c r="C281" s="5" t="s">
        <v>54</v>
      </c>
      <c r="D281" s="5">
        <v>1880463</v>
      </c>
      <c r="E281" s="5">
        <v>95076</v>
      </c>
      <c r="F281" s="5">
        <v>304447150</v>
      </c>
      <c r="G281" s="5">
        <v>5.0559888708259617</v>
      </c>
      <c r="H281" s="5">
        <v>3202.1451260044596</v>
      </c>
      <c r="I281" s="5">
        <v>161.90010119848145</v>
      </c>
    </row>
    <row r="282" spans="1:9" x14ac:dyDescent="0.2">
      <c r="A282" s="5" t="s">
        <v>68</v>
      </c>
      <c r="B282" s="5" t="s">
        <v>65</v>
      </c>
      <c r="C282" s="5" t="s">
        <v>55</v>
      </c>
      <c r="D282" s="5">
        <v>1889225</v>
      </c>
      <c r="E282" s="5">
        <v>94688</v>
      </c>
      <c r="F282" s="5">
        <v>308663935</v>
      </c>
      <c r="G282" s="5">
        <v>5.0120022760655827</v>
      </c>
      <c r="H282" s="5">
        <v>3259.7999218485975</v>
      </c>
      <c r="I282" s="5">
        <v>163.38124627823578</v>
      </c>
    </row>
    <row r="283" spans="1:9" x14ac:dyDescent="0.2">
      <c r="A283" s="5" t="s">
        <v>68</v>
      </c>
      <c r="B283" s="5" t="s">
        <v>65</v>
      </c>
      <c r="C283" s="5" t="s">
        <v>56</v>
      </c>
      <c r="D283" s="5">
        <v>1900974</v>
      </c>
      <c r="E283" s="5">
        <v>94762</v>
      </c>
      <c r="F283" s="5">
        <v>314406735</v>
      </c>
      <c r="G283" s="5">
        <v>4.9849182576931614</v>
      </c>
      <c r="H283" s="5">
        <v>3317.8566830586101</v>
      </c>
      <c r="I283" s="5">
        <v>165.39244355788139</v>
      </c>
    </row>
    <row r="284" spans="1:9" x14ac:dyDescent="0.2">
      <c r="A284" s="5" t="s">
        <v>68</v>
      </c>
      <c r="B284" s="5" t="s">
        <v>65</v>
      </c>
      <c r="C284" s="5" t="s">
        <v>57</v>
      </c>
      <c r="D284" s="5">
        <v>1915118</v>
      </c>
      <c r="E284" s="5">
        <v>95668</v>
      </c>
      <c r="F284" s="5">
        <v>317604888</v>
      </c>
      <c r="G284" s="5">
        <v>4.9954102044887048</v>
      </c>
      <c r="H284" s="5">
        <v>3319.8654513525944</v>
      </c>
      <c r="I284" s="5">
        <v>165.8408975321625</v>
      </c>
    </row>
    <row r="285" spans="1:9" x14ac:dyDescent="0.2">
      <c r="A285" s="5" t="s">
        <v>68</v>
      </c>
      <c r="B285" s="5" t="s">
        <v>65</v>
      </c>
      <c r="C285" s="5" t="s">
        <v>58</v>
      </c>
      <c r="D285" s="5">
        <v>1932027</v>
      </c>
      <c r="E285" s="5">
        <v>96436</v>
      </c>
      <c r="F285" s="5">
        <v>320853506</v>
      </c>
      <c r="G285" s="5">
        <v>4.9914416309916998</v>
      </c>
      <c r="H285" s="5">
        <v>3327.1133808951013</v>
      </c>
      <c r="I285" s="5">
        <v>166.07092240429353</v>
      </c>
    </row>
    <row r="286" spans="1:9" x14ac:dyDescent="0.2">
      <c r="A286" s="5" t="s">
        <v>68</v>
      </c>
      <c r="B286" s="5" t="s">
        <v>65</v>
      </c>
      <c r="C286" s="5" t="s">
        <v>59</v>
      </c>
      <c r="D286" s="5">
        <v>1950571</v>
      </c>
      <c r="E286" s="5">
        <v>97253</v>
      </c>
      <c r="F286" s="5">
        <v>326796160</v>
      </c>
      <c r="G286" s="5">
        <v>4.9858733673370512</v>
      </c>
      <c r="H286" s="5">
        <v>3360.2681665347086</v>
      </c>
      <c r="I286" s="5">
        <v>167.53871558635907</v>
      </c>
    </row>
    <row r="287" spans="1:9" x14ac:dyDescent="0.2">
      <c r="A287" s="5" t="s">
        <v>68</v>
      </c>
      <c r="B287" s="5" t="s">
        <v>65</v>
      </c>
      <c r="C287" s="5" t="s">
        <v>60</v>
      </c>
      <c r="D287" s="5">
        <v>1972016</v>
      </c>
      <c r="E287" s="5">
        <v>99244</v>
      </c>
      <c r="F287" s="5">
        <v>335689457</v>
      </c>
      <c r="G287" s="5">
        <v>5.0326163682241933</v>
      </c>
      <c r="H287" s="5">
        <v>3382.466013058724</v>
      </c>
      <c r="I287" s="5">
        <v>170.22653822281362</v>
      </c>
    </row>
    <row r="288" spans="1:9" x14ac:dyDescent="0.2">
      <c r="A288" s="5" t="s">
        <v>68</v>
      </c>
      <c r="B288" s="5" t="s">
        <v>65</v>
      </c>
      <c r="C288" s="5" t="s">
        <v>61</v>
      </c>
      <c r="D288" s="5">
        <v>1994548</v>
      </c>
      <c r="E288" s="5">
        <v>100294</v>
      </c>
      <c r="F288" s="5">
        <v>342552609</v>
      </c>
      <c r="G288" s="5">
        <v>5.0284074386778359</v>
      </c>
      <c r="H288" s="5">
        <v>3415.4845653777893</v>
      </c>
      <c r="I288" s="5">
        <v>171.7444799523501</v>
      </c>
    </row>
    <row r="289" spans="1:9" x14ac:dyDescent="0.2">
      <c r="A289" s="5" t="s">
        <v>68</v>
      </c>
      <c r="B289" s="5" t="s">
        <v>65</v>
      </c>
      <c r="C289" s="5" t="s">
        <v>62</v>
      </c>
      <c r="D289" s="5">
        <v>2014619</v>
      </c>
      <c r="E289" s="5">
        <v>101032</v>
      </c>
      <c r="F289" s="5">
        <v>346584628</v>
      </c>
      <c r="G289" s="5">
        <v>5.0149432721522036</v>
      </c>
      <c r="H289" s="5">
        <v>3430.4440969197876</v>
      </c>
      <c r="I289" s="5">
        <v>172.03482544342131</v>
      </c>
    </row>
    <row r="290" spans="1:9" x14ac:dyDescent="0.2">
      <c r="A290" s="5" t="s">
        <v>69</v>
      </c>
      <c r="B290" s="5" t="s">
        <v>44</v>
      </c>
      <c r="C290" s="5" t="s">
        <v>45</v>
      </c>
      <c r="D290" s="5">
        <v>12440429</v>
      </c>
      <c r="E290" s="5">
        <v>165982</v>
      </c>
      <c r="F290" s="5">
        <v>1458870718</v>
      </c>
      <c r="G290" s="5">
        <v>1.3342144390679775</v>
      </c>
      <c r="H290" s="5">
        <v>8789.3308792519674</v>
      </c>
      <c r="I290" s="5">
        <v>117.26852168844016</v>
      </c>
    </row>
    <row r="291" spans="1:9" x14ac:dyDescent="0.2">
      <c r="A291" s="5" t="s">
        <v>69</v>
      </c>
      <c r="B291" s="5" t="s">
        <v>44</v>
      </c>
      <c r="C291" s="5" t="s">
        <v>46</v>
      </c>
      <c r="D291" s="5">
        <v>12488042</v>
      </c>
      <c r="E291" s="5">
        <v>165113</v>
      </c>
      <c r="F291" s="5">
        <v>1461138856</v>
      </c>
      <c r="G291" s="5">
        <v>1.3221688395987137</v>
      </c>
      <c r="H291" s="5">
        <v>8849.3265581753094</v>
      </c>
      <c r="I291" s="5">
        <v>117.00303826652728</v>
      </c>
    </row>
    <row r="292" spans="1:9" x14ac:dyDescent="0.2">
      <c r="A292" s="5" t="s">
        <v>69</v>
      </c>
      <c r="B292" s="5" t="s">
        <v>44</v>
      </c>
      <c r="C292" s="5" t="s">
        <v>47</v>
      </c>
      <c r="D292" s="5">
        <v>12522142</v>
      </c>
      <c r="E292" s="5">
        <v>164719</v>
      </c>
      <c r="F292" s="5">
        <v>1460106641</v>
      </c>
      <c r="G292" s="5">
        <v>1.3154219142379955</v>
      </c>
      <c r="H292" s="5">
        <v>8864.2272051190212</v>
      </c>
      <c r="I292" s="5">
        <v>116.60198718398178</v>
      </c>
    </row>
    <row r="293" spans="1:9" x14ac:dyDescent="0.2">
      <c r="A293" s="5" t="s">
        <v>69</v>
      </c>
      <c r="B293" s="5" t="s">
        <v>44</v>
      </c>
      <c r="C293" s="5" t="s">
        <v>48</v>
      </c>
      <c r="D293" s="5">
        <v>12529321</v>
      </c>
      <c r="E293" s="5">
        <v>162191</v>
      </c>
      <c r="F293" s="5">
        <v>1445346512</v>
      </c>
      <c r="G293" s="5">
        <v>1.2944915370912757</v>
      </c>
      <c r="H293" s="5">
        <v>8911.3854159601942</v>
      </c>
      <c r="I293" s="5">
        <v>115.35713004719091</v>
      </c>
    </row>
    <row r="294" spans="1:9" x14ac:dyDescent="0.2">
      <c r="A294" s="5" t="s">
        <v>69</v>
      </c>
      <c r="B294" s="5" t="s">
        <v>44</v>
      </c>
      <c r="C294" s="5" t="s">
        <v>49</v>
      </c>
      <c r="D294" s="5">
        <v>12509030</v>
      </c>
      <c r="E294" s="5">
        <v>159213</v>
      </c>
      <c r="F294" s="5">
        <v>1442275706</v>
      </c>
      <c r="G294" s="5">
        <v>1.2727845404479803</v>
      </c>
      <c r="H294" s="5">
        <v>9058.7810417491037</v>
      </c>
      <c r="I294" s="5">
        <v>115.2987646524151</v>
      </c>
    </row>
    <row r="295" spans="1:9" x14ac:dyDescent="0.2">
      <c r="A295" s="5" t="s">
        <v>69</v>
      </c>
      <c r="B295" s="5" t="s">
        <v>44</v>
      </c>
      <c r="C295" s="5" t="s">
        <v>50</v>
      </c>
      <c r="D295" s="5">
        <v>12472172</v>
      </c>
      <c r="E295" s="5">
        <v>156011</v>
      </c>
      <c r="F295" s="5">
        <v>1437306910</v>
      </c>
      <c r="G295" s="5">
        <v>1.2508727429352322</v>
      </c>
      <c r="H295" s="5">
        <v>9212.856208857067</v>
      </c>
      <c r="I295" s="5">
        <v>115.24110716240924</v>
      </c>
    </row>
    <row r="296" spans="1:9" x14ac:dyDescent="0.2">
      <c r="A296" s="5" t="s">
        <v>69</v>
      </c>
      <c r="B296" s="5" t="s">
        <v>44</v>
      </c>
      <c r="C296" s="5" t="s">
        <v>51</v>
      </c>
      <c r="D296" s="5">
        <v>12416216</v>
      </c>
      <c r="E296" s="5">
        <v>153072</v>
      </c>
      <c r="F296" s="5">
        <v>1444075618</v>
      </c>
      <c r="G296" s="5">
        <v>1.232839377150011</v>
      </c>
      <c r="H296" s="5">
        <v>9433.9632199226508</v>
      </c>
      <c r="I296" s="5">
        <v>116.30561340105552</v>
      </c>
    </row>
    <row r="297" spans="1:9" x14ac:dyDescent="0.2">
      <c r="A297" s="5" t="s">
        <v>69</v>
      </c>
      <c r="B297" s="5" t="s">
        <v>44</v>
      </c>
      <c r="C297" s="5" t="s">
        <v>52</v>
      </c>
      <c r="D297" s="5">
        <v>12366407</v>
      </c>
      <c r="E297" s="5">
        <v>151406</v>
      </c>
      <c r="F297" s="5">
        <v>1455926223</v>
      </c>
      <c r="G297" s="5">
        <v>1.2243329853206351</v>
      </c>
      <c r="H297" s="5">
        <v>9616.0404673526809</v>
      </c>
      <c r="I297" s="5">
        <v>117.73235532357944</v>
      </c>
    </row>
    <row r="298" spans="1:9" x14ac:dyDescent="0.2">
      <c r="A298" s="5" t="s">
        <v>69</v>
      </c>
      <c r="B298" s="5" t="s">
        <v>44</v>
      </c>
      <c r="C298" s="5" t="s">
        <v>53</v>
      </c>
      <c r="D298" s="5">
        <v>12340323</v>
      </c>
      <c r="E298" s="5">
        <v>150345</v>
      </c>
      <c r="F298" s="5">
        <v>1439059287</v>
      </c>
      <c r="G298" s="5">
        <v>1.2183230536186127</v>
      </c>
      <c r="H298" s="5">
        <v>9571.7136386311486</v>
      </c>
      <c r="I298" s="5">
        <v>116.61439388580024</v>
      </c>
    </row>
    <row r="299" spans="1:9" x14ac:dyDescent="0.2">
      <c r="A299" s="5" t="s">
        <v>69</v>
      </c>
      <c r="B299" s="5" t="s">
        <v>44</v>
      </c>
      <c r="C299" s="5" t="s">
        <v>54</v>
      </c>
      <c r="D299" s="5">
        <v>12335051</v>
      </c>
      <c r="E299" s="5">
        <v>151309</v>
      </c>
      <c r="F299" s="5">
        <v>1438023179</v>
      </c>
      <c r="G299" s="5">
        <v>1.2266588926142259</v>
      </c>
      <c r="H299" s="5">
        <v>9503.8839659240366</v>
      </c>
      <c r="I299" s="5">
        <v>116.58023781174477</v>
      </c>
    </row>
    <row r="300" spans="1:9" x14ac:dyDescent="0.2">
      <c r="A300" s="5" t="s">
        <v>69</v>
      </c>
      <c r="B300" s="5" t="s">
        <v>44</v>
      </c>
      <c r="C300" s="5" t="s">
        <v>55</v>
      </c>
      <c r="D300" s="5">
        <v>12350730</v>
      </c>
      <c r="E300" s="5">
        <v>150408</v>
      </c>
      <c r="F300" s="5">
        <v>1415211730</v>
      </c>
      <c r="G300" s="5">
        <v>1.217806558802597</v>
      </c>
      <c r="H300" s="5">
        <v>9409.1519732992929</v>
      </c>
      <c r="I300" s="5">
        <v>114.58526985854277</v>
      </c>
    </row>
    <row r="301" spans="1:9" x14ac:dyDescent="0.2">
      <c r="A301" s="5" t="s">
        <v>69</v>
      </c>
      <c r="B301" s="5" t="s">
        <v>44</v>
      </c>
      <c r="C301" s="5" t="s">
        <v>56</v>
      </c>
      <c r="D301" s="5">
        <v>12378945</v>
      </c>
      <c r="E301" s="5">
        <v>149019</v>
      </c>
      <c r="F301" s="5">
        <v>1399832058</v>
      </c>
      <c r="G301" s="5">
        <v>1.203810179300417</v>
      </c>
      <c r="H301" s="5">
        <v>9393.6481790912567</v>
      </c>
      <c r="I301" s="5">
        <v>113.08169298756881</v>
      </c>
    </row>
    <row r="302" spans="1:9" x14ac:dyDescent="0.2">
      <c r="A302" s="5" t="s">
        <v>69</v>
      </c>
      <c r="B302" s="5" t="s">
        <v>44</v>
      </c>
      <c r="C302" s="5" t="s">
        <v>57</v>
      </c>
      <c r="D302" s="5">
        <v>12416372</v>
      </c>
      <c r="E302" s="5">
        <v>146483</v>
      </c>
      <c r="F302" s="5">
        <v>1384971638</v>
      </c>
      <c r="G302" s="5">
        <v>1.1797568565117089</v>
      </c>
      <c r="H302" s="5">
        <v>9454.8284647365217</v>
      </c>
      <c r="I302" s="5">
        <v>111.54398708414986</v>
      </c>
    </row>
    <row r="303" spans="1:9" x14ac:dyDescent="0.2">
      <c r="A303" s="5" t="s">
        <v>69</v>
      </c>
      <c r="B303" s="5" t="s">
        <v>44</v>
      </c>
      <c r="C303" s="5" t="s">
        <v>58</v>
      </c>
      <c r="D303" s="5">
        <v>12467099</v>
      </c>
      <c r="E303" s="5">
        <v>142224</v>
      </c>
      <c r="F303" s="5">
        <v>1346935573</v>
      </c>
      <c r="G303" s="5">
        <v>1.140794662816105</v>
      </c>
      <c r="H303" s="5">
        <v>9470.5223661266737</v>
      </c>
      <c r="I303" s="5">
        <v>108.03921369357859</v>
      </c>
    </row>
    <row r="304" spans="1:9" x14ac:dyDescent="0.2">
      <c r="A304" s="5" t="s">
        <v>69</v>
      </c>
      <c r="B304" s="5" t="s">
        <v>44</v>
      </c>
      <c r="C304" s="5" t="s">
        <v>59</v>
      </c>
      <c r="D304" s="5">
        <v>12532123</v>
      </c>
      <c r="E304" s="5">
        <v>139299</v>
      </c>
      <c r="F304" s="5">
        <v>1326562633</v>
      </c>
      <c r="G304" s="5">
        <v>1.1115355315296538</v>
      </c>
      <c r="H304" s="5">
        <v>9523.1310562172021</v>
      </c>
      <c r="I304" s="5">
        <v>105.85298540398941</v>
      </c>
    </row>
    <row r="305" spans="1:9" x14ac:dyDescent="0.2">
      <c r="A305" s="5" t="s">
        <v>69</v>
      </c>
      <c r="B305" s="5" t="s">
        <v>44</v>
      </c>
      <c r="C305" s="5" t="s">
        <v>60</v>
      </c>
      <c r="D305" s="5">
        <v>12604885</v>
      </c>
      <c r="E305" s="5">
        <v>136599</v>
      </c>
      <c r="F305" s="5">
        <v>1295847389</v>
      </c>
      <c r="G305" s="5">
        <v>1.0836988992759553</v>
      </c>
      <c r="H305" s="5">
        <v>9486.5071413407131</v>
      </c>
      <c r="I305" s="5">
        <v>102.8051734704442</v>
      </c>
    </row>
    <row r="306" spans="1:9" x14ac:dyDescent="0.2">
      <c r="A306" s="5" t="s">
        <v>69</v>
      </c>
      <c r="B306" s="5" t="s">
        <v>44</v>
      </c>
      <c r="C306" s="5" t="s">
        <v>61</v>
      </c>
      <c r="D306" s="5">
        <v>12682159</v>
      </c>
      <c r="E306" s="5">
        <v>132377</v>
      </c>
      <c r="F306" s="5">
        <v>1258716636</v>
      </c>
      <c r="G306" s="5">
        <v>1.04380492312074</v>
      </c>
      <c r="H306" s="5">
        <v>9508.5750243622388</v>
      </c>
      <c r="I306" s="5">
        <v>99.250974222922139</v>
      </c>
    </row>
    <row r="307" spans="1:9" x14ac:dyDescent="0.2">
      <c r="A307" s="5" t="s">
        <v>69</v>
      </c>
      <c r="B307" s="5" t="s">
        <v>44</v>
      </c>
      <c r="C307" s="5" t="s">
        <v>62</v>
      </c>
      <c r="D307" s="5">
        <v>12759043</v>
      </c>
      <c r="E307" s="5">
        <v>130453</v>
      </c>
      <c r="F307" s="5">
        <v>1268198365</v>
      </c>
      <c r="G307" s="5">
        <v>1.022435616840542</v>
      </c>
      <c r="H307" s="5">
        <v>9721.4963626746794</v>
      </c>
      <c r="I307" s="5">
        <v>99.396041301843724</v>
      </c>
    </row>
    <row r="308" spans="1:9" x14ac:dyDescent="0.2">
      <c r="A308" s="5" t="s">
        <v>69</v>
      </c>
      <c r="B308" s="5" t="s">
        <v>63</v>
      </c>
      <c r="C308" s="5" t="s">
        <v>45</v>
      </c>
      <c r="D308" s="5">
        <v>12440429</v>
      </c>
      <c r="E308" s="5">
        <v>536529</v>
      </c>
      <c r="F308" s="5">
        <v>1299555693</v>
      </c>
      <c r="G308" s="5">
        <v>4.3127853549101882</v>
      </c>
      <c r="H308" s="5">
        <v>2422.1536822799885</v>
      </c>
      <c r="I308" s="5">
        <v>104.4622892827892</v>
      </c>
    </row>
    <row r="309" spans="1:9" x14ac:dyDescent="0.2">
      <c r="A309" s="5" t="s">
        <v>69</v>
      </c>
      <c r="B309" s="5" t="s">
        <v>63</v>
      </c>
      <c r="C309" s="5" t="s">
        <v>46</v>
      </c>
      <c r="D309" s="5">
        <v>12488042</v>
      </c>
      <c r="E309" s="5">
        <v>539205</v>
      </c>
      <c r="F309" s="5">
        <v>1318887292</v>
      </c>
      <c r="G309" s="5">
        <v>4.3177705520208853</v>
      </c>
      <c r="H309" s="5">
        <v>2445.9849074099834</v>
      </c>
      <c r="I309" s="5">
        <v>105.61201603902357</v>
      </c>
    </row>
    <row r="310" spans="1:9" x14ac:dyDescent="0.2">
      <c r="A310" s="5" t="s">
        <v>69</v>
      </c>
      <c r="B310" s="5" t="s">
        <v>63</v>
      </c>
      <c r="C310" s="5" t="s">
        <v>47</v>
      </c>
      <c r="D310" s="5">
        <v>12522142</v>
      </c>
      <c r="E310" s="5">
        <v>541348</v>
      </c>
      <c r="F310" s="5">
        <v>1335533416</v>
      </c>
      <c r="G310" s="5">
        <v>4.3231261871970466</v>
      </c>
      <c r="H310" s="5">
        <v>2467.0515380125171</v>
      </c>
      <c r="I310" s="5">
        <v>106.65375109146662</v>
      </c>
    </row>
    <row r="311" spans="1:9" x14ac:dyDescent="0.2">
      <c r="A311" s="5" t="s">
        <v>69</v>
      </c>
      <c r="B311" s="5" t="s">
        <v>63</v>
      </c>
      <c r="C311" s="5" t="s">
        <v>48</v>
      </c>
      <c r="D311" s="5">
        <v>12529321</v>
      </c>
      <c r="E311" s="5">
        <v>541055</v>
      </c>
      <c r="F311" s="5">
        <v>1348053502</v>
      </c>
      <c r="G311" s="5">
        <v>4.3183106251328383</v>
      </c>
      <c r="H311" s="5">
        <v>2491.5276672427017</v>
      </c>
      <c r="I311" s="5">
        <v>107.59190398266594</v>
      </c>
    </row>
    <row r="312" spans="1:9" x14ac:dyDescent="0.2">
      <c r="A312" s="5" t="s">
        <v>69</v>
      </c>
      <c r="B312" s="5" t="s">
        <v>63</v>
      </c>
      <c r="C312" s="5" t="s">
        <v>49</v>
      </c>
      <c r="D312" s="5">
        <v>12509030</v>
      </c>
      <c r="E312" s="5">
        <v>537234</v>
      </c>
      <c r="F312" s="5">
        <v>1352806120</v>
      </c>
      <c r="G312" s="5">
        <v>4.2947694585431488</v>
      </c>
      <c r="H312" s="5">
        <v>2518.0947594530503</v>
      </c>
      <c r="I312" s="5">
        <v>108.14636466616516</v>
      </c>
    </row>
    <row r="313" spans="1:9" x14ac:dyDescent="0.2">
      <c r="A313" s="5" t="s">
        <v>69</v>
      </c>
      <c r="B313" s="5" t="s">
        <v>63</v>
      </c>
      <c r="C313" s="5" t="s">
        <v>50</v>
      </c>
      <c r="D313" s="5">
        <v>12472172</v>
      </c>
      <c r="E313" s="5">
        <v>533511</v>
      </c>
      <c r="F313" s="5">
        <v>1356066876</v>
      </c>
      <c r="G313" s="5">
        <v>4.2776109886874556</v>
      </c>
      <c r="H313" s="5">
        <v>2541.7786624830605</v>
      </c>
      <c r="I313" s="5">
        <v>108.72740337448842</v>
      </c>
    </row>
    <row r="314" spans="1:9" x14ac:dyDescent="0.2">
      <c r="A314" s="5" t="s">
        <v>69</v>
      </c>
      <c r="B314" s="5" t="s">
        <v>63</v>
      </c>
      <c r="C314" s="5" t="s">
        <v>51</v>
      </c>
      <c r="D314" s="5">
        <v>12416216</v>
      </c>
      <c r="E314" s="5">
        <v>527447</v>
      </c>
      <c r="F314" s="5">
        <v>1351567407</v>
      </c>
      <c r="G314" s="5">
        <v>4.2480494862524942</v>
      </c>
      <c r="H314" s="5">
        <v>2562.4705553354174</v>
      </c>
      <c r="I314" s="5">
        <v>108.85501726129765</v>
      </c>
    </row>
    <row r="315" spans="1:9" x14ac:dyDescent="0.2">
      <c r="A315" s="5" t="s">
        <v>69</v>
      </c>
      <c r="B315" s="5" t="s">
        <v>63</v>
      </c>
      <c r="C315" s="5" t="s">
        <v>52</v>
      </c>
      <c r="D315" s="5">
        <v>12366407</v>
      </c>
      <c r="E315" s="5">
        <v>522355</v>
      </c>
      <c r="F315" s="5">
        <v>1346165482</v>
      </c>
      <c r="G315" s="5">
        <v>4.2239835709757898</v>
      </c>
      <c r="H315" s="5">
        <v>2577.1084454059023</v>
      </c>
      <c r="I315" s="5">
        <v>108.85663734017488</v>
      </c>
    </row>
    <row r="316" spans="1:9" x14ac:dyDescent="0.2">
      <c r="A316" s="5" t="s">
        <v>69</v>
      </c>
      <c r="B316" s="5" t="s">
        <v>63</v>
      </c>
      <c r="C316" s="5" t="s">
        <v>53</v>
      </c>
      <c r="D316" s="5">
        <v>12340323</v>
      </c>
      <c r="E316" s="5">
        <v>519281</v>
      </c>
      <c r="F316" s="5">
        <v>1338596575</v>
      </c>
      <c r="G316" s="5">
        <v>4.2080016868278083</v>
      </c>
      <c r="H316" s="5">
        <v>2577.7884709819923</v>
      </c>
      <c r="I316" s="5">
        <v>108.47338234177501</v>
      </c>
    </row>
    <row r="317" spans="1:9" x14ac:dyDescent="0.2">
      <c r="A317" s="5" t="s">
        <v>69</v>
      </c>
      <c r="B317" s="5" t="s">
        <v>63</v>
      </c>
      <c r="C317" s="5" t="s">
        <v>54</v>
      </c>
      <c r="D317" s="5">
        <v>12335051</v>
      </c>
      <c r="E317" s="5">
        <v>514888</v>
      </c>
      <c r="F317" s="5">
        <v>1330699773</v>
      </c>
      <c r="G317" s="5">
        <v>4.174186227523502</v>
      </c>
      <c r="H317" s="5">
        <v>2584.44510845077</v>
      </c>
      <c r="I317" s="5">
        <v>107.87955177485686</v>
      </c>
    </row>
    <row r="318" spans="1:9" x14ac:dyDescent="0.2">
      <c r="A318" s="5" t="s">
        <v>69</v>
      </c>
      <c r="B318" s="5" t="s">
        <v>63</v>
      </c>
      <c r="C318" s="5" t="s">
        <v>55</v>
      </c>
      <c r="D318" s="5">
        <v>12350730</v>
      </c>
      <c r="E318" s="5">
        <v>511623</v>
      </c>
      <c r="F318" s="5">
        <v>1325184650</v>
      </c>
      <c r="G318" s="5">
        <v>4.1424514988182883</v>
      </c>
      <c r="H318" s="5">
        <v>2590.1584760653841</v>
      </c>
      <c r="I318" s="5">
        <v>107.29605861353944</v>
      </c>
    </row>
    <row r="319" spans="1:9" x14ac:dyDescent="0.2">
      <c r="A319" s="5" t="s">
        <v>69</v>
      </c>
      <c r="B319" s="5" t="s">
        <v>63</v>
      </c>
      <c r="C319" s="5" t="s">
        <v>56</v>
      </c>
      <c r="D319" s="5">
        <v>12378945</v>
      </c>
      <c r="E319" s="5">
        <v>507861</v>
      </c>
      <c r="F319" s="5">
        <v>1322575416</v>
      </c>
      <c r="G319" s="5">
        <v>4.1026194073889171</v>
      </c>
      <c r="H319" s="5">
        <v>2604.2074819684913</v>
      </c>
      <c r="I319" s="5">
        <v>106.84072156391356</v>
      </c>
    </row>
    <row r="320" spans="1:9" x14ac:dyDescent="0.2">
      <c r="A320" s="5" t="s">
        <v>69</v>
      </c>
      <c r="B320" s="5" t="s">
        <v>63</v>
      </c>
      <c r="C320" s="5" t="s">
        <v>57</v>
      </c>
      <c r="D320" s="5">
        <v>12416372</v>
      </c>
      <c r="E320" s="5">
        <v>502569</v>
      </c>
      <c r="F320" s="5">
        <v>1314794539</v>
      </c>
      <c r="G320" s="5">
        <v>4.0476316270163295</v>
      </c>
      <c r="H320" s="5">
        <v>2616.1473131052653</v>
      </c>
      <c r="I320" s="5">
        <v>105.89200605458663</v>
      </c>
    </row>
    <row r="321" spans="1:9" x14ac:dyDescent="0.2">
      <c r="A321" s="5" t="s">
        <v>69</v>
      </c>
      <c r="B321" s="5" t="s">
        <v>63</v>
      </c>
      <c r="C321" s="5" t="s">
        <v>58</v>
      </c>
      <c r="D321" s="5">
        <v>12467099</v>
      </c>
      <c r="E321" s="5">
        <v>498501</v>
      </c>
      <c r="F321" s="5">
        <v>1308927673</v>
      </c>
      <c r="G321" s="5">
        <v>3.9985324573102372</v>
      </c>
      <c r="H321" s="5">
        <v>2625.7272763745709</v>
      </c>
      <c r="I321" s="5">
        <v>104.99055738628529</v>
      </c>
    </row>
    <row r="322" spans="1:9" x14ac:dyDescent="0.2">
      <c r="A322" s="5" t="s">
        <v>69</v>
      </c>
      <c r="B322" s="5" t="s">
        <v>63</v>
      </c>
      <c r="C322" s="5" t="s">
        <v>59</v>
      </c>
      <c r="D322" s="5">
        <v>12532123</v>
      </c>
      <c r="E322" s="5">
        <v>500125</v>
      </c>
      <c r="F322" s="5">
        <v>1321449055</v>
      </c>
      <c r="G322" s="5">
        <v>3.990744425345969</v>
      </c>
      <c r="H322" s="5">
        <v>2642.2375506123467</v>
      </c>
      <c r="I322" s="5">
        <v>105.44494775546011</v>
      </c>
    </row>
    <row r="323" spans="1:9" x14ac:dyDescent="0.2">
      <c r="A323" s="5" t="s">
        <v>69</v>
      </c>
      <c r="B323" s="5" t="s">
        <v>63</v>
      </c>
      <c r="C323" s="5" t="s">
        <v>60</v>
      </c>
      <c r="D323" s="5">
        <v>12604885</v>
      </c>
      <c r="E323" s="5">
        <v>503164</v>
      </c>
      <c r="F323" s="5">
        <v>1334130986</v>
      </c>
      <c r="G323" s="5">
        <v>3.9918174580728025</v>
      </c>
      <c r="H323" s="5">
        <v>2651.4833851388412</v>
      </c>
      <c r="I323" s="5">
        <v>105.842376665872</v>
      </c>
    </row>
    <row r="324" spans="1:9" x14ac:dyDescent="0.2">
      <c r="A324" s="5" t="s">
        <v>69</v>
      </c>
      <c r="B324" s="5" t="s">
        <v>63</v>
      </c>
      <c r="C324" s="5" t="s">
        <v>61</v>
      </c>
      <c r="D324" s="5">
        <v>12682159</v>
      </c>
      <c r="E324" s="5">
        <v>505556</v>
      </c>
      <c r="F324" s="5">
        <v>1353764279</v>
      </c>
      <c r="G324" s="5">
        <v>3.9863559509070972</v>
      </c>
      <c r="H324" s="5">
        <v>2677.7731428367974</v>
      </c>
      <c r="I324" s="5">
        <v>106.74556903126668</v>
      </c>
    </row>
    <row r="325" spans="1:9" x14ac:dyDescent="0.2">
      <c r="A325" s="5" t="s">
        <v>69</v>
      </c>
      <c r="B325" s="5" t="s">
        <v>63</v>
      </c>
      <c r="C325" s="5" t="s">
        <v>62</v>
      </c>
      <c r="D325" s="5">
        <v>12759043</v>
      </c>
      <c r="E325" s="5">
        <v>506155</v>
      </c>
      <c r="F325" s="5">
        <v>1366561713</v>
      </c>
      <c r="G325" s="5">
        <v>3.9670295021342903</v>
      </c>
      <c r="H325" s="5">
        <v>2699.8878070946648</v>
      </c>
      <c r="I325" s="5">
        <v>107.10534583197187</v>
      </c>
    </row>
    <row r="326" spans="1:9" x14ac:dyDescent="0.2">
      <c r="A326" s="5" t="s">
        <v>69</v>
      </c>
      <c r="B326" s="5" t="s">
        <v>64</v>
      </c>
      <c r="C326" s="5" t="s">
        <v>45</v>
      </c>
      <c r="D326" s="5">
        <v>9787542</v>
      </c>
      <c r="E326" s="5">
        <v>544094</v>
      </c>
      <c r="F326" s="5">
        <v>683107592</v>
      </c>
      <c r="G326" s="5">
        <v>5.5590463877447478</v>
      </c>
      <c r="H326" s="5">
        <v>1255.4955430495465</v>
      </c>
      <c r="I326" s="5">
        <v>69.793579634192113</v>
      </c>
    </row>
    <row r="327" spans="1:9" x14ac:dyDescent="0.2">
      <c r="A327" s="5" t="s">
        <v>69</v>
      </c>
      <c r="B327" s="5" t="s">
        <v>64</v>
      </c>
      <c r="C327" s="5" t="s">
        <v>46</v>
      </c>
      <c r="D327" s="5">
        <v>9839451</v>
      </c>
      <c r="E327" s="5">
        <v>548032</v>
      </c>
      <c r="F327" s="5">
        <v>698465872</v>
      </c>
      <c r="G327" s="5">
        <v>5.5697416451385351</v>
      </c>
      <c r="H327" s="5">
        <v>1274.4983358635991</v>
      </c>
      <c r="I327" s="5">
        <v>70.986264579192479</v>
      </c>
    </row>
    <row r="328" spans="1:9" x14ac:dyDescent="0.2">
      <c r="A328" s="5" t="s">
        <v>69</v>
      </c>
      <c r="B328" s="5" t="s">
        <v>64</v>
      </c>
      <c r="C328" s="5" t="s">
        <v>47</v>
      </c>
      <c r="D328" s="5">
        <v>9876256</v>
      </c>
      <c r="E328" s="5">
        <v>545115</v>
      </c>
      <c r="F328" s="5">
        <v>704066763</v>
      </c>
      <c r="G328" s="5">
        <v>5.5194498806025276</v>
      </c>
      <c r="H328" s="5">
        <v>1291.5930821936656</v>
      </c>
      <c r="I328" s="5">
        <v>71.288832833008783</v>
      </c>
    </row>
    <row r="329" spans="1:9" x14ac:dyDescent="0.2">
      <c r="A329" s="5" t="s">
        <v>69</v>
      </c>
      <c r="B329" s="5" t="s">
        <v>64</v>
      </c>
      <c r="C329" s="5" t="s">
        <v>48</v>
      </c>
      <c r="D329" s="5">
        <v>9887831</v>
      </c>
      <c r="E329" s="5">
        <v>539671</v>
      </c>
      <c r="F329" s="5">
        <v>703706388</v>
      </c>
      <c r="G329" s="5">
        <v>5.4579310669852674</v>
      </c>
      <c r="H329" s="5">
        <v>1303.9544240843031</v>
      </c>
      <c r="I329" s="5">
        <v>71.168933611425999</v>
      </c>
    </row>
    <row r="330" spans="1:9" x14ac:dyDescent="0.2">
      <c r="A330" s="5" t="s">
        <v>69</v>
      </c>
      <c r="B330" s="5" t="s">
        <v>64</v>
      </c>
      <c r="C330" s="5" t="s">
        <v>49</v>
      </c>
      <c r="D330" s="5">
        <v>9872025</v>
      </c>
      <c r="E330" s="5">
        <v>533037</v>
      </c>
      <c r="F330" s="5">
        <v>699872532</v>
      </c>
      <c r="G330" s="5">
        <v>5.3994697136605714</v>
      </c>
      <c r="H330" s="5">
        <v>1312.9905278620433</v>
      </c>
      <c r="I330" s="5">
        <v>70.89452589514309</v>
      </c>
    </row>
    <row r="331" spans="1:9" x14ac:dyDescent="0.2">
      <c r="A331" s="5" t="s">
        <v>69</v>
      </c>
      <c r="B331" s="5" t="s">
        <v>64</v>
      </c>
      <c r="C331" s="5" t="s">
        <v>50</v>
      </c>
      <c r="D331" s="5">
        <v>9837610</v>
      </c>
      <c r="E331" s="5">
        <v>520843</v>
      </c>
      <c r="F331" s="5">
        <v>700777389</v>
      </c>
      <c r="G331" s="5">
        <v>5.2944058567070664</v>
      </c>
      <c r="H331" s="5">
        <v>1345.4676150010655</v>
      </c>
      <c r="I331" s="5">
        <v>71.234516208713302</v>
      </c>
    </row>
    <row r="332" spans="1:9" x14ac:dyDescent="0.2">
      <c r="A332" s="5" t="s">
        <v>69</v>
      </c>
      <c r="B332" s="5" t="s">
        <v>64</v>
      </c>
      <c r="C332" s="5" t="s">
        <v>51</v>
      </c>
      <c r="D332" s="5">
        <v>9783072</v>
      </c>
      <c r="E332" s="5">
        <v>507372</v>
      </c>
      <c r="F332" s="5">
        <v>685419818</v>
      </c>
      <c r="G332" s="5">
        <v>5.186223713778249</v>
      </c>
      <c r="H332" s="5">
        <v>1350.9216472331939</v>
      </c>
      <c r="I332" s="5">
        <v>70.061818823371638</v>
      </c>
    </row>
    <row r="333" spans="1:9" x14ac:dyDescent="0.2">
      <c r="A333" s="5" t="s">
        <v>69</v>
      </c>
      <c r="B333" s="5" t="s">
        <v>64</v>
      </c>
      <c r="C333" s="5" t="s">
        <v>52</v>
      </c>
      <c r="D333" s="5">
        <v>9729221</v>
      </c>
      <c r="E333" s="5">
        <v>499183</v>
      </c>
      <c r="F333" s="5">
        <v>668041699</v>
      </c>
      <c r="G333" s="5">
        <v>5.1307602119429703</v>
      </c>
      <c r="H333" s="5">
        <v>1338.2701313946989</v>
      </c>
      <c r="I333" s="5">
        <v>68.66343142991613</v>
      </c>
    </row>
    <row r="334" spans="1:9" x14ac:dyDescent="0.2">
      <c r="A334" s="5" t="s">
        <v>69</v>
      </c>
      <c r="B334" s="5" t="s">
        <v>64</v>
      </c>
      <c r="C334" s="5" t="s">
        <v>53</v>
      </c>
      <c r="D334" s="5">
        <v>9692738</v>
      </c>
      <c r="E334" s="5">
        <v>488922</v>
      </c>
      <c r="F334" s="5">
        <v>656674902</v>
      </c>
      <c r="G334" s="5">
        <v>5.0442093864499382</v>
      </c>
      <c r="H334" s="5">
        <v>1343.1076981604429</v>
      </c>
      <c r="I334" s="5">
        <v>67.749164580740754</v>
      </c>
    </row>
    <row r="335" spans="1:9" x14ac:dyDescent="0.2">
      <c r="A335" s="5" t="s">
        <v>69</v>
      </c>
      <c r="B335" s="5" t="s">
        <v>64</v>
      </c>
      <c r="C335" s="5" t="s">
        <v>54</v>
      </c>
      <c r="D335" s="5">
        <v>9672880</v>
      </c>
      <c r="E335" s="5">
        <v>486906</v>
      </c>
      <c r="F335" s="5">
        <v>633540752</v>
      </c>
      <c r="G335" s="5">
        <v>5.033723151739709</v>
      </c>
      <c r="H335" s="5">
        <v>1301.1561820967497</v>
      </c>
      <c r="I335" s="5">
        <v>65.496599978496576</v>
      </c>
    </row>
    <row r="336" spans="1:9" x14ac:dyDescent="0.2">
      <c r="A336" s="5" t="s">
        <v>69</v>
      </c>
      <c r="B336" s="5" t="s">
        <v>64</v>
      </c>
      <c r="C336" s="5" t="s">
        <v>55</v>
      </c>
      <c r="D336" s="5">
        <v>9669367</v>
      </c>
      <c r="E336" s="5">
        <v>491282</v>
      </c>
      <c r="F336" s="5">
        <v>622288991</v>
      </c>
      <c r="G336" s="5">
        <v>5.0808082886914931</v>
      </c>
      <c r="H336" s="5">
        <v>1266.6635272613285</v>
      </c>
      <c r="I336" s="5">
        <v>64.356745482925618</v>
      </c>
    </row>
    <row r="337" spans="1:9" x14ac:dyDescent="0.2">
      <c r="A337" s="5" t="s">
        <v>69</v>
      </c>
      <c r="B337" s="5" t="s">
        <v>64</v>
      </c>
      <c r="C337" s="5" t="s">
        <v>56</v>
      </c>
      <c r="D337" s="5">
        <v>9675370</v>
      </c>
      <c r="E337" s="5">
        <v>482993</v>
      </c>
      <c r="F337" s="5">
        <v>615245230</v>
      </c>
      <c r="G337" s="5">
        <v>4.991984802648374</v>
      </c>
      <c r="H337" s="5">
        <v>1273.8181091651431</v>
      </c>
      <c r="I337" s="5">
        <v>63.588806422906828</v>
      </c>
    </row>
    <row r="338" spans="1:9" x14ac:dyDescent="0.2">
      <c r="A338" s="5" t="s">
        <v>69</v>
      </c>
      <c r="B338" s="5" t="s">
        <v>64</v>
      </c>
      <c r="C338" s="5" t="s">
        <v>57</v>
      </c>
      <c r="D338" s="5">
        <v>9688892</v>
      </c>
      <c r="E338" s="5">
        <v>473824</v>
      </c>
      <c r="F338" s="5">
        <v>599404251</v>
      </c>
      <c r="G338" s="5">
        <v>4.8903837507942081</v>
      </c>
      <c r="H338" s="5">
        <v>1265.0356482575808</v>
      </c>
      <c r="I338" s="5">
        <v>61.865097784142911</v>
      </c>
    </row>
    <row r="339" spans="1:9" x14ac:dyDescent="0.2">
      <c r="A339" s="5" t="s">
        <v>69</v>
      </c>
      <c r="B339" s="5" t="s">
        <v>64</v>
      </c>
      <c r="C339" s="5" t="s">
        <v>58</v>
      </c>
      <c r="D339" s="5">
        <v>9713528</v>
      </c>
      <c r="E339" s="5">
        <v>464816</v>
      </c>
      <c r="F339" s="5">
        <v>600108527</v>
      </c>
      <c r="G339" s="5">
        <v>4.7852438372546002</v>
      </c>
      <c r="H339" s="5">
        <v>1291.0668458056521</v>
      </c>
      <c r="I339" s="5">
        <v>61.780696673752317</v>
      </c>
    </row>
    <row r="340" spans="1:9" x14ac:dyDescent="0.2">
      <c r="A340" s="5" t="s">
        <v>69</v>
      </c>
      <c r="B340" s="5" t="s">
        <v>64</v>
      </c>
      <c r="C340" s="5" t="s">
        <v>59</v>
      </c>
      <c r="D340" s="5">
        <v>9751487</v>
      </c>
      <c r="E340" s="5">
        <v>454264</v>
      </c>
      <c r="F340" s="5">
        <v>602447676</v>
      </c>
      <c r="G340" s="5">
        <v>4.6584074818537928</v>
      </c>
      <c r="H340" s="5">
        <v>1326.2060740010215</v>
      </c>
      <c r="I340" s="5">
        <v>61.780082976063035</v>
      </c>
    </row>
    <row r="341" spans="1:9" x14ac:dyDescent="0.2">
      <c r="A341" s="5" t="s">
        <v>69</v>
      </c>
      <c r="B341" s="5" t="s">
        <v>64</v>
      </c>
      <c r="C341" s="5" t="s">
        <v>60</v>
      </c>
      <c r="D341" s="5">
        <v>9798721</v>
      </c>
      <c r="E341" s="5">
        <v>450782</v>
      </c>
      <c r="F341" s="5">
        <v>605558815</v>
      </c>
      <c r="G341" s="5">
        <v>4.6004167278566257</v>
      </c>
      <c r="H341" s="5">
        <v>1343.3518086347724</v>
      </c>
      <c r="I341" s="5">
        <v>61.799781318398594</v>
      </c>
    </row>
    <row r="342" spans="1:9" x14ac:dyDescent="0.2">
      <c r="A342" s="5" t="s">
        <v>69</v>
      </c>
      <c r="B342" s="5" t="s">
        <v>64</v>
      </c>
      <c r="C342" s="5" t="s">
        <v>61</v>
      </c>
      <c r="D342" s="5">
        <v>9852136</v>
      </c>
      <c r="E342" s="5">
        <v>445912</v>
      </c>
      <c r="F342" s="5">
        <v>608770992</v>
      </c>
      <c r="G342" s="5">
        <v>4.5260438954557669</v>
      </c>
      <c r="H342" s="5">
        <v>1365.2267532607329</v>
      </c>
      <c r="I342" s="5">
        <v>61.790762125086374</v>
      </c>
    </row>
    <row r="343" spans="1:9" x14ac:dyDescent="0.2">
      <c r="A343" s="5" t="s">
        <v>69</v>
      </c>
      <c r="B343" s="5" t="s">
        <v>64</v>
      </c>
      <c r="C343" s="5" t="s">
        <v>62</v>
      </c>
      <c r="D343" s="5">
        <v>9905647</v>
      </c>
      <c r="E343" s="5">
        <v>443341</v>
      </c>
      <c r="F343" s="5">
        <v>628381076</v>
      </c>
      <c r="G343" s="5">
        <v>4.4756389966248546</v>
      </c>
      <c r="H343" s="5">
        <v>1417.3764122876071</v>
      </c>
      <c r="I343" s="5">
        <v>63.436651437306416</v>
      </c>
    </row>
    <row r="344" spans="1:9" x14ac:dyDescent="0.2">
      <c r="A344" s="5" t="s">
        <v>69</v>
      </c>
      <c r="B344" s="5" t="s">
        <v>65</v>
      </c>
      <c r="C344" s="5" t="s">
        <v>45</v>
      </c>
      <c r="D344" s="5">
        <v>9573921</v>
      </c>
      <c r="E344" s="5">
        <v>736612</v>
      </c>
      <c r="F344" s="5">
        <v>2077502150</v>
      </c>
      <c r="G344" s="5">
        <v>7.6939427429994458</v>
      </c>
      <c r="H344" s="5">
        <v>2820.3479579480108</v>
      </c>
      <c r="I344" s="5">
        <v>216.99595703787404</v>
      </c>
    </row>
    <row r="345" spans="1:9" x14ac:dyDescent="0.2">
      <c r="A345" s="5" t="s">
        <v>69</v>
      </c>
      <c r="B345" s="5" t="s">
        <v>65</v>
      </c>
      <c r="C345" s="5" t="s">
        <v>46</v>
      </c>
      <c r="D345" s="5">
        <v>9627214</v>
      </c>
      <c r="E345" s="5">
        <v>738273</v>
      </c>
      <c r="F345" s="5">
        <v>2097864335</v>
      </c>
      <c r="G345" s="5">
        <v>7.6686048528681301</v>
      </c>
      <c r="H345" s="5">
        <v>2841.5834454192418</v>
      </c>
      <c r="I345" s="5">
        <v>217.90980599371738</v>
      </c>
    </row>
    <row r="346" spans="1:9" x14ac:dyDescent="0.2">
      <c r="A346" s="5" t="s">
        <v>69</v>
      </c>
      <c r="B346" s="5" t="s">
        <v>65</v>
      </c>
      <c r="C346" s="5" t="s">
        <v>47</v>
      </c>
      <c r="D346" s="5">
        <v>9665947</v>
      </c>
      <c r="E346" s="5">
        <v>741846</v>
      </c>
      <c r="F346" s="5">
        <v>2115447642</v>
      </c>
      <c r="G346" s="5">
        <v>7.6748403441483797</v>
      </c>
      <c r="H346" s="5">
        <v>2851.5994451678648</v>
      </c>
      <c r="I346" s="5">
        <v>218.85570467125467</v>
      </c>
    </row>
    <row r="347" spans="1:9" x14ac:dyDescent="0.2">
      <c r="A347" s="5" t="s">
        <v>69</v>
      </c>
      <c r="B347" s="5" t="s">
        <v>65</v>
      </c>
      <c r="C347" s="5" t="s">
        <v>48</v>
      </c>
      <c r="D347" s="5">
        <v>9680104</v>
      </c>
      <c r="E347" s="5">
        <v>741794</v>
      </c>
      <c r="F347" s="5">
        <v>2127774239</v>
      </c>
      <c r="G347" s="5">
        <v>7.6630788264258314</v>
      </c>
      <c r="H347" s="5">
        <v>2868.4166210565199</v>
      </c>
      <c r="I347" s="5">
        <v>219.80902674186146</v>
      </c>
    </row>
    <row r="348" spans="1:9" x14ac:dyDescent="0.2">
      <c r="A348" s="5" t="s">
        <v>69</v>
      </c>
      <c r="B348" s="5" t="s">
        <v>65</v>
      </c>
      <c r="C348" s="5" t="s">
        <v>49</v>
      </c>
      <c r="D348" s="5">
        <v>9666780</v>
      </c>
      <c r="E348" s="5">
        <v>733508</v>
      </c>
      <c r="F348" s="5">
        <v>2134556977</v>
      </c>
      <c r="G348" s="5">
        <v>7.5879248312261165</v>
      </c>
      <c r="H348" s="5">
        <v>2910.0663891873028</v>
      </c>
      <c r="I348" s="5">
        <v>220.81365015030858</v>
      </c>
    </row>
    <row r="349" spans="1:9" x14ac:dyDescent="0.2">
      <c r="A349" s="5" t="s">
        <v>69</v>
      </c>
      <c r="B349" s="5" t="s">
        <v>65</v>
      </c>
      <c r="C349" s="5" t="s">
        <v>50</v>
      </c>
      <c r="D349" s="5">
        <v>9634186</v>
      </c>
      <c r="E349" s="5">
        <v>722065</v>
      </c>
      <c r="F349" s="5">
        <v>2129652802</v>
      </c>
      <c r="G349" s="5">
        <v>7.494821046635388</v>
      </c>
      <c r="H349" s="5">
        <v>2949.3920935095871</v>
      </c>
      <c r="I349" s="5">
        <v>221.05165937215662</v>
      </c>
    </row>
    <row r="350" spans="1:9" x14ac:dyDescent="0.2">
      <c r="A350" s="5" t="s">
        <v>69</v>
      </c>
      <c r="B350" s="5" t="s">
        <v>65</v>
      </c>
      <c r="C350" s="5" t="s">
        <v>51</v>
      </c>
      <c r="D350" s="5">
        <v>9581428</v>
      </c>
      <c r="E350" s="5">
        <v>704673</v>
      </c>
      <c r="F350" s="5">
        <v>2104148747</v>
      </c>
      <c r="G350" s="5">
        <v>7.3545717819932479</v>
      </c>
      <c r="H350" s="5">
        <v>2985.99314433787</v>
      </c>
      <c r="I350" s="5">
        <v>219.60700920572592</v>
      </c>
    </row>
    <row r="351" spans="1:9" x14ac:dyDescent="0.2">
      <c r="A351" s="5" t="s">
        <v>69</v>
      </c>
      <c r="B351" s="5" t="s">
        <v>65</v>
      </c>
      <c r="C351" s="5" t="s">
        <v>52</v>
      </c>
      <c r="D351" s="5">
        <v>9529317</v>
      </c>
      <c r="E351" s="5">
        <v>689291</v>
      </c>
      <c r="F351" s="5">
        <v>2086607930</v>
      </c>
      <c r="G351" s="5">
        <v>7.2333725491554119</v>
      </c>
      <c r="H351" s="5">
        <v>3027.1800008994751</v>
      </c>
      <c r="I351" s="5">
        <v>218.96720719858516</v>
      </c>
    </row>
    <row r="352" spans="1:9" x14ac:dyDescent="0.2">
      <c r="A352" s="5" t="s">
        <v>69</v>
      </c>
      <c r="B352" s="5" t="s">
        <v>65</v>
      </c>
      <c r="C352" s="5" t="s">
        <v>53</v>
      </c>
      <c r="D352" s="5">
        <v>9494696</v>
      </c>
      <c r="E352" s="5">
        <v>681967</v>
      </c>
      <c r="F352" s="5">
        <v>2093742776</v>
      </c>
      <c r="G352" s="5">
        <v>7.1826101646645668</v>
      </c>
      <c r="H352" s="5">
        <v>3070.152626153465</v>
      </c>
      <c r="I352" s="5">
        <v>220.5170945968149</v>
      </c>
    </row>
    <row r="353" spans="1:9" x14ac:dyDescent="0.2">
      <c r="A353" s="5" t="s">
        <v>69</v>
      </c>
      <c r="B353" s="5" t="s">
        <v>65</v>
      </c>
      <c r="C353" s="5" t="s">
        <v>54</v>
      </c>
      <c r="D353" s="5">
        <v>9477459</v>
      </c>
      <c r="E353" s="5">
        <v>678794</v>
      </c>
      <c r="F353" s="5">
        <v>2106596439</v>
      </c>
      <c r="G353" s="5">
        <v>7.1621940015778494</v>
      </c>
      <c r="H353" s="5">
        <v>3103.4399817912358</v>
      </c>
      <c r="I353" s="5">
        <v>222.27439221842056</v>
      </c>
    </row>
    <row r="354" spans="1:9" x14ac:dyDescent="0.2">
      <c r="A354" s="5" t="s">
        <v>69</v>
      </c>
      <c r="B354" s="5" t="s">
        <v>65</v>
      </c>
      <c r="C354" s="5" t="s">
        <v>55</v>
      </c>
      <c r="D354" s="5">
        <v>9476757</v>
      </c>
      <c r="E354" s="5">
        <v>675314</v>
      </c>
      <c r="F354" s="5">
        <v>2109911197</v>
      </c>
      <c r="G354" s="5">
        <v>7.126003125330743</v>
      </c>
      <c r="H354" s="5">
        <v>3124.340968793776</v>
      </c>
      <c r="I354" s="5">
        <v>222.6406350822333</v>
      </c>
    </row>
    <row r="355" spans="1:9" x14ac:dyDescent="0.2">
      <c r="A355" s="5" t="s">
        <v>69</v>
      </c>
      <c r="B355" s="5" t="s">
        <v>65</v>
      </c>
      <c r="C355" s="5" t="s">
        <v>56</v>
      </c>
      <c r="D355" s="5">
        <v>9485578</v>
      </c>
      <c r="E355" s="5">
        <v>669497</v>
      </c>
      <c r="F355" s="5">
        <v>2096647187</v>
      </c>
      <c r="G355" s="5">
        <v>7.0580517075501357</v>
      </c>
      <c r="H355" s="5">
        <v>3131.6752532124865</v>
      </c>
      <c r="I355" s="5">
        <v>221.03525868428892</v>
      </c>
    </row>
    <row r="356" spans="1:9" x14ac:dyDescent="0.2">
      <c r="A356" s="5" t="s">
        <v>69</v>
      </c>
      <c r="B356" s="5" t="s">
        <v>65</v>
      </c>
      <c r="C356" s="5" t="s">
        <v>57</v>
      </c>
      <c r="D356" s="5">
        <v>9502087</v>
      </c>
      <c r="E356" s="5">
        <v>663425</v>
      </c>
      <c r="F356" s="5">
        <v>2071600645</v>
      </c>
      <c r="G356" s="5">
        <v>6.9818872422447829</v>
      </c>
      <c r="H356" s="5">
        <v>3122.5845348004673</v>
      </c>
      <c r="I356" s="5">
        <v>218.01533126354241</v>
      </c>
    </row>
    <row r="357" spans="1:9" x14ac:dyDescent="0.2">
      <c r="A357" s="5" t="s">
        <v>69</v>
      </c>
      <c r="B357" s="5" t="s">
        <v>65</v>
      </c>
      <c r="C357" s="5" t="s">
        <v>58</v>
      </c>
      <c r="D357" s="5">
        <v>9529747</v>
      </c>
      <c r="E357" s="5">
        <v>656316</v>
      </c>
      <c r="F357" s="5">
        <v>2068730223</v>
      </c>
      <c r="G357" s="5">
        <v>6.8870243879506976</v>
      </c>
      <c r="H357" s="5">
        <v>3152.0338114566762</v>
      </c>
      <c r="I357" s="5">
        <v>217.08133731147322</v>
      </c>
    </row>
    <row r="358" spans="1:9" x14ac:dyDescent="0.2">
      <c r="A358" s="5" t="s">
        <v>69</v>
      </c>
      <c r="B358" s="5" t="s">
        <v>65</v>
      </c>
      <c r="C358" s="5" t="s">
        <v>59</v>
      </c>
      <c r="D358" s="5">
        <v>9570513</v>
      </c>
      <c r="E358" s="5">
        <v>657721</v>
      </c>
      <c r="F358" s="5">
        <v>2098611661</v>
      </c>
      <c r="G358" s="5">
        <v>6.8723693285824909</v>
      </c>
      <c r="H358" s="5">
        <v>3190.7323333145819</v>
      </c>
      <c r="I358" s="5">
        <v>219.27891023187576</v>
      </c>
    </row>
    <row r="359" spans="1:9" x14ac:dyDescent="0.2">
      <c r="A359" s="5" t="s">
        <v>69</v>
      </c>
      <c r="B359" s="5" t="s">
        <v>65</v>
      </c>
      <c r="C359" s="5" t="s">
        <v>60</v>
      </c>
      <c r="D359" s="5">
        <v>9620427</v>
      </c>
      <c r="E359" s="5">
        <v>661317</v>
      </c>
      <c r="F359" s="5">
        <v>2140128686</v>
      </c>
      <c r="G359" s="5">
        <v>6.8740919711775783</v>
      </c>
      <c r="H359" s="5">
        <v>3236.1616078219672</v>
      </c>
      <c r="I359" s="5">
        <v>222.45672525762109</v>
      </c>
    </row>
    <row r="360" spans="1:9" x14ac:dyDescent="0.2">
      <c r="A360" s="5" t="s">
        <v>69</v>
      </c>
      <c r="B360" s="5" t="s">
        <v>65</v>
      </c>
      <c r="C360" s="5" t="s">
        <v>61</v>
      </c>
      <c r="D360" s="5">
        <v>9676053</v>
      </c>
      <c r="E360" s="5">
        <v>661343</v>
      </c>
      <c r="F360" s="5">
        <v>2164074858</v>
      </c>
      <c r="G360" s="5">
        <v>6.8348426781043878</v>
      </c>
      <c r="H360" s="5">
        <v>3272.2427817335333</v>
      </c>
      <c r="I360" s="5">
        <v>223.65264617711375</v>
      </c>
    </row>
    <row r="361" spans="1:9" x14ac:dyDescent="0.2">
      <c r="A361" s="5" t="s">
        <v>69</v>
      </c>
      <c r="B361" s="5" t="s">
        <v>65</v>
      </c>
      <c r="C361" s="5" t="s">
        <v>62</v>
      </c>
      <c r="D361" s="5">
        <v>9732608</v>
      </c>
      <c r="E361" s="5">
        <v>665196</v>
      </c>
      <c r="F361" s="5">
        <v>2203483406</v>
      </c>
      <c r="G361" s="5">
        <v>6.8347148061444578</v>
      </c>
      <c r="H361" s="5">
        <v>3312.5325558181348</v>
      </c>
      <c r="I361" s="5">
        <v>226.40215305085749</v>
      </c>
    </row>
    <row r="362" spans="1:9" x14ac:dyDescent="0.2">
      <c r="A362" s="5" t="s">
        <v>70</v>
      </c>
      <c r="B362" s="5" t="s">
        <v>44</v>
      </c>
      <c r="C362" s="5" t="s">
        <v>45</v>
      </c>
      <c r="D362" s="5">
        <v>2329637</v>
      </c>
      <c r="E362" s="5">
        <v>7324</v>
      </c>
      <c r="F362" s="5">
        <v>141645647</v>
      </c>
      <c r="G362" s="5">
        <v>0.3143837430466635</v>
      </c>
      <c r="H362" s="5">
        <v>19339.929956308028</v>
      </c>
      <c r="I362" s="5">
        <v>60.801595699244132</v>
      </c>
    </row>
    <row r="363" spans="1:9" x14ac:dyDescent="0.2">
      <c r="A363" s="5" t="s">
        <v>70</v>
      </c>
      <c r="B363" s="5" t="s">
        <v>44</v>
      </c>
      <c r="C363" s="5" t="s">
        <v>46</v>
      </c>
      <c r="D363" s="5">
        <v>2348121</v>
      </c>
      <c r="E363" s="5">
        <v>7463</v>
      </c>
      <c r="F363" s="5">
        <v>140414883</v>
      </c>
      <c r="G363" s="5">
        <v>0.31782859571546779</v>
      </c>
      <c r="H363" s="5">
        <v>18814.80410022779</v>
      </c>
      <c r="I363" s="5">
        <v>59.798827658370243</v>
      </c>
    </row>
    <row r="364" spans="1:9" x14ac:dyDescent="0.2">
      <c r="A364" s="5" t="s">
        <v>70</v>
      </c>
      <c r="B364" s="5" t="s">
        <v>44</v>
      </c>
      <c r="C364" s="5" t="s">
        <v>47</v>
      </c>
      <c r="D364" s="5">
        <v>2363991</v>
      </c>
      <c r="E364" s="5">
        <v>7673</v>
      </c>
      <c r="F364" s="5">
        <v>143852223</v>
      </c>
      <c r="G364" s="5">
        <v>0.32457822385956631</v>
      </c>
      <c r="H364" s="5">
        <v>18747.846083670011</v>
      </c>
      <c r="I364" s="5">
        <v>60.851425830301388</v>
      </c>
    </row>
    <row r="365" spans="1:9" x14ac:dyDescent="0.2">
      <c r="A365" s="5" t="s">
        <v>70</v>
      </c>
      <c r="B365" s="5" t="s">
        <v>44</v>
      </c>
      <c r="C365" s="5" t="s">
        <v>48</v>
      </c>
      <c r="D365" s="5">
        <v>2374227</v>
      </c>
      <c r="E365" s="5">
        <v>7882</v>
      </c>
      <c r="F365" s="5">
        <v>155906569</v>
      </c>
      <c r="G365" s="5">
        <v>0.33198173552907956</v>
      </c>
      <c r="H365" s="5">
        <v>19780.077264653642</v>
      </c>
      <c r="I365" s="5">
        <v>65.666243792190045</v>
      </c>
    </row>
    <row r="366" spans="1:9" x14ac:dyDescent="0.2">
      <c r="A366" s="5" t="s">
        <v>70</v>
      </c>
      <c r="B366" s="5" t="s">
        <v>44</v>
      </c>
      <c r="C366" s="5" t="s">
        <v>49</v>
      </c>
      <c r="D366" s="5">
        <v>2378506</v>
      </c>
      <c r="E366" s="5">
        <v>8022</v>
      </c>
      <c r="F366" s="5">
        <v>161156469</v>
      </c>
      <c r="G366" s="5">
        <v>0.3372705387331375</v>
      </c>
      <c r="H366" s="5">
        <v>20089.313014210918</v>
      </c>
      <c r="I366" s="5">
        <v>67.755334230815478</v>
      </c>
    </row>
    <row r="367" spans="1:9" x14ac:dyDescent="0.2">
      <c r="A367" s="5" t="s">
        <v>70</v>
      </c>
      <c r="B367" s="5" t="s">
        <v>44</v>
      </c>
      <c r="C367" s="5" t="s">
        <v>50</v>
      </c>
      <c r="D367" s="5">
        <v>2373755</v>
      </c>
      <c r="E367" s="5">
        <v>8076</v>
      </c>
      <c r="F367" s="5">
        <v>165639557</v>
      </c>
      <c r="G367" s="5">
        <v>0.3402204524055768</v>
      </c>
      <c r="H367" s="5">
        <v>20510.098687469042</v>
      </c>
      <c r="I367" s="5">
        <v>69.77955054333745</v>
      </c>
    </row>
    <row r="368" spans="1:9" x14ac:dyDescent="0.2">
      <c r="A368" s="5" t="s">
        <v>70</v>
      </c>
      <c r="B368" s="5" t="s">
        <v>44</v>
      </c>
      <c r="C368" s="5" t="s">
        <v>51</v>
      </c>
      <c r="D368" s="5">
        <v>2362400</v>
      </c>
      <c r="E368" s="5">
        <v>8316</v>
      </c>
      <c r="F368" s="5">
        <v>167574286</v>
      </c>
      <c r="G368" s="5">
        <v>0.35201490010159159</v>
      </c>
      <c r="H368" s="5">
        <v>20150.828042328041</v>
      </c>
      <c r="I368" s="5">
        <v>70.933917202844569</v>
      </c>
    </row>
    <row r="369" spans="1:9" x14ac:dyDescent="0.2">
      <c r="A369" s="5" t="s">
        <v>70</v>
      </c>
      <c r="B369" s="5" t="s">
        <v>44</v>
      </c>
      <c r="C369" s="5" t="s">
        <v>52</v>
      </c>
      <c r="D369" s="5">
        <v>2352762</v>
      </c>
      <c r="E369" s="5">
        <v>8814</v>
      </c>
      <c r="F369" s="5">
        <v>169826854</v>
      </c>
      <c r="G369" s="5">
        <v>0.37462352758162532</v>
      </c>
      <c r="H369" s="5">
        <v>19267.852734286364</v>
      </c>
      <c r="I369" s="5">
        <v>72.181909602416226</v>
      </c>
    </row>
    <row r="370" spans="1:9" x14ac:dyDescent="0.2">
      <c r="A370" s="5" t="s">
        <v>70</v>
      </c>
      <c r="B370" s="5" t="s">
        <v>44</v>
      </c>
      <c r="C370" s="5" t="s">
        <v>53</v>
      </c>
      <c r="D370" s="5">
        <v>2351331</v>
      </c>
      <c r="E370" s="5">
        <v>9807</v>
      </c>
      <c r="F370" s="5">
        <v>175256670</v>
      </c>
      <c r="G370" s="5">
        <v>0.41708292026941335</v>
      </c>
      <c r="H370" s="5">
        <v>17870.56898133986</v>
      </c>
      <c r="I370" s="5">
        <v>74.535090976132238</v>
      </c>
    </row>
    <row r="371" spans="1:9" x14ac:dyDescent="0.2">
      <c r="A371" s="5" t="s">
        <v>70</v>
      </c>
      <c r="B371" s="5" t="s">
        <v>44</v>
      </c>
      <c r="C371" s="5" t="s">
        <v>54</v>
      </c>
      <c r="D371" s="5">
        <v>2360105</v>
      </c>
      <c r="E371" s="5">
        <v>11621</v>
      </c>
      <c r="F371" s="5">
        <v>180397908</v>
      </c>
      <c r="G371" s="5">
        <v>0.49239334690617581</v>
      </c>
      <c r="H371" s="5">
        <v>15523.441011961106</v>
      </c>
      <c r="I371" s="5">
        <v>76.436390753801206</v>
      </c>
    </row>
    <row r="372" spans="1:9" x14ac:dyDescent="0.2">
      <c r="A372" s="5" t="s">
        <v>70</v>
      </c>
      <c r="B372" s="5" t="s">
        <v>44</v>
      </c>
      <c r="C372" s="5" t="s">
        <v>55</v>
      </c>
      <c r="D372" s="5">
        <v>2380596</v>
      </c>
      <c r="E372" s="5">
        <v>13671</v>
      </c>
      <c r="F372" s="5">
        <v>195263465</v>
      </c>
      <c r="G372" s="5">
        <v>0.57426795642771811</v>
      </c>
      <c r="H372" s="5">
        <v>14283.04184039207</v>
      </c>
      <c r="I372" s="5">
        <v>82.022932492535489</v>
      </c>
    </row>
    <row r="373" spans="1:9" x14ac:dyDescent="0.2">
      <c r="A373" s="5" t="s">
        <v>70</v>
      </c>
      <c r="B373" s="5" t="s">
        <v>44</v>
      </c>
      <c r="C373" s="5" t="s">
        <v>56</v>
      </c>
      <c r="D373" s="5">
        <v>2403417</v>
      </c>
      <c r="E373" s="5">
        <v>15550</v>
      </c>
      <c r="F373" s="5">
        <v>208328034</v>
      </c>
      <c r="G373" s="5">
        <v>0.64699550681384044</v>
      </c>
      <c r="H373" s="5">
        <v>13397.301221864951</v>
      </c>
      <c r="I373" s="5">
        <v>86.679936939781982</v>
      </c>
    </row>
    <row r="374" spans="1:9" x14ac:dyDescent="0.2">
      <c r="A374" s="5" t="s">
        <v>70</v>
      </c>
      <c r="B374" s="5" t="s">
        <v>44</v>
      </c>
      <c r="C374" s="5" t="s">
        <v>57</v>
      </c>
      <c r="D374" s="5">
        <v>2424934</v>
      </c>
      <c r="E374" s="5">
        <v>17253</v>
      </c>
      <c r="F374" s="5">
        <v>227011196</v>
      </c>
      <c r="G374" s="5">
        <v>0.7114832816068396</v>
      </c>
      <c r="H374" s="5">
        <v>13157.7810235901</v>
      </c>
      <c r="I374" s="5">
        <v>93.615412213280862</v>
      </c>
    </row>
    <row r="375" spans="1:9" x14ac:dyDescent="0.2">
      <c r="A375" s="5" t="s">
        <v>70</v>
      </c>
      <c r="B375" s="5" t="s">
        <v>44</v>
      </c>
      <c r="C375" s="5" t="s">
        <v>58</v>
      </c>
      <c r="D375" s="5">
        <v>2444245</v>
      </c>
      <c r="E375" s="5">
        <v>18476</v>
      </c>
      <c r="F375" s="5">
        <v>245299373</v>
      </c>
      <c r="G375" s="5">
        <v>0.75589803804446776</v>
      </c>
      <c r="H375" s="5">
        <v>13276.649328859061</v>
      </c>
      <c r="I375" s="5">
        <v>100.35793179488962</v>
      </c>
    </row>
    <row r="376" spans="1:9" x14ac:dyDescent="0.2">
      <c r="A376" s="5" t="s">
        <v>70</v>
      </c>
      <c r="B376" s="5" t="s">
        <v>44</v>
      </c>
      <c r="C376" s="5" t="s">
        <v>59</v>
      </c>
      <c r="D376" s="5">
        <v>2458563</v>
      </c>
      <c r="E376" s="5">
        <v>19161</v>
      </c>
      <c r="F376" s="5">
        <v>256846884</v>
      </c>
      <c r="G376" s="5">
        <v>0.7793576979723521</v>
      </c>
      <c r="H376" s="5">
        <v>13404.670111163301</v>
      </c>
      <c r="I376" s="5">
        <v>104.47032839915023</v>
      </c>
    </row>
    <row r="377" spans="1:9" x14ac:dyDescent="0.2">
      <c r="A377" s="5" t="s">
        <v>70</v>
      </c>
      <c r="B377" s="5" t="s">
        <v>44</v>
      </c>
      <c r="C377" s="5" t="s">
        <v>60</v>
      </c>
      <c r="D377" s="5">
        <v>2470369</v>
      </c>
      <c r="E377" s="5">
        <v>19820</v>
      </c>
      <c r="F377" s="5">
        <v>261061903</v>
      </c>
      <c r="G377" s="5">
        <v>0.80230929063633816</v>
      </c>
      <c r="H377" s="5">
        <v>13171.639909182644</v>
      </c>
      <c r="I377" s="5">
        <v>105.67729072053608</v>
      </c>
    </row>
    <row r="378" spans="1:9" x14ac:dyDescent="0.2">
      <c r="A378" s="5" t="s">
        <v>70</v>
      </c>
      <c r="B378" s="5" t="s">
        <v>44</v>
      </c>
      <c r="C378" s="5" t="s">
        <v>61</v>
      </c>
      <c r="D378" s="5">
        <v>2481500</v>
      </c>
      <c r="E378" s="5">
        <v>20026</v>
      </c>
      <c r="F378" s="5">
        <v>263206072</v>
      </c>
      <c r="G378" s="5">
        <v>0.80701188797098533</v>
      </c>
      <c r="H378" s="5">
        <v>13143.217417357435</v>
      </c>
      <c r="I378" s="5">
        <v>106.06732701994761</v>
      </c>
    </row>
    <row r="379" spans="1:9" x14ac:dyDescent="0.2">
      <c r="A379" s="5" t="s">
        <v>70</v>
      </c>
      <c r="B379" s="5" t="s">
        <v>44</v>
      </c>
      <c r="C379" s="5" t="s">
        <v>62</v>
      </c>
      <c r="D379" s="5">
        <v>2491295</v>
      </c>
      <c r="E379" s="5">
        <v>20056</v>
      </c>
      <c r="F379" s="5">
        <v>267028312</v>
      </c>
      <c r="G379" s="5">
        <v>0.80504316028410927</v>
      </c>
      <c r="H379" s="5">
        <v>13314.13601914639</v>
      </c>
      <c r="I379" s="5">
        <v>107.18454137306099</v>
      </c>
    </row>
    <row r="380" spans="1:9" x14ac:dyDescent="0.2">
      <c r="A380" s="5" t="s">
        <v>70</v>
      </c>
      <c r="B380" s="5" t="s">
        <v>63</v>
      </c>
      <c r="C380" s="5" t="s">
        <v>45</v>
      </c>
      <c r="D380" s="5">
        <v>2329637</v>
      </c>
      <c r="E380" s="5">
        <v>88658</v>
      </c>
      <c r="F380" s="5">
        <v>227013513</v>
      </c>
      <c r="G380" s="5">
        <v>3.8056572762194283</v>
      </c>
      <c r="H380" s="5">
        <v>2560.5530578176813</v>
      </c>
      <c r="I380" s="5">
        <v>97.445873756297658</v>
      </c>
    </row>
    <row r="381" spans="1:9" x14ac:dyDescent="0.2">
      <c r="A381" s="5" t="s">
        <v>70</v>
      </c>
      <c r="B381" s="5" t="s">
        <v>63</v>
      </c>
      <c r="C381" s="5" t="s">
        <v>46</v>
      </c>
      <c r="D381" s="5">
        <v>2348121</v>
      </c>
      <c r="E381" s="5">
        <v>87476</v>
      </c>
      <c r="F381" s="5">
        <v>228925860</v>
      </c>
      <c r="G381" s="5">
        <v>3.725361682809361</v>
      </c>
      <c r="H381" s="5">
        <v>2617.0133522337555</v>
      </c>
      <c r="I381" s="5">
        <v>97.493212658121109</v>
      </c>
    </row>
    <row r="382" spans="1:9" x14ac:dyDescent="0.2">
      <c r="A382" s="5" t="s">
        <v>70</v>
      </c>
      <c r="B382" s="5" t="s">
        <v>63</v>
      </c>
      <c r="C382" s="5" t="s">
        <v>47</v>
      </c>
      <c r="D382" s="5">
        <v>2363991</v>
      </c>
      <c r="E382" s="5">
        <v>88996</v>
      </c>
      <c r="F382" s="5">
        <v>234580850</v>
      </c>
      <c r="G382" s="5">
        <v>3.7646505422397971</v>
      </c>
      <c r="H382" s="5">
        <v>2635.8583531844129</v>
      </c>
      <c r="I382" s="5">
        <v>99.230855785829974</v>
      </c>
    </row>
    <row r="383" spans="1:9" x14ac:dyDescent="0.2">
      <c r="A383" s="5" t="s">
        <v>70</v>
      </c>
      <c r="B383" s="5" t="s">
        <v>63</v>
      </c>
      <c r="C383" s="5" t="s">
        <v>48</v>
      </c>
      <c r="D383" s="5">
        <v>2374227</v>
      </c>
      <c r="E383" s="5">
        <v>89419</v>
      </c>
      <c r="F383" s="5">
        <v>237219237</v>
      </c>
      <c r="G383" s="5">
        <v>3.7662363371320433</v>
      </c>
      <c r="H383" s="5">
        <v>2652.895212426889</v>
      </c>
      <c r="I383" s="5">
        <v>99.914303476457818</v>
      </c>
    </row>
    <row r="384" spans="1:9" x14ac:dyDescent="0.2">
      <c r="A384" s="5" t="s">
        <v>70</v>
      </c>
      <c r="B384" s="5" t="s">
        <v>63</v>
      </c>
      <c r="C384" s="5" t="s">
        <v>49</v>
      </c>
      <c r="D384" s="5">
        <v>2378506</v>
      </c>
      <c r="E384" s="5">
        <v>88892</v>
      </c>
      <c r="F384" s="5">
        <v>238100477</v>
      </c>
      <c r="G384" s="5">
        <v>3.7373040051191797</v>
      </c>
      <c r="H384" s="5">
        <v>2678.5366174683886</v>
      </c>
      <c r="I384" s="5">
        <v>100.1050562832299</v>
      </c>
    </row>
    <row r="385" spans="1:9" x14ac:dyDescent="0.2">
      <c r="A385" s="5" t="s">
        <v>70</v>
      </c>
      <c r="B385" s="5" t="s">
        <v>63</v>
      </c>
      <c r="C385" s="5" t="s">
        <v>50</v>
      </c>
      <c r="D385" s="5">
        <v>2373755</v>
      </c>
      <c r="E385" s="5">
        <v>85811</v>
      </c>
      <c r="F385" s="5">
        <v>232355907</v>
      </c>
      <c r="G385" s="5">
        <v>3.6149897525229013</v>
      </c>
      <c r="H385" s="5">
        <v>2707.7636550092648</v>
      </c>
      <c r="I385" s="5">
        <v>97.885378651124483</v>
      </c>
    </row>
    <row r="386" spans="1:9" x14ac:dyDescent="0.2">
      <c r="A386" s="5" t="s">
        <v>70</v>
      </c>
      <c r="B386" s="5" t="s">
        <v>63</v>
      </c>
      <c r="C386" s="5" t="s">
        <v>51</v>
      </c>
      <c r="D386" s="5">
        <v>2362400</v>
      </c>
      <c r="E386" s="5">
        <v>83052</v>
      </c>
      <c r="F386" s="5">
        <v>227875613</v>
      </c>
      <c r="G386" s="5">
        <v>3.5155773789366744</v>
      </c>
      <c r="H386" s="5">
        <v>2743.7703246159031</v>
      </c>
      <c r="I386" s="5">
        <v>96.45936886217406</v>
      </c>
    </row>
    <row r="387" spans="1:9" x14ac:dyDescent="0.2">
      <c r="A387" s="5" t="s">
        <v>70</v>
      </c>
      <c r="B387" s="5" t="s">
        <v>63</v>
      </c>
      <c r="C387" s="5" t="s">
        <v>52</v>
      </c>
      <c r="D387" s="5">
        <v>2352762</v>
      </c>
      <c r="E387" s="5">
        <v>81164</v>
      </c>
      <c r="F387" s="5">
        <v>224735931</v>
      </c>
      <c r="G387" s="5">
        <v>3.4497326971448876</v>
      </c>
      <c r="H387" s="5">
        <v>2768.9114755310238</v>
      </c>
      <c r="I387" s="5">
        <v>95.520044526390691</v>
      </c>
    </row>
    <row r="388" spans="1:9" x14ac:dyDescent="0.2">
      <c r="A388" s="5" t="s">
        <v>70</v>
      </c>
      <c r="B388" s="5" t="s">
        <v>63</v>
      </c>
      <c r="C388" s="5" t="s">
        <v>53</v>
      </c>
      <c r="D388" s="5">
        <v>2351331</v>
      </c>
      <c r="E388" s="5">
        <v>79662</v>
      </c>
      <c r="F388" s="5">
        <v>220899960</v>
      </c>
      <c r="G388" s="5">
        <v>3.3879534612523714</v>
      </c>
      <c r="H388" s="5">
        <v>2772.965278300821</v>
      </c>
      <c r="I388" s="5">
        <v>93.946773125519115</v>
      </c>
    </row>
    <row r="389" spans="1:9" x14ac:dyDescent="0.2">
      <c r="A389" s="5" t="s">
        <v>70</v>
      </c>
      <c r="B389" s="5" t="s">
        <v>63</v>
      </c>
      <c r="C389" s="5" t="s">
        <v>54</v>
      </c>
      <c r="D389" s="5">
        <v>2360105</v>
      </c>
      <c r="E389" s="5">
        <v>81419</v>
      </c>
      <c r="F389" s="5">
        <v>224689644</v>
      </c>
      <c r="G389" s="5">
        <v>3.4498041400700394</v>
      </c>
      <c r="H389" s="5">
        <v>2759.6708876306511</v>
      </c>
      <c r="I389" s="5">
        <v>95.20324053378981</v>
      </c>
    </row>
    <row r="390" spans="1:9" x14ac:dyDescent="0.2">
      <c r="A390" s="5" t="s">
        <v>70</v>
      </c>
      <c r="B390" s="5" t="s">
        <v>63</v>
      </c>
      <c r="C390" s="5" t="s">
        <v>55</v>
      </c>
      <c r="D390" s="5">
        <v>2380596</v>
      </c>
      <c r="E390" s="5">
        <v>80652</v>
      </c>
      <c r="F390" s="5">
        <v>220807713</v>
      </c>
      <c r="G390" s="5">
        <v>3.3878910995397793</v>
      </c>
      <c r="H390" s="5">
        <v>2737.7834771611369</v>
      </c>
      <c r="I390" s="5">
        <v>92.753122747412831</v>
      </c>
    </row>
    <row r="391" spans="1:9" x14ac:dyDescent="0.2">
      <c r="A391" s="5" t="s">
        <v>70</v>
      </c>
      <c r="B391" s="5" t="s">
        <v>63</v>
      </c>
      <c r="C391" s="5" t="s">
        <v>56</v>
      </c>
      <c r="D391" s="5">
        <v>2403417</v>
      </c>
      <c r="E391" s="5">
        <v>80515</v>
      </c>
      <c r="F391" s="5">
        <v>218582203</v>
      </c>
      <c r="G391" s="5">
        <v>3.350022072740602</v>
      </c>
      <c r="H391" s="5">
        <v>2714.8010060237225</v>
      </c>
      <c r="I391" s="5">
        <v>90.94643293277862</v>
      </c>
    </row>
    <row r="392" spans="1:9" x14ac:dyDescent="0.2">
      <c r="A392" s="5" t="s">
        <v>70</v>
      </c>
      <c r="B392" s="5" t="s">
        <v>63</v>
      </c>
      <c r="C392" s="5" t="s">
        <v>57</v>
      </c>
      <c r="D392" s="5">
        <v>2424934</v>
      </c>
      <c r="E392" s="5">
        <v>80475</v>
      </c>
      <c r="F392" s="5">
        <v>217519369</v>
      </c>
      <c r="G392" s="5">
        <v>3.3186470229705223</v>
      </c>
      <c r="H392" s="5">
        <v>2702.9433861447656</v>
      </c>
      <c r="I392" s="5">
        <v>89.701150216871881</v>
      </c>
    </row>
    <row r="393" spans="1:9" x14ac:dyDescent="0.2">
      <c r="A393" s="5" t="s">
        <v>70</v>
      </c>
      <c r="B393" s="5" t="s">
        <v>63</v>
      </c>
      <c r="C393" s="5" t="s">
        <v>58</v>
      </c>
      <c r="D393" s="5">
        <v>2444245</v>
      </c>
      <c r="E393" s="5">
        <v>80289</v>
      </c>
      <c r="F393" s="5">
        <v>216220568</v>
      </c>
      <c r="G393" s="5">
        <v>3.2848180112877392</v>
      </c>
      <c r="H393" s="5">
        <v>2693.0285344194099</v>
      </c>
      <c r="I393" s="5">
        <v>88.461086347727004</v>
      </c>
    </row>
    <row r="394" spans="1:9" x14ac:dyDescent="0.2">
      <c r="A394" s="5" t="s">
        <v>70</v>
      </c>
      <c r="B394" s="5" t="s">
        <v>63</v>
      </c>
      <c r="C394" s="5" t="s">
        <v>59</v>
      </c>
      <c r="D394" s="5">
        <v>2458563</v>
      </c>
      <c r="E394" s="5">
        <v>80473</v>
      </c>
      <c r="F394" s="5">
        <v>218114094</v>
      </c>
      <c r="G394" s="5">
        <v>3.2731721741521369</v>
      </c>
      <c r="H394" s="5">
        <v>2710.4009295043056</v>
      </c>
      <c r="I394" s="5">
        <v>88.716089032495816</v>
      </c>
    </row>
    <row r="395" spans="1:9" x14ac:dyDescent="0.2">
      <c r="A395" s="5" t="s">
        <v>70</v>
      </c>
      <c r="B395" s="5" t="s">
        <v>63</v>
      </c>
      <c r="C395" s="5" t="s">
        <v>60</v>
      </c>
      <c r="D395" s="5">
        <v>2470369</v>
      </c>
      <c r="E395" s="5">
        <v>81354</v>
      </c>
      <c r="F395" s="5">
        <v>221164119</v>
      </c>
      <c r="G395" s="5">
        <v>3.2931922316058855</v>
      </c>
      <c r="H395" s="5">
        <v>2718.5401947046244</v>
      </c>
      <c r="I395" s="5">
        <v>89.526754505096207</v>
      </c>
    </row>
    <row r="396" spans="1:9" x14ac:dyDescent="0.2">
      <c r="A396" s="5" t="s">
        <v>70</v>
      </c>
      <c r="B396" s="5" t="s">
        <v>63</v>
      </c>
      <c r="C396" s="5" t="s">
        <v>61</v>
      </c>
      <c r="D396" s="5">
        <v>2481500</v>
      </c>
      <c r="E396" s="5">
        <v>80423</v>
      </c>
      <c r="F396" s="5">
        <v>220447411</v>
      </c>
      <c r="G396" s="5">
        <v>3.2409026798307474</v>
      </c>
      <c r="H396" s="5">
        <v>2741.0990761349367</v>
      </c>
      <c r="I396" s="5">
        <v>88.836353415273024</v>
      </c>
    </row>
    <row r="397" spans="1:9" x14ac:dyDescent="0.2">
      <c r="A397" s="5" t="s">
        <v>70</v>
      </c>
      <c r="B397" s="5" t="s">
        <v>63</v>
      </c>
      <c r="C397" s="5" t="s">
        <v>62</v>
      </c>
      <c r="D397" s="5">
        <v>2491295</v>
      </c>
      <c r="E397" s="5">
        <v>79694</v>
      </c>
      <c r="F397" s="5">
        <v>219313475</v>
      </c>
      <c r="G397" s="5">
        <v>3.1988985648026427</v>
      </c>
      <c r="H397" s="5">
        <v>2751.944625693277</v>
      </c>
      <c r="I397" s="5">
        <v>88.03191713546569</v>
      </c>
    </row>
    <row r="398" spans="1:9" x14ac:dyDescent="0.2">
      <c r="A398" s="5" t="s">
        <v>70</v>
      </c>
      <c r="B398" s="5" t="s">
        <v>64</v>
      </c>
      <c r="C398" s="5" t="s">
        <v>45</v>
      </c>
      <c r="D398" s="5">
        <v>1852405</v>
      </c>
      <c r="E398" s="5">
        <v>275224</v>
      </c>
      <c r="F398" s="5">
        <v>202396512</v>
      </c>
      <c r="G398" s="5">
        <v>14.857658017550158</v>
      </c>
      <c r="H398" s="5">
        <v>735.388309159085</v>
      </c>
      <c r="I398" s="5">
        <v>109.26148007590133</v>
      </c>
    </row>
    <row r="399" spans="1:9" x14ac:dyDescent="0.2">
      <c r="A399" s="5" t="s">
        <v>70</v>
      </c>
      <c r="B399" s="5" t="s">
        <v>64</v>
      </c>
      <c r="C399" s="5" t="s">
        <v>46</v>
      </c>
      <c r="D399" s="5">
        <v>1868487</v>
      </c>
      <c r="E399" s="5">
        <v>277943</v>
      </c>
      <c r="F399" s="5">
        <v>208753942</v>
      </c>
      <c r="G399" s="5">
        <v>14.875297500062885</v>
      </c>
      <c r="H399" s="5">
        <v>751.06745627700639</v>
      </c>
      <c r="I399" s="5">
        <v>111.72351854735945</v>
      </c>
    </row>
    <row r="400" spans="1:9" x14ac:dyDescent="0.2">
      <c r="A400" s="5" t="s">
        <v>70</v>
      </c>
      <c r="B400" s="5" t="s">
        <v>64</v>
      </c>
      <c r="C400" s="5" t="s">
        <v>47</v>
      </c>
      <c r="D400" s="5">
        <v>1881162</v>
      </c>
      <c r="E400" s="5">
        <v>276070</v>
      </c>
      <c r="F400" s="5">
        <v>205676569</v>
      </c>
      <c r="G400" s="5">
        <v>14.675503757783753</v>
      </c>
      <c r="H400" s="5">
        <v>745.01600680986701</v>
      </c>
      <c r="I400" s="5">
        <v>109.3348520754725</v>
      </c>
    </row>
    <row r="401" spans="1:9" x14ac:dyDescent="0.2">
      <c r="A401" s="5" t="s">
        <v>70</v>
      </c>
      <c r="B401" s="5" t="s">
        <v>64</v>
      </c>
      <c r="C401" s="5" t="s">
        <v>48</v>
      </c>
      <c r="D401" s="5">
        <v>1888623</v>
      </c>
      <c r="E401" s="5">
        <v>265512</v>
      </c>
      <c r="F401" s="5">
        <v>183377631</v>
      </c>
      <c r="G401" s="5">
        <v>14.058496587196068</v>
      </c>
      <c r="H401" s="5">
        <v>690.65665958600744</v>
      </c>
      <c r="I401" s="5">
        <v>97.095942917141215</v>
      </c>
    </row>
    <row r="402" spans="1:9" x14ac:dyDescent="0.2">
      <c r="A402" s="5" t="s">
        <v>70</v>
      </c>
      <c r="B402" s="5" t="s">
        <v>64</v>
      </c>
      <c r="C402" s="5" t="s">
        <v>49</v>
      </c>
      <c r="D402" s="5">
        <v>1890804</v>
      </c>
      <c r="E402" s="5">
        <v>264319</v>
      </c>
      <c r="F402" s="5">
        <v>179505633</v>
      </c>
      <c r="G402" s="5">
        <v>13.979185573967476</v>
      </c>
      <c r="H402" s="5">
        <v>679.12497020645503</v>
      </c>
      <c r="I402" s="5">
        <v>94.936139864311684</v>
      </c>
    </row>
    <row r="403" spans="1:9" x14ac:dyDescent="0.2">
      <c r="A403" s="5" t="s">
        <v>70</v>
      </c>
      <c r="B403" s="5" t="s">
        <v>64</v>
      </c>
      <c r="C403" s="5" t="s">
        <v>50</v>
      </c>
      <c r="D403" s="5">
        <v>1884891</v>
      </c>
      <c r="E403" s="5">
        <v>253657</v>
      </c>
      <c r="F403" s="5">
        <v>174305813</v>
      </c>
      <c r="G403" s="5">
        <v>13.457382946812309</v>
      </c>
      <c r="H403" s="5">
        <v>687.17131007620526</v>
      </c>
      <c r="I403" s="5">
        <v>92.47527469758198</v>
      </c>
    </row>
    <row r="404" spans="1:9" x14ac:dyDescent="0.2">
      <c r="A404" s="5" t="s">
        <v>70</v>
      </c>
      <c r="B404" s="5" t="s">
        <v>64</v>
      </c>
      <c r="C404" s="5" t="s">
        <v>51</v>
      </c>
      <c r="D404" s="5">
        <v>1873509</v>
      </c>
      <c r="E404" s="5">
        <v>242100</v>
      </c>
      <c r="F404" s="5">
        <v>165691659</v>
      </c>
      <c r="G404" s="5">
        <v>12.92227579371116</v>
      </c>
      <c r="H404" s="5">
        <v>684.39346964064441</v>
      </c>
      <c r="I404" s="5">
        <v>88.439211661112921</v>
      </c>
    </row>
    <row r="405" spans="1:9" x14ac:dyDescent="0.2">
      <c r="A405" s="5" t="s">
        <v>70</v>
      </c>
      <c r="B405" s="5" t="s">
        <v>64</v>
      </c>
      <c r="C405" s="5" t="s">
        <v>52</v>
      </c>
      <c r="D405" s="5">
        <v>1861693</v>
      </c>
      <c r="E405" s="5">
        <v>231738</v>
      </c>
      <c r="F405" s="5">
        <v>145203259</v>
      </c>
      <c r="G405" s="5">
        <v>12.44770217216265</v>
      </c>
      <c r="H405" s="5">
        <v>626.58372386056669</v>
      </c>
      <c r="I405" s="5">
        <v>77.995275805409378</v>
      </c>
    </row>
    <row r="406" spans="1:9" x14ac:dyDescent="0.2">
      <c r="A406" s="5" t="s">
        <v>70</v>
      </c>
      <c r="B406" s="5" t="s">
        <v>64</v>
      </c>
      <c r="C406" s="5" t="s">
        <v>53</v>
      </c>
      <c r="D406" s="5">
        <v>1854835</v>
      </c>
      <c r="E406" s="5">
        <v>222349</v>
      </c>
      <c r="F406" s="5">
        <v>137269511</v>
      </c>
      <c r="G406" s="5">
        <v>11.987535279418385</v>
      </c>
      <c r="H406" s="5">
        <v>617.36059528039254</v>
      </c>
      <c r="I406" s="5">
        <v>74.006319160464415</v>
      </c>
    </row>
    <row r="407" spans="1:9" x14ac:dyDescent="0.2">
      <c r="A407" s="5" t="s">
        <v>70</v>
      </c>
      <c r="B407" s="5" t="s">
        <v>64</v>
      </c>
      <c r="C407" s="5" t="s">
        <v>54</v>
      </c>
      <c r="D407" s="5">
        <v>1855143</v>
      </c>
      <c r="E407" s="5">
        <v>222361</v>
      </c>
      <c r="F407" s="5">
        <v>134227199</v>
      </c>
      <c r="G407" s="5">
        <v>11.986191900031427</v>
      </c>
      <c r="H407" s="5">
        <v>603.64541893587455</v>
      </c>
      <c r="I407" s="5">
        <v>72.354098309402559</v>
      </c>
    </row>
    <row r="408" spans="1:9" x14ac:dyDescent="0.2">
      <c r="A408" s="5" t="s">
        <v>70</v>
      </c>
      <c r="B408" s="5" t="s">
        <v>64</v>
      </c>
      <c r="C408" s="5" t="s">
        <v>55</v>
      </c>
      <c r="D408" s="5">
        <v>1863228</v>
      </c>
      <c r="E408" s="5">
        <v>231950</v>
      </c>
      <c r="F408" s="5">
        <v>167828247</v>
      </c>
      <c r="G408" s="5">
        <v>12.448825371881487</v>
      </c>
      <c r="H408" s="5">
        <v>723.55355464539775</v>
      </c>
      <c r="I408" s="5">
        <v>90.073918489846648</v>
      </c>
    </row>
    <row r="409" spans="1:9" x14ac:dyDescent="0.2">
      <c r="A409" s="5" t="s">
        <v>70</v>
      </c>
      <c r="B409" s="5" t="s">
        <v>64</v>
      </c>
      <c r="C409" s="5" t="s">
        <v>56</v>
      </c>
      <c r="D409" s="5">
        <v>1873308</v>
      </c>
      <c r="E409" s="5">
        <v>257427</v>
      </c>
      <c r="F409" s="5">
        <v>247977088</v>
      </c>
      <c r="G409" s="5">
        <v>13.741840636990821</v>
      </c>
      <c r="H409" s="5">
        <v>963.29090577134491</v>
      </c>
      <c r="I409" s="5">
        <v>132.37390114172362</v>
      </c>
    </row>
    <row r="410" spans="1:9" x14ac:dyDescent="0.2">
      <c r="A410" s="5" t="s">
        <v>70</v>
      </c>
      <c r="B410" s="5" t="s">
        <v>64</v>
      </c>
      <c r="C410" s="5" t="s">
        <v>57</v>
      </c>
      <c r="D410" s="5">
        <v>1882886</v>
      </c>
      <c r="E410" s="5">
        <v>259554</v>
      </c>
      <c r="F410" s="5">
        <v>257941627</v>
      </c>
      <c r="G410" s="5">
        <v>13.784902537912545</v>
      </c>
      <c r="H410" s="5">
        <v>993.7879092597301</v>
      </c>
      <c r="I410" s="5">
        <v>136.99269472501257</v>
      </c>
    </row>
    <row r="411" spans="1:9" x14ac:dyDescent="0.2">
      <c r="A411" s="5" t="s">
        <v>70</v>
      </c>
      <c r="B411" s="5" t="s">
        <v>64</v>
      </c>
      <c r="C411" s="5" t="s">
        <v>58</v>
      </c>
      <c r="D411" s="5">
        <v>1891757</v>
      </c>
      <c r="E411" s="5">
        <v>259977</v>
      </c>
      <c r="F411" s="5">
        <v>260578048</v>
      </c>
      <c r="G411" s="5">
        <v>13.742621277468512</v>
      </c>
      <c r="H411" s="5">
        <v>1002.3119275935949</v>
      </c>
      <c r="I411" s="5">
        <v>137.74393222808214</v>
      </c>
    </row>
    <row r="412" spans="1:9" x14ac:dyDescent="0.2">
      <c r="A412" s="5" t="s">
        <v>70</v>
      </c>
      <c r="B412" s="5" t="s">
        <v>64</v>
      </c>
      <c r="C412" s="5" t="s">
        <v>59</v>
      </c>
      <c r="D412" s="5">
        <v>1898602</v>
      </c>
      <c r="E412" s="5">
        <v>246470</v>
      </c>
      <c r="F412" s="5">
        <v>225122644</v>
      </c>
      <c r="G412" s="5">
        <v>12.981657029751364</v>
      </c>
      <c r="H412" s="5">
        <v>913.38760903963976</v>
      </c>
      <c r="I412" s="5">
        <v>118.5728467577723</v>
      </c>
    </row>
    <row r="413" spans="1:9" x14ac:dyDescent="0.2">
      <c r="A413" s="5" t="s">
        <v>70</v>
      </c>
      <c r="B413" s="5" t="s">
        <v>64</v>
      </c>
      <c r="C413" s="5" t="s">
        <v>60</v>
      </c>
      <c r="D413" s="5">
        <v>1905931</v>
      </c>
      <c r="E413" s="5">
        <v>213167</v>
      </c>
      <c r="F413" s="5">
        <v>141968266</v>
      </c>
      <c r="G413" s="5">
        <v>11.184402793175618</v>
      </c>
      <c r="H413" s="5">
        <v>665.995515253299</v>
      </c>
      <c r="I413" s="5">
        <v>74.48762101041433</v>
      </c>
    </row>
    <row r="414" spans="1:9" x14ac:dyDescent="0.2">
      <c r="A414" s="5" t="s">
        <v>70</v>
      </c>
      <c r="B414" s="5" t="s">
        <v>64</v>
      </c>
      <c r="C414" s="5" t="s">
        <v>61</v>
      </c>
      <c r="D414" s="5">
        <v>1914554</v>
      </c>
      <c r="E414" s="5">
        <v>205769</v>
      </c>
      <c r="F414" s="5">
        <v>133565760</v>
      </c>
      <c r="G414" s="5">
        <v>10.747620594665912</v>
      </c>
      <c r="H414" s="5">
        <v>649.10535600600679</v>
      </c>
      <c r="I414" s="5">
        <v>69.76338092318106</v>
      </c>
    </row>
    <row r="415" spans="1:9" x14ac:dyDescent="0.2">
      <c r="A415" s="5" t="s">
        <v>70</v>
      </c>
      <c r="B415" s="5" t="s">
        <v>64</v>
      </c>
      <c r="C415" s="5" t="s">
        <v>62</v>
      </c>
      <c r="D415" s="5">
        <v>1923294</v>
      </c>
      <c r="E415" s="5">
        <v>199269</v>
      </c>
      <c r="F415" s="5">
        <v>131032092</v>
      </c>
      <c r="G415" s="5">
        <v>10.360818470811015</v>
      </c>
      <c r="H415" s="5">
        <v>657.56385589329</v>
      </c>
      <c r="I415" s="5">
        <v>68.128997438769119</v>
      </c>
    </row>
    <row r="416" spans="1:9" x14ac:dyDescent="0.2">
      <c r="A416" s="5" t="s">
        <v>70</v>
      </c>
      <c r="B416" s="5" t="s">
        <v>65</v>
      </c>
      <c r="C416" s="5" t="s">
        <v>45</v>
      </c>
      <c r="D416" s="5">
        <v>1818017</v>
      </c>
      <c r="E416" s="5">
        <v>115276</v>
      </c>
      <c r="F416" s="5">
        <v>329244171</v>
      </c>
      <c r="G416" s="5">
        <v>6.3407547894216609</v>
      </c>
      <c r="H416" s="5">
        <v>2856.1380599604427</v>
      </c>
      <c r="I416" s="5">
        <v>181.10071082943668</v>
      </c>
    </row>
    <row r="417" spans="1:9" x14ac:dyDescent="0.2">
      <c r="A417" s="5" t="s">
        <v>70</v>
      </c>
      <c r="B417" s="5" t="s">
        <v>65</v>
      </c>
      <c r="C417" s="5" t="s">
        <v>46</v>
      </c>
      <c r="D417" s="5">
        <v>1835080</v>
      </c>
      <c r="E417" s="5">
        <v>114815</v>
      </c>
      <c r="F417" s="5">
        <v>334542482</v>
      </c>
      <c r="G417" s="5">
        <v>6.2566754582906468</v>
      </c>
      <c r="H417" s="5">
        <v>2913.7524016896746</v>
      </c>
      <c r="I417" s="5">
        <v>182.30403143187218</v>
      </c>
    </row>
    <row r="418" spans="1:9" x14ac:dyDescent="0.2">
      <c r="A418" s="5" t="s">
        <v>70</v>
      </c>
      <c r="B418" s="5" t="s">
        <v>65</v>
      </c>
      <c r="C418" s="5" t="s">
        <v>47</v>
      </c>
      <c r="D418" s="5">
        <v>1849052</v>
      </c>
      <c r="E418" s="5">
        <v>116406</v>
      </c>
      <c r="F418" s="5">
        <v>338499778</v>
      </c>
      <c r="G418" s="5">
        <v>6.295442204978551</v>
      </c>
      <c r="H418" s="5">
        <v>2907.9238011786333</v>
      </c>
      <c r="I418" s="5">
        <v>183.06666226801627</v>
      </c>
    </row>
    <row r="419" spans="1:9" x14ac:dyDescent="0.2">
      <c r="A419" s="5" t="s">
        <v>70</v>
      </c>
      <c r="B419" s="5" t="s">
        <v>65</v>
      </c>
      <c r="C419" s="5" t="s">
        <v>48</v>
      </c>
      <c r="D419" s="5">
        <v>1858032</v>
      </c>
      <c r="E419" s="5">
        <v>116025</v>
      </c>
      <c r="F419" s="5">
        <v>337384652</v>
      </c>
      <c r="G419" s="5">
        <v>6.2445103205972767</v>
      </c>
      <c r="H419" s="5">
        <v>2907.8616849816849</v>
      </c>
      <c r="I419" s="5">
        <v>181.5817230273752</v>
      </c>
    </row>
    <row r="420" spans="1:9" x14ac:dyDescent="0.2">
      <c r="A420" s="5" t="s">
        <v>70</v>
      </c>
      <c r="B420" s="5" t="s">
        <v>65</v>
      </c>
      <c r="C420" s="5" t="s">
        <v>49</v>
      </c>
      <c r="D420" s="5">
        <v>1861052</v>
      </c>
      <c r="E420" s="5">
        <v>113779</v>
      </c>
      <c r="F420" s="5">
        <v>333612532</v>
      </c>
      <c r="G420" s="5">
        <v>6.1136926856423139</v>
      </c>
      <c r="H420" s="5">
        <v>2932.109897256963</v>
      </c>
      <c r="I420" s="5">
        <v>179.26018832359333</v>
      </c>
    </row>
    <row r="421" spans="1:9" x14ac:dyDescent="0.2">
      <c r="A421" s="5" t="s">
        <v>70</v>
      </c>
      <c r="B421" s="5" t="s">
        <v>65</v>
      </c>
      <c r="C421" s="5" t="s">
        <v>50</v>
      </c>
      <c r="D421" s="5">
        <v>1854847</v>
      </c>
      <c r="E421" s="5">
        <v>107932</v>
      </c>
      <c r="F421" s="5">
        <v>320783903</v>
      </c>
      <c r="G421" s="5">
        <v>5.8189166006684108</v>
      </c>
      <c r="H421" s="5">
        <v>2972.0926416632697</v>
      </c>
      <c r="I421" s="5">
        <v>172.94359211298828</v>
      </c>
    </row>
    <row r="422" spans="1:9" x14ac:dyDescent="0.2">
      <c r="A422" s="5" t="s">
        <v>70</v>
      </c>
      <c r="B422" s="5" t="s">
        <v>65</v>
      </c>
      <c r="C422" s="5" t="s">
        <v>51</v>
      </c>
      <c r="D422" s="5">
        <v>1841985</v>
      </c>
      <c r="E422" s="5">
        <v>104227</v>
      </c>
      <c r="F422" s="5">
        <v>315436283</v>
      </c>
      <c r="G422" s="5">
        <v>5.6584065559708687</v>
      </c>
      <c r="H422" s="5">
        <v>3026.4354054131845</v>
      </c>
      <c r="I422" s="5">
        <v>171.24801939212318</v>
      </c>
    </row>
    <row r="423" spans="1:9" x14ac:dyDescent="0.2">
      <c r="A423" s="5" t="s">
        <v>70</v>
      </c>
      <c r="B423" s="5" t="s">
        <v>65</v>
      </c>
      <c r="C423" s="5" t="s">
        <v>52</v>
      </c>
      <c r="D423" s="5">
        <v>1828693</v>
      </c>
      <c r="E423" s="5">
        <v>100996</v>
      </c>
      <c r="F423" s="5">
        <v>309511195</v>
      </c>
      <c r="G423" s="5">
        <v>5.5228515666653726</v>
      </c>
      <c r="H423" s="5">
        <v>3064.5886470751316</v>
      </c>
      <c r="I423" s="5">
        <v>169.25268210683805</v>
      </c>
    </row>
    <row r="424" spans="1:9" x14ac:dyDescent="0.2">
      <c r="A424" s="5" t="s">
        <v>70</v>
      </c>
      <c r="B424" s="5" t="s">
        <v>65</v>
      </c>
      <c r="C424" s="5" t="s">
        <v>53</v>
      </c>
      <c r="D424" s="5">
        <v>1821124</v>
      </c>
      <c r="E424" s="5">
        <v>98087</v>
      </c>
      <c r="F424" s="5">
        <v>303064924</v>
      </c>
      <c r="G424" s="5">
        <v>5.3860692627190678</v>
      </c>
      <c r="H424" s="5">
        <v>3089.7562775903025</v>
      </c>
      <c r="I424" s="5">
        <v>166.41641316022412</v>
      </c>
    </row>
    <row r="425" spans="1:9" x14ac:dyDescent="0.2">
      <c r="A425" s="5" t="s">
        <v>70</v>
      </c>
      <c r="B425" s="5" t="s">
        <v>65</v>
      </c>
      <c r="C425" s="5" t="s">
        <v>54</v>
      </c>
      <c r="D425" s="5">
        <v>1822054</v>
      </c>
      <c r="E425" s="5">
        <v>99157</v>
      </c>
      <c r="F425" s="5">
        <v>304507565</v>
      </c>
      <c r="G425" s="5">
        <v>5.4420450766003645</v>
      </c>
      <c r="H425" s="5">
        <v>3070.9638754702137</v>
      </c>
      <c r="I425" s="5">
        <v>167.12323838920253</v>
      </c>
    </row>
    <row r="426" spans="1:9" x14ac:dyDescent="0.2">
      <c r="A426" s="5" t="s">
        <v>70</v>
      </c>
      <c r="B426" s="5" t="s">
        <v>65</v>
      </c>
      <c r="C426" s="5" t="s">
        <v>55</v>
      </c>
      <c r="D426" s="5">
        <v>1832142</v>
      </c>
      <c r="E426" s="5">
        <v>95957</v>
      </c>
      <c r="F426" s="5">
        <v>294303630</v>
      </c>
      <c r="G426" s="5">
        <v>5.2374215535695381</v>
      </c>
      <c r="H426" s="5">
        <v>3067.0365893056264</v>
      </c>
      <c r="I426" s="5">
        <v>160.63363538415692</v>
      </c>
    </row>
    <row r="427" spans="1:9" x14ac:dyDescent="0.2">
      <c r="A427" s="5" t="s">
        <v>70</v>
      </c>
      <c r="B427" s="5" t="s">
        <v>65</v>
      </c>
      <c r="C427" s="5" t="s">
        <v>56</v>
      </c>
      <c r="D427" s="5">
        <v>1844252</v>
      </c>
      <c r="E427" s="5">
        <v>93945</v>
      </c>
      <c r="F427" s="5">
        <v>289349196</v>
      </c>
      <c r="G427" s="5">
        <v>5.0939351021443926</v>
      </c>
      <c r="H427" s="5">
        <v>3079.9850550854221</v>
      </c>
      <c r="I427" s="5">
        <v>156.89243986179764</v>
      </c>
    </row>
    <row r="428" spans="1:9" x14ac:dyDescent="0.2">
      <c r="A428" s="5" t="s">
        <v>70</v>
      </c>
      <c r="B428" s="5" t="s">
        <v>65</v>
      </c>
      <c r="C428" s="5" t="s">
        <v>57</v>
      </c>
      <c r="D428" s="5">
        <v>1855516</v>
      </c>
      <c r="E428" s="5">
        <v>93041</v>
      </c>
      <c r="F428" s="5">
        <v>285460910</v>
      </c>
      <c r="G428" s="5">
        <v>5.0142925202477366</v>
      </c>
      <c r="H428" s="5">
        <v>3068.1195386979934</v>
      </c>
      <c r="I428" s="5">
        <v>153.84448854119285</v>
      </c>
    </row>
    <row r="429" spans="1:9" x14ac:dyDescent="0.2">
      <c r="A429" s="5" t="s">
        <v>70</v>
      </c>
      <c r="B429" s="5" t="s">
        <v>65</v>
      </c>
      <c r="C429" s="5" t="s">
        <v>58</v>
      </c>
      <c r="D429" s="5">
        <v>1865929</v>
      </c>
      <c r="E429" s="5">
        <v>91642</v>
      </c>
      <c r="F429" s="5">
        <v>286714085</v>
      </c>
      <c r="G429" s="5">
        <v>4.9113337109825723</v>
      </c>
      <c r="H429" s="5">
        <v>3128.6319045852338</v>
      </c>
      <c r="I429" s="5">
        <v>153.65755342245069</v>
      </c>
    </row>
    <row r="430" spans="1:9" x14ac:dyDescent="0.2">
      <c r="A430" s="5" t="s">
        <v>70</v>
      </c>
      <c r="B430" s="5" t="s">
        <v>65</v>
      </c>
      <c r="C430" s="5" t="s">
        <v>59</v>
      </c>
      <c r="D430" s="5">
        <v>1873749</v>
      </c>
      <c r="E430" s="5">
        <v>91921</v>
      </c>
      <c r="F430" s="5">
        <v>290193099</v>
      </c>
      <c r="G430" s="5">
        <v>4.9057264340101048</v>
      </c>
      <c r="H430" s="5">
        <v>3156.9837033974827</v>
      </c>
      <c r="I430" s="5">
        <v>154.87298405496148</v>
      </c>
    </row>
    <row r="431" spans="1:9" x14ac:dyDescent="0.2">
      <c r="A431" s="5" t="s">
        <v>70</v>
      </c>
      <c r="B431" s="5" t="s">
        <v>65</v>
      </c>
      <c r="C431" s="5" t="s">
        <v>60</v>
      </c>
      <c r="D431" s="5">
        <v>1881719</v>
      </c>
      <c r="E431" s="5">
        <v>92301</v>
      </c>
      <c r="F431" s="5">
        <v>292010953</v>
      </c>
      <c r="G431" s="5">
        <v>4.9051425850512214</v>
      </c>
      <c r="H431" s="5">
        <v>3163.6813577317689</v>
      </c>
      <c r="I431" s="5">
        <v>155.18308153342767</v>
      </c>
    </row>
    <row r="432" spans="1:9" x14ac:dyDescent="0.2">
      <c r="A432" s="5" t="s">
        <v>70</v>
      </c>
      <c r="B432" s="5" t="s">
        <v>65</v>
      </c>
      <c r="C432" s="5" t="s">
        <v>61</v>
      </c>
      <c r="D432" s="5">
        <v>1890743</v>
      </c>
      <c r="E432" s="5">
        <v>90890</v>
      </c>
      <c r="F432" s="5">
        <v>290220788</v>
      </c>
      <c r="G432" s="5">
        <v>4.8071049317649202</v>
      </c>
      <c r="H432" s="5">
        <v>3193.0992188359555</v>
      </c>
      <c r="I432" s="5">
        <v>153.49563002481034</v>
      </c>
    </row>
    <row r="433" spans="1:9" x14ac:dyDescent="0.2">
      <c r="A433" s="5" t="s">
        <v>70</v>
      </c>
      <c r="B433" s="5" t="s">
        <v>65</v>
      </c>
      <c r="C433" s="5" t="s">
        <v>62</v>
      </c>
      <c r="D433" s="5">
        <v>1899906</v>
      </c>
      <c r="E433" s="5">
        <v>90039</v>
      </c>
      <c r="F433" s="5">
        <v>287159594</v>
      </c>
      <c r="G433" s="5">
        <v>4.7391291990235302</v>
      </c>
      <c r="H433" s="5">
        <v>3189.2801341640843</v>
      </c>
      <c r="I433" s="5">
        <v>151.14410607682697</v>
      </c>
    </row>
    <row r="434" spans="1:9" x14ac:dyDescent="0.2">
      <c r="A434" s="5" t="s">
        <v>71</v>
      </c>
      <c r="B434" s="5" t="s">
        <v>44</v>
      </c>
      <c r="C434" s="5" t="s">
        <v>45</v>
      </c>
      <c r="D434" s="5">
        <v>1188793</v>
      </c>
      <c r="E434" s="5">
        <v>15995</v>
      </c>
      <c r="F434" s="5">
        <v>240320671</v>
      </c>
      <c r="G434" s="5">
        <v>1.3454823505858464</v>
      </c>
      <c r="H434" s="5">
        <v>15024.737167864958</v>
      </c>
      <c r="I434" s="5">
        <v>202.15518681553476</v>
      </c>
    </row>
    <row r="435" spans="1:9" x14ac:dyDescent="0.2">
      <c r="A435" s="5" t="s">
        <v>71</v>
      </c>
      <c r="B435" s="5" t="s">
        <v>44</v>
      </c>
      <c r="C435" s="5" t="s">
        <v>46</v>
      </c>
      <c r="D435" s="5">
        <v>1198801</v>
      </c>
      <c r="E435" s="5">
        <v>16198</v>
      </c>
      <c r="F435" s="5">
        <v>239179352</v>
      </c>
      <c r="G435" s="5">
        <v>1.3511833907379123</v>
      </c>
      <c r="H435" s="5">
        <v>14765.980491418693</v>
      </c>
      <c r="I435" s="5">
        <v>199.51547587964976</v>
      </c>
    </row>
    <row r="436" spans="1:9" x14ac:dyDescent="0.2">
      <c r="A436" s="5" t="s">
        <v>71</v>
      </c>
      <c r="B436" s="5" t="s">
        <v>44</v>
      </c>
      <c r="C436" s="5" t="s">
        <v>47</v>
      </c>
      <c r="D436" s="5">
        <v>1206853</v>
      </c>
      <c r="E436" s="5">
        <v>16130</v>
      </c>
      <c r="F436" s="5">
        <v>244155835</v>
      </c>
      <c r="G436" s="5">
        <v>1.3365339440677531</v>
      </c>
      <c r="H436" s="5">
        <v>15136.753564786113</v>
      </c>
      <c r="I436" s="5">
        <v>202.30784942325204</v>
      </c>
    </row>
    <row r="437" spans="1:9" x14ac:dyDescent="0.2">
      <c r="A437" s="5" t="s">
        <v>71</v>
      </c>
      <c r="B437" s="5" t="s">
        <v>44</v>
      </c>
      <c r="C437" s="5" t="s">
        <v>48</v>
      </c>
      <c r="D437" s="5">
        <v>1216070</v>
      </c>
      <c r="E437" s="5">
        <v>15972</v>
      </c>
      <c r="F437" s="5">
        <v>249226951</v>
      </c>
      <c r="G437" s="5">
        <v>1.3134112345506426</v>
      </c>
      <c r="H437" s="5">
        <v>15603.991422489356</v>
      </c>
      <c r="I437" s="5">
        <v>204.94457638129384</v>
      </c>
    </row>
    <row r="438" spans="1:9" x14ac:dyDescent="0.2">
      <c r="A438" s="5" t="s">
        <v>71</v>
      </c>
      <c r="B438" s="5" t="s">
        <v>44</v>
      </c>
      <c r="C438" s="5" t="s">
        <v>49</v>
      </c>
      <c r="D438" s="5">
        <v>1222569</v>
      </c>
      <c r="E438" s="5">
        <v>15632</v>
      </c>
      <c r="F438" s="5">
        <v>246440097</v>
      </c>
      <c r="G438" s="5">
        <v>1.2786190390890002</v>
      </c>
      <c r="H438" s="5">
        <v>15765.103441658137</v>
      </c>
      <c r="I438" s="5">
        <v>201.57561413711619</v>
      </c>
    </row>
    <row r="439" spans="1:9" x14ac:dyDescent="0.2">
      <c r="A439" s="5" t="s">
        <v>71</v>
      </c>
      <c r="B439" s="5" t="s">
        <v>44</v>
      </c>
      <c r="C439" s="5" t="s">
        <v>50</v>
      </c>
      <c r="D439" s="5">
        <v>1223647</v>
      </c>
      <c r="E439" s="5">
        <v>15541</v>
      </c>
      <c r="F439" s="5">
        <v>242954256</v>
      </c>
      <c r="G439" s="5">
        <v>1.2700558249233644</v>
      </c>
      <c r="H439" s="5">
        <v>15633.116015700405</v>
      </c>
      <c r="I439" s="5">
        <v>198.54930057443036</v>
      </c>
    </row>
    <row r="440" spans="1:9" x14ac:dyDescent="0.2">
      <c r="A440" s="5" t="s">
        <v>71</v>
      </c>
      <c r="B440" s="5" t="s">
        <v>44</v>
      </c>
      <c r="C440" s="5" t="s">
        <v>51</v>
      </c>
      <c r="D440" s="5">
        <v>1226157</v>
      </c>
      <c r="E440" s="5">
        <v>15789</v>
      </c>
      <c r="F440" s="5">
        <v>241259935</v>
      </c>
      <c r="G440" s="5">
        <v>1.2876817569038874</v>
      </c>
      <c r="H440" s="5">
        <v>15280.254290962062</v>
      </c>
      <c r="I440" s="5">
        <v>196.76104691324196</v>
      </c>
    </row>
    <row r="441" spans="1:9" x14ac:dyDescent="0.2">
      <c r="A441" s="5" t="s">
        <v>71</v>
      </c>
      <c r="B441" s="5" t="s">
        <v>44</v>
      </c>
      <c r="C441" s="5" t="s">
        <v>52</v>
      </c>
      <c r="D441" s="5">
        <v>1228637</v>
      </c>
      <c r="E441" s="5">
        <v>16039</v>
      </c>
      <c r="F441" s="5">
        <v>235858898</v>
      </c>
      <c r="G441" s="5">
        <v>1.3054303264511813</v>
      </c>
      <c r="H441" s="5">
        <v>14705.336866388179</v>
      </c>
      <c r="I441" s="5">
        <v>191.96792706063712</v>
      </c>
    </row>
    <row r="442" spans="1:9" x14ac:dyDescent="0.2">
      <c r="A442" s="5" t="s">
        <v>71</v>
      </c>
      <c r="B442" s="5" t="s">
        <v>44</v>
      </c>
      <c r="C442" s="5" t="s">
        <v>53</v>
      </c>
      <c r="D442" s="5">
        <v>1233441</v>
      </c>
      <c r="E442" s="5">
        <v>16033</v>
      </c>
      <c r="F442" s="5">
        <v>231612745</v>
      </c>
      <c r="G442" s="5">
        <v>1.2998594987518657</v>
      </c>
      <c r="H442" s="5">
        <v>14446.001684026694</v>
      </c>
      <c r="I442" s="5">
        <v>187.77772507967546</v>
      </c>
    </row>
    <row r="443" spans="1:9" x14ac:dyDescent="0.2">
      <c r="A443" s="5" t="s">
        <v>71</v>
      </c>
      <c r="B443" s="5" t="s">
        <v>44</v>
      </c>
      <c r="C443" s="5" t="s">
        <v>54</v>
      </c>
      <c r="D443" s="5">
        <v>1239750</v>
      </c>
      <c r="E443" s="5">
        <v>16174</v>
      </c>
      <c r="F443" s="5">
        <v>234000780</v>
      </c>
      <c r="G443" s="5">
        <v>1.3046178665053438</v>
      </c>
      <c r="H443" s="5">
        <v>14467.712377890441</v>
      </c>
      <c r="I443" s="5">
        <v>188.74836055656382</v>
      </c>
    </row>
    <row r="444" spans="1:9" x14ac:dyDescent="0.2">
      <c r="A444" s="5" t="s">
        <v>71</v>
      </c>
      <c r="B444" s="5" t="s">
        <v>44</v>
      </c>
      <c r="C444" s="5" t="s">
        <v>55</v>
      </c>
      <c r="D444" s="5">
        <v>1246746</v>
      </c>
      <c r="E444" s="5">
        <v>16107</v>
      </c>
      <c r="F444" s="5">
        <v>233018839</v>
      </c>
      <c r="G444" s="5">
        <v>1.291923134303218</v>
      </c>
      <c r="H444" s="5">
        <v>14466.929844167133</v>
      </c>
      <c r="I444" s="5">
        <v>186.90161348021169</v>
      </c>
    </row>
    <row r="445" spans="1:9" x14ac:dyDescent="0.2">
      <c r="A445" s="5" t="s">
        <v>71</v>
      </c>
      <c r="B445" s="5" t="s">
        <v>44</v>
      </c>
      <c r="C445" s="5" t="s">
        <v>56</v>
      </c>
      <c r="D445" s="5">
        <v>1256106</v>
      </c>
      <c r="E445" s="5">
        <v>15882</v>
      </c>
      <c r="F445" s="5">
        <v>235226112</v>
      </c>
      <c r="G445" s="5">
        <v>1.2643837383150784</v>
      </c>
      <c r="H445" s="5">
        <v>14810.862108046846</v>
      </c>
      <c r="I445" s="5">
        <v>187.26613199841415</v>
      </c>
    </row>
    <row r="446" spans="1:9" x14ac:dyDescent="0.2">
      <c r="A446" s="5" t="s">
        <v>71</v>
      </c>
      <c r="B446" s="5" t="s">
        <v>44</v>
      </c>
      <c r="C446" s="5" t="s">
        <v>57</v>
      </c>
      <c r="D446" s="5">
        <v>1266100</v>
      </c>
      <c r="E446" s="5">
        <v>15702</v>
      </c>
      <c r="F446" s="5">
        <v>238873503</v>
      </c>
      <c r="G446" s="5">
        <v>1.24018639917858</v>
      </c>
      <c r="H446" s="5">
        <v>15212.934849063813</v>
      </c>
      <c r="I446" s="5">
        <v>188.66874891398783</v>
      </c>
    </row>
    <row r="447" spans="1:9" x14ac:dyDescent="0.2">
      <c r="A447" s="5" t="s">
        <v>71</v>
      </c>
      <c r="B447" s="5" t="s">
        <v>44</v>
      </c>
      <c r="C447" s="5" t="s">
        <v>58</v>
      </c>
      <c r="D447" s="5">
        <v>1274797</v>
      </c>
      <c r="E447" s="5">
        <v>15326</v>
      </c>
      <c r="F447" s="5">
        <v>240014554</v>
      </c>
      <c r="G447" s="5">
        <v>1.2022306296610363</v>
      </c>
      <c r="H447" s="5">
        <v>15660.612945321676</v>
      </c>
      <c r="I447" s="5">
        <v>188.27668562131853</v>
      </c>
    </row>
    <row r="448" spans="1:9" x14ac:dyDescent="0.2">
      <c r="A448" s="5" t="s">
        <v>71</v>
      </c>
      <c r="B448" s="5" t="s">
        <v>44</v>
      </c>
      <c r="C448" s="5" t="s">
        <v>59</v>
      </c>
      <c r="D448" s="5">
        <v>1282259</v>
      </c>
      <c r="E448" s="5">
        <v>14919</v>
      </c>
      <c r="F448" s="5">
        <v>233838949</v>
      </c>
      <c r="G448" s="5">
        <v>1.1634934907846231</v>
      </c>
      <c r="H448" s="5">
        <v>15673.90233929888</v>
      </c>
      <c r="I448" s="5">
        <v>182.36483346968123</v>
      </c>
    </row>
    <row r="449" spans="1:9" x14ac:dyDescent="0.2">
      <c r="A449" s="5" t="s">
        <v>71</v>
      </c>
      <c r="B449" s="5" t="s">
        <v>44</v>
      </c>
      <c r="C449" s="5" t="s">
        <v>60</v>
      </c>
      <c r="D449" s="5">
        <v>1288702</v>
      </c>
      <c r="E449" s="5">
        <v>14734</v>
      </c>
      <c r="F449" s="5">
        <v>233482058</v>
      </c>
      <c r="G449" s="5">
        <v>1.1433209539521161</v>
      </c>
      <c r="H449" s="5">
        <v>15846.481471426632</v>
      </c>
      <c r="I449" s="5">
        <v>181.17614312696031</v>
      </c>
    </row>
    <row r="450" spans="1:9" x14ac:dyDescent="0.2">
      <c r="A450" s="5" t="s">
        <v>71</v>
      </c>
      <c r="B450" s="5" t="s">
        <v>44</v>
      </c>
      <c r="C450" s="5" t="s">
        <v>61</v>
      </c>
      <c r="D450" s="5">
        <v>1296759</v>
      </c>
      <c r="E450" s="5">
        <v>14397</v>
      </c>
      <c r="F450" s="5">
        <v>231221008</v>
      </c>
      <c r="G450" s="5">
        <v>1.1102294258223773</v>
      </c>
      <c r="H450" s="5">
        <v>16060.360352851289</v>
      </c>
      <c r="I450" s="5">
        <v>178.30684653046558</v>
      </c>
    </row>
    <row r="451" spans="1:9" x14ac:dyDescent="0.2">
      <c r="A451" s="5" t="s">
        <v>71</v>
      </c>
      <c r="B451" s="5" t="s">
        <v>44</v>
      </c>
      <c r="C451" s="5" t="s">
        <v>62</v>
      </c>
      <c r="D451" s="5">
        <v>1309209</v>
      </c>
      <c r="E451" s="5">
        <v>14209</v>
      </c>
      <c r="F451" s="5">
        <v>228734832</v>
      </c>
      <c r="G451" s="5">
        <v>1.0853118180519687</v>
      </c>
      <c r="H451" s="5">
        <v>16097.883876416356</v>
      </c>
      <c r="I451" s="5">
        <v>174.71223616702909</v>
      </c>
    </row>
    <row r="452" spans="1:9" x14ac:dyDescent="0.2">
      <c r="A452" s="5" t="s">
        <v>71</v>
      </c>
      <c r="B452" s="5" t="s">
        <v>63</v>
      </c>
      <c r="C452" s="5" t="s">
        <v>45</v>
      </c>
      <c r="D452" s="5">
        <v>1188793</v>
      </c>
      <c r="E452" s="5">
        <v>52590</v>
      </c>
      <c r="F452" s="5">
        <v>122335182</v>
      </c>
      <c r="G452" s="5">
        <v>4.4238147431891006</v>
      </c>
      <c r="H452" s="5">
        <v>2326.2061608670851</v>
      </c>
      <c r="I452" s="5">
        <v>102.90705110141127</v>
      </c>
    </row>
    <row r="453" spans="1:9" x14ac:dyDescent="0.2">
      <c r="A453" s="5" t="s">
        <v>71</v>
      </c>
      <c r="B453" s="5" t="s">
        <v>63</v>
      </c>
      <c r="C453" s="5" t="s">
        <v>46</v>
      </c>
      <c r="D453" s="5">
        <v>1198801</v>
      </c>
      <c r="E453" s="5">
        <v>51492</v>
      </c>
      <c r="F453" s="5">
        <v>120591392</v>
      </c>
      <c r="G453" s="5">
        <v>4.295291712302542</v>
      </c>
      <c r="H453" s="5">
        <v>2341.9442243455296</v>
      </c>
      <c r="I453" s="5">
        <v>100.59333617506158</v>
      </c>
    </row>
    <row r="454" spans="1:9" x14ac:dyDescent="0.2">
      <c r="A454" s="5" t="s">
        <v>71</v>
      </c>
      <c r="B454" s="5" t="s">
        <v>63</v>
      </c>
      <c r="C454" s="5" t="s">
        <v>47</v>
      </c>
      <c r="D454" s="5">
        <v>1206853</v>
      </c>
      <c r="E454" s="5">
        <v>50652</v>
      </c>
      <c r="F454" s="5">
        <v>121137486</v>
      </c>
      <c r="G454" s="5">
        <v>4.1970314528778569</v>
      </c>
      <c r="H454" s="5">
        <v>2391.5637289741767</v>
      </c>
      <c r="I454" s="5">
        <v>100.37468192066474</v>
      </c>
    </row>
    <row r="455" spans="1:9" x14ac:dyDescent="0.2">
      <c r="A455" s="5" t="s">
        <v>71</v>
      </c>
      <c r="B455" s="5" t="s">
        <v>63</v>
      </c>
      <c r="C455" s="5" t="s">
        <v>48</v>
      </c>
      <c r="D455" s="5">
        <v>1216070</v>
      </c>
      <c r="E455" s="5">
        <v>51374</v>
      </c>
      <c r="F455" s="5">
        <v>124936032</v>
      </c>
      <c r="G455" s="5">
        <v>4.2245923343228595</v>
      </c>
      <c r="H455" s="5">
        <v>2431.8922412115076</v>
      </c>
      <c r="I455" s="5">
        <v>102.73753320121375</v>
      </c>
    </row>
    <row r="456" spans="1:9" x14ac:dyDescent="0.2">
      <c r="A456" s="5" t="s">
        <v>71</v>
      </c>
      <c r="B456" s="5" t="s">
        <v>63</v>
      </c>
      <c r="C456" s="5" t="s">
        <v>49</v>
      </c>
      <c r="D456" s="5">
        <v>1222569</v>
      </c>
      <c r="E456" s="5">
        <v>52077</v>
      </c>
      <c r="F456" s="5">
        <v>127575216</v>
      </c>
      <c r="G456" s="5">
        <v>4.2596368793908566</v>
      </c>
      <c r="H456" s="5">
        <v>2449.7420358315571</v>
      </c>
      <c r="I456" s="5">
        <v>104.35011520822138</v>
      </c>
    </row>
    <row r="457" spans="1:9" x14ac:dyDescent="0.2">
      <c r="A457" s="5" t="s">
        <v>71</v>
      </c>
      <c r="B457" s="5" t="s">
        <v>63</v>
      </c>
      <c r="C457" s="5" t="s">
        <v>50</v>
      </c>
      <c r="D457" s="5">
        <v>1223647</v>
      </c>
      <c r="E457" s="5">
        <v>53204</v>
      </c>
      <c r="F457" s="5">
        <v>130958650</v>
      </c>
      <c r="G457" s="5">
        <v>4.3479859796166709</v>
      </c>
      <c r="H457" s="5">
        <v>2461.4436884444781</v>
      </c>
      <c r="I457" s="5">
        <v>107.02322646972534</v>
      </c>
    </row>
    <row r="458" spans="1:9" x14ac:dyDescent="0.2">
      <c r="A458" s="5" t="s">
        <v>71</v>
      </c>
      <c r="B458" s="5" t="s">
        <v>63</v>
      </c>
      <c r="C458" s="5" t="s">
        <v>51</v>
      </c>
      <c r="D458" s="5">
        <v>1226157</v>
      </c>
      <c r="E458" s="5">
        <v>54128</v>
      </c>
      <c r="F458" s="5">
        <v>133317379</v>
      </c>
      <c r="G458" s="5">
        <v>4.4144428486727234</v>
      </c>
      <c r="H458" s="5">
        <v>2463.0021245935559</v>
      </c>
      <c r="I458" s="5">
        <v>108.72782115177746</v>
      </c>
    </row>
    <row r="459" spans="1:9" x14ac:dyDescent="0.2">
      <c r="A459" s="5" t="s">
        <v>71</v>
      </c>
      <c r="B459" s="5" t="s">
        <v>63</v>
      </c>
      <c r="C459" s="5" t="s">
        <v>52</v>
      </c>
      <c r="D459" s="5">
        <v>1228637</v>
      </c>
      <c r="E459" s="5">
        <v>54446</v>
      </c>
      <c r="F459" s="5">
        <v>135117651</v>
      </c>
      <c r="G459" s="5">
        <v>4.4314146489158315</v>
      </c>
      <c r="H459" s="5">
        <v>2481.6818682731514</v>
      </c>
      <c r="I459" s="5">
        <v>109.9736138501445</v>
      </c>
    </row>
    <row r="460" spans="1:9" x14ac:dyDescent="0.2">
      <c r="A460" s="5" t="s">
        <v>71</v>
      </c>
      <c r="B460" s="5" t="s">
        <v>63</v>
      </c>
      <c r="C460" s="5" t="s">
        <v>53</v>
      </c>
      <c r="D460" s="5">
        <v>1233441</v>
      </c>
      <c r="E460" s="5">
        <v>53860</v>
      </c>
      <c r="F460" s="5">
        <v>135216912</v>
      </c>
      <c r="G460" s="5">
        <v>4.3666458306477569</v>
      </c>
      <c r="H460" s="5">
        <v>2510.5256591162274</v>
      </c>
      <c r="I460" s="5">
        <v>109.62576402114085</v>
      </c>
    </row>
    <row r="461" spans="1:9" x14ac:dyDescent="0.2">
      <c r="A461" s="5" t="s">
        <v>71</v>
      </c>
      <c r="B461" s="5" t="s">
        <v>63</v>
      </c>
      <c r="C461" s="5" t="s">
        <v>54</v>
      </c>
      <c r="D461" s="5">
        <v>1239750</v>
      </c>
      <c r="E461" s="5">
        <v>53711</v>
      </c>
      <c r="F461" s="5">
        <v>134814371</v>
      </c>
      <c r="G461" s="5">
        <v>4.3324057269610812</v>
      </c>
      <c r="H461" s="5">
        <v>2509.9955502597231</v>
      </c>
      <c r="I461" s="5">
        <v>108.74319096592055</v>
      </c>
    </row>
    <row r="462" spans="1:9" x14ac:dyDescent="0.2">
      <c r="A462" s="5" t="s">
        <v>71</v>
      </c>
      <c r="B462" s="5" t="s">
        <v>63</v>
      </c>
      <c r="C462" s="5" t="s">
        <v>55</v>
      </c>
      <c r="D462" s="5">
        <v>1246746</v>
      </c>
      <c r="E462" s="5">
        <v>53362</v>
      </c>
      <c r="F462" s="5">
        <v>134445943</v>
      </c>
      <c r="G462" s="5">
        <v>4.2801019614259843</v>
      </c>
      <c r="H462" s="5">
        <v>2519.5071961320791</v>
      </c>
      <c r="I462" s="5">
        <v>107.83747691991793</v>
      </c>
    </row>
    <row r="463" spans="1:9" x14ac:dyDescent="0.2">
      <c r="A463" s="5" t="s">
        <v>71</v>
      </c>
      <c r="B463" s="5" t="s">
        <v>63</v>
      </c>
      <c r="C463" s="5" t="s">
        <v>56</v>
      </c>
      <c r="D463" s="5">
        <v>1256106</v>
      </c>
      <c r="E463" s="5">
        <v>52599</v>
      </c>
      <c r="F463" s="5">
        <v>132366657</v>
      </c>
      <c r="G463" s="5">
        <v>4.1874650706230208</v>
      </c>
      <c r="H463" s="5">
        <v>2516.5242114869102</v>
      </c>
      <c r="I463" s="5">
        <v>105.37857234978577</v>
      </c>
    </row>
    <row r="464" spans="1:9" x14ac:dyDescent="0.2">
      <c r="A464" s="5" t="s">
        <v>71</v>
      </c>
      <c r="B464" s="5" t="s">
        <v>63</v>
      </c>
      <c r="C464" s="5" t="s">
        <v>57</v>
      </c>
      <c r="D464" s="5">
        <v>1266100</v>
      </c>
      <c r="E464" s="5">
        <v>52277</v>
      </c>
      <c r="F464" s="5">
        <v>131122400</v>
      </c>
      <c r="G464" s="5">
        <v>4.1289787536529499</v>
      </c>
      <c r="H464" s="5">
        <v>2508.2235017311627</v>
      </c>
      <c r="I464" s="5">
        <v>103.56401548060974</v>
      </c>
    </row>
    <row r="465" spans="1:9" x14ac:dyDescent="0.2">
      <c r="A465" s="5" t="s">
        <v>71</v>
      </c>
      <c r="B465" s="5" t="s">
        <v>63</v>
      </c>
      <c r="C465" s="5" t="s">
        <v>58</v>
      </c>
      <c r="D465" s="5">
        <v>1274797</v>
      </c>
      <c r="E465" s="5">
        <v>52358</v>
      </c>
      <c r="F465" s="5">
        <v>132897273</v>
      </c>
      <c r="G465" s="5">
        <v>4.1071637288132932</v>
      </c>
      <c r="H465" s="5">
        <v>2538.2419687535812</v>
      </c>
      <c r="I465" s="5">
        <v>104.24975349016353</v>
      </c>
    </row>
    <row r="466" spans="1:9" x14ac:dyDescent="0.2">
      <c r="A466" s="5" t="s">
        <v>71</v>
      </c>
      <c r="B466" s="5" t="s">
        <v>63</v>
      </c>
      <c r="C466" s="5" t="s">
        <v>59</v>
      </c>
      <c r="D466" s="5">
        <v>1282259</v>
      </c>
      <c r="E466" s="5">
        <v>52812</v>
      </c>
      <c r="F466" s="5">
        <v>134297218</v>
      </c>
      <c r="G466" s="5">
        <v>4.1186686932983116</v>
      </c>
      <c r="H466" s="5">
        <v>2542.9299780352949</v>
      </c>
      <c r="I466" s="5">
        <v>104.73486089783734</v>
      </c>
    </row>
    <row r="467" spans="1:9" x14ac:dyDescent="0.2">
      <c r="A467" s="5" t="s">
        <v>71</v>
      </c>
      <c r="B467" s="5" t="s">
        <v>63</v>
      </c>
      <c r="C467" s="5" t="s">
        <v>60</v>
      </c>
      <c r="D467" s="5">
        <v>1288702</v>
      </c>
      <c r="E467" s="5">
        <v>52975</v>
      </c>
      <c r="F467" s="5">
        <v>135888577</v>
      </c>
      <c r="G467" s="5">
        <v>4.1107253655228284</v>
      </c>
      <c r="H467" s="5">
        <v>2565.145389334592</v>
      </c>
      <c r="I467" s="5">
        <v>105.44608218191638</v>
      </c>
    </row>
    <row r="468" spans="1:9" x14ac:dyDescent="0.2">
      <c r="A468" s="5" t="s">
        <v>71</v>
      </c>
      <c r="B468" s="5" t="s">
        <v>63</v>
      </c>
      <c r="C468" s="5" t="s">
        <v>61</v>
      </c>
      <c r="D468" s="5">
        <v>1296759</v>
      </c>
      <c r="E468" s="5">
        <v>53154</v>
      </c>
      <c r="F468" s="5">
        <v>137292809</v>
      </c>
      <c r="G468" s="5">
        <v>4.0989883239676761</v>
      </c>
      <c r="H468" s="5">
        <v>2582.9252549196672</v>
      </c>
      <c r="I468" s="5">
        <v>105.8738046159695</v>
      </c>
    </row>
    <row r="469" spans="1:9" x14ac:dyDescent="0.2">
      <c r="A469" s="5" t="s">
        <v>71</v>
      </c>
      <c r="B469" s="5" t="s">
        <v>63</v>
      </c>
      <c r="C469" s="5" t="s">
        <v>62</v>
      </c>
      <c r="D469" s="5">
        <v>1309209</v>
      </c>
      <c r="E469" s="5">
        <v>53259</v>
      </c>
      <c r="F469" s="5">
        <v>138661441</v>
      </c>
      <c r="G469" s="5">
        <v>4.0680288632296291</v>
      </c>
      <c r="H469" s="5">
        <v>2603.5306896486977</v>
      </c>
      <c r="I469" s="5">
        <v>105.91237991795046</v>
      </c>
    </row>
    <row r="470" spans="1:9" x14ac:dyDescent="0.2">
      <c r="A470" s="5" t="s">
        <v>71</v>
      </c>
      <c r="B470" s="5" t="s">
        <v>64</v>
      </c>
      <c r="C470" s="5" t="s">
        <v>45</v>
      </c>
      <c r="D470" s="5">
        <v>1042674</v>
      </c>
      <c r="E470" s="5">
        <v>84012</v>
      </c>
      <c r="F470" s="5">
        <v>60974736</v>
      </c>
      <c r="G470" s="5">
        <v>8.0573602103821518</v>
      </c>
      <c r="H470" s="5">
        <v>725.78603056706186</v>
      </c>
      <c r="I470" s="5">
        <v>58.479194839422483</v>
      </c>
    </row>
    <row r="471" spans="1:9" x14ac:dyDescent="0.2">
      <c r="A471" s="5" t="s">
        <v>71</v>
      </c>
      <c r="B471" s="5" t="s">
        <v>64</v>
      </c>
      <c r="C471" s="5" t="s">
        <v>46</v>
      </c>
      <c r="D471" s="5">
        <v>1050745</v>
      </c>
      <c r="E471" s="5">
        <v>79124</v>
      </c>
      <c r="F471" s="5">
        <v>58376996</v>
      </c>
      <c r="G471" s="5">
        <v>7.5302761374072684</v>
      </c>
      <c r="H471" s="5">
        <v>737.79126434457305</v>
      </c>
      <c r="I471" s="5">
        <v>55.557719522814764</v>
      </c>
    </row>
    <row r="472" spans="1:9" x14ac:dyDescent="0.2">
      <c r="A472" s="5" t="s">
        <v>71</v>
      </c>
      <c r="B472" s="5" t="s">
        <v>64</v>
      </c>
      <c r="C472" s="5" t="s">
        <v>47</v>
      </c>
      <c r="D472" s="5">
        <v>1057293</v>
      </c>
      <c r="E472" s="5">
        <v>72680</v>
      </c>
      <c r="F472" s="5">
        <v>55915666</v>
      </c>
      <c r="G472" s="5">
        <v>6.8741588187947897</v>
      </c>
      <c r="H472" s="5">
        <v>769.34047881122729</v>
      </c>
      <c r="I472" s="5">
        <v>52.885686370760048</v>
      </c>
    </row>
    <row r="473" spans="1:9" x14ac:dyDescent="0.2">
      <c r="A473" s="5" t="s">
        <v>71</v>
      </c>
      <c r="B473" s="5" t="s">
        <v>64</v>
      </c>
      <c r="C473" s="5" t="s">
        <v>48</v>
      </c>
      <c r="D473" s="5">
        <v>1064506</v>
      </c>
      <c r="E473" s="5">
        <v>70795</v>
      </c>
      <c r="F473" s="5">
        <v>56034838</v>
      </c>
      <c r="G473" s="5">
        <v>6.6505026744799931</v>
      </c>
      <c r="H473" s="5">
        <v>791.50841161098947</v>
      </c>
      <c r="I473" s="5">
        <v>52.639288082922974</v>
      </c>
    </row>
    <row r="474" spans="1:9" x14ac:dyDescent="0.2">
      <c r="A474" s="5" t="s">
        <v>71</v>
      </c>
      <c r="B474" s="5" t="s">
        <v>64</v>
      </c>
      <c r="C474" s="5" t="s">
        <v>49</v>
      </c>
      <c r="D474" s="5">
        <v>1069581</v>
      </c>
      <c r="E474" s="5">
        <v>70041</v>
      </c>
      <c r="F474" s="5">
        <v>55717436</v>
      </c>
      <c r="G474" s="5">
        <v>6.548452150888993</v>
      </c>
      <c r="H474" s="5">
        <v>795.49743721534526</v>
      </c>
      <c r="I474" s="5">
        <v>52.092769037595097</v>
      </c>
    </row>
    <row r="475" spans="1:9" x14ac:dyDescent="0.2">
      <c r="A475" s="5" t="s">
        <v>71</v>
      </c>
      <c r="B475" s="5" t="s">
        <v>64</v>
      </c>
      <c r="C475" s="5" t="s">
        <v>50</v>
      </c>
      <c r="D475" s="5">
        <v>1070125</v>
      </c>
      <c r="E475" s="5">
        <v>73935</v>
      </c>
      <c r="F475" s="5">
        <v>56317866</v>
      </c>
      <c r="G475" s="5">
        <v>6.9090059572479854</v>
      </c>
      <c r="H475" s="5">
        <v>761.72132278352603</v>
      </c>
      <c r="I475" s="5">
        <v>52.627371568741971</v>
      </c>
    </row>
    <row r="476" spans="1:9" x14ac:dyDescent="0.2">
      <c r="A476" s="5" t="s">
        <v>71</v>
      </c>
      <c r="B476" s="5" t="s">
        <v>64</v>
      </c>
      <c r="C476" s="5" t="s">
        <v>51</v>
      </c>
      <c r="D476" s="5">
        <v>1071934</v>
      </c>
      <c r="E476" s="5">
        <v>79162</v>
      </c>
      <c r="F476" s="5">
        <v>57563112</v>
      </c>
      <c r="G476" s="5">
        <v>7.3849695970087712</v>
      </c>
      <c r="H476" s="5">
        <v>727.15585760844851</v>
      </c>
      <c r="I476" s="5">
        <v>53.700239007252314</v>
      </c>
    </row>
    <row r="477" spans="1:9" x14ac:dyDescent="0.2">
      <c r="A477" s="5" t="s">
        <v>71</v>
      </c>
      <c r="B477" s="5" t="s">
        <v>64</v>
      </c>
      <c r="C477" s="5" t="s">
        <v>52</v>
      </c>
      <c r="D477" s="5">
        <v>1073041</v>
      </c>
      <c r="E477" s="5">
        <v>81053</v>
      </c>
      <c r="F477" s="5">
        <v>56558083</v>
      </c>
      <c r="G477" s="5">
        <v>7.5535790337927438</v>
      </c>
      <c r="H477" s="5">
        <v>697.79135874057715</v>
      </c>
      <c r="I477" s="5">
        <v>52.70822177344575</v>
      </c>
    </row>
    <row r="478" spans="1:9" x14ac:dyDescent="0.2">
      <c r="A478" s="5" t="s">
        <v>71</v>
      </c>
      <c r="B478" s="5" t="s">
        <v>64</v>
      </c>
      <c r="C478" s="5" t="s">
        <v>53</v>
      </c>
      <c r="D478" s="5">
        <v>1076105</v>
      </c>
      <c r="E478" s="5">
        <v>82272</v>
      </c>
      <c r="F478" s="5">
        <v>57028894</v>
      </c>
      <c r="G478" s="5">
        <v>7.6453505931112673</v>
      </c>
      <c r="H478" s="5">
        <v>693.17500486192148</v>
      </c>
      <c r="I478" s="5">
        <v>52.995659345509964</v>
      </c>
    </row>
    <row r="479" spans="1:9" x14ac:dyDescent="0.2">
      <c r="A479" s="5" t="s">
        <v>71</v>
      </c>
      <c r="B479" s="5" t="s">
        <v>64</v>
      </c>
      <c r="C479" s="5" t="s">
        <v>54</v>
      </c>
      <c r="D479" s="5">
        <v>1080293</v>
      </c>
      <c r="E479" s="5">
        <v>80259</v>
      </c>
      <c r="F479" s="5">
        <v>55922259</v>
      </c>
      <c r="G479" s="5">
        <v>7.4293733274213567</v>
      </c>
      <c r="H479" s="5">
        <v>696.77243673606699</v>
      </c>
      <c r="I479" s="5">
        <v>51.765825567693206</v>
      </c>
    </row>
    <row r="480" spans="1:9" x14ac:dyDescent="0.2">
      <c r="A480" s="5" t="s">
        <v>71</v>
      </c>
      <c r="B480" s="5" t="s">
        <v>64</v>
      </c>
      <c r="C480" s="5" t="s">
        <v>55</v>
      </c>
      <c r="D480" s="5">
        <v>1085254</v>
      </c>
      <c r="E480" s="5">
        <v>77543</v>
      </c>
      <c r="F480" s="5">
        <v>53779741</v>
      </c>
      <c r="G480" s="5">
        <v>7.1451475875693617</v>
      </c>
      <c r="H480" s="5">
        <v>693.54733502701731</v>
      </c>
      <c r="I480" s="5">
        <v>49.55498067733452</v>
      </c>
    </row>
    <row r="481" spans="1:9" x14ac:dyDescent="0.2">
      <c r="A481" s="5" t="s">
        <v>71</v>
      </c>
      <c r="B481" s="5" t="s">
        <v>64</v>
      </c>
      <c r="C481" s="5" t="s">
        <v>56</v>
      </c>
      <c r="D481" s="5">
        <v>1092163</v>
      </c>
      <c r="E481" s="5">
        <v>76188</v>
      </c>
      <c r="F481" s="5">
        <v>52861678</v>
      </c>
      <c r="G481" s="5">
        <v>6.9758818051884193</v>
      </c>
      <c r="H481" s="5">
        <v>693.83207329238201</v>
      </c>
      <c r="I481" s="5">
        <v>48.400905359364856</v>
      </c>
    </row>
    <row r="482" spans="1:9" x14ac:dyDescent="0.2">
      <c r="A482" s="5" t="s">
        <v>71</v>
      </c>
      <c r="B482" s="5" t="s">
        <v>64</v>
      </c>
      <c r="C482" s="5" t="s">
        <v>57</v>
      </c>
      <c r="D482" s="5">
        <v>1099833</v>
      </c>
      <c r="E482" s="5">
        <v>75899</v>
      </c>
      <c r="F482" s="5">
        <v>51539280</v>
      </c>
      <c r="G482" s="5">
        <v>6.900956781620482</v>
      </c>
      <c r="H482" s="5">
        <v>679.05084388463615</v>
      </c>
      <c r="I482" s="5">
        <v>46.861005261707916</v>
      </c>
    </row>
    <row r="483" spans="1:9" x14ac:dyDescent="0.2">
      <c r="A483" s="5" t="s">
        <v>71</v>
      </c>
      <c r="B483" s="5" t="s">
        <v>64</v>
      </c>
      <c r="C483" s="5" t="s">
        <v>58</v>
      </c>
      <c r="D483" s="5">
        <v>1106579</v>
      </c>
      <c r="E483" s="5">
        <v>77898</v>
      </c>
      <c r="F483" s="5">
        <v>51864515</v>
      </c>
      <c r="G483" s="5">
        <v>7.0395335534110082</v>
      </c>
      <c r="H483" s="5">
        <v>665.80034147218157</v>
      </c>
      <c r="I483" s="5">
        <v>46.869238436659288</v>
      </c>
    </row>
    <row r="484" spans="1:9" x14ac:dyDescent="0.2">
      <c r="A484" s="5" t="s">
        <v>71</v>
      </c>
      <c r="B484" s="5" t="s">
        <v>64</v>
      </c>
      <c r="C484" s="5" t="s">
        <v>59</v>
      </c>
      <c r="D484" s="5">
        <v>1112498</v>
      </c>
      <c r="E484" s="5">
        <v>80749</v>
      </c>
      <c r="F484" s="5">
        <v>52950462</v>
      </c>
      <c r="G484" s="5">
        <v>7.2583501273710151</v>
      </c>
      <c r="H484" s="5">
        <v>655.74139617828087</v>
      </c>
      <c r="I484" s="5">
        <v>47.596006464730721</v>
      </c>
    </row>
    <row r="485" spans="1:9" x14ac:dyDescent="0.2">
      <c r="A485" s="5" t="s">
        <v>71</v>
      </c>
      <c r="B485" s="5" t="s">
        <v>64</v>
      </c>
      <c r="C485" s="5" t="s">
        <v>60</v>
      </c>
      <c r="D485" s="5">
        <v>1117972</v>
      </c>
      <c r="E485" s="5">
        <v>82012</v>
      </c>
      <c r="F485" s="5">
        <v>53992129</v>
      </c>
      <c r="G485" s="5">
        <v>7.3357830070878345</v>
      </c>
      <c r="H485" s="5">
        <v>658.34425449934156</v>
      </c>
      <c r="I485" s="5">
        <v>48.294705949701779</v>
      </c>
    </row>
    <row r="486" spans="1:9" x14ac:dyDescent="0.2">
      <c r="A486" s="5" t="s">
        <v>71</v>
      </c>
      <c r="B486" s="5" t="s">
        <v>64</v>
      </c>
      <c r="C486" s="5" t="s">
        <v>61</v>
      </c>
      <c r="D486" s="5">
        <v>1124922</v>
      </c>
      <c r="E486" s="5">
        <v>82011</v>
      </c>
      <c r="F486" s="5">
        <v>56690813</v>
      </c>
      <c r="G486" s="5">
        <v>7.2903721324678514</v>
      </c>
      <c r="H486" s="5">
        <v>691.25864823011545</v>
      </c>
      <c r="I486" s="5">
        <v>50.395327853842311</v>
      </c>
    </row>
    <row r="487" spans="1:9" x14ac:dyDescent="0.2">
      <c r="A487" s="5" t="s">
        <v>71</v>
      </c>
      <c r="B487" s="5" t="s">
        <v>64</v>
      </c>
      <c r="C487" s="5" t="s">
        <v>62</v>
      </c>
      <c r="D487" s="5">
        <v>1135520</v>
      </c>
      <c r="E487" s="5">
        <v>82489</v>
      </c>
      <c r="F487" s="5">
        <v>58496090</v>
      </c>
      <c r="G487" s="5">
        <v>7.2644251092010705</v>
      </c>
      <c r="H487" s="5">
        <v>709.1380668937677</v>
      </c>
      <c r="I487" s="5">
        <v>51.514803790333943</v>
      </c>
    </row>
    <row r="488" spans="1:9" x14ac:dyDescent="0.2">
      <c r="A488" s="5" t="s">
        <v>71</v>
      </c>
      <c r="B488" s="5" t="s">
        <v>65</v>
      </c>
      <c r="C488" s="5" t="s">
        <v>45</v>
      </c>
      <c r="D488" s="5">
        <v>923824</v>
      </c>
      <c r="E488" s="5">
        <v>62862</v>
      </c>
      <c r="F488" s="5">
        <v>174262858</v>
      </c>
      <c r="G488" s="5">
        <v>6.8045428566480197</v>
      </c>
      <c r="H488" s="5">
        <v>2772.1494384524831</v>
      </c>
      <c r="I488" s="5">
        <v>188.63209658982663</v>
      </c>
    </row>
    <row r="489" spans="1:9" x14ac:dyDescent="0.2">
      <c r="A489" s="5" t="s">
        <v>71</v>
      </c>
      <c r="B489" s="5" t="s">
        <v>65</v>
      </c>
      <c r="C489" s="5" t="s">
        <v>46</v>
      </c>
      <c r="D489" s="5">
        <v>932675</v>
      </c>
      <c r="E489" s="5">
        <v>59788</v>
      </c>
      <c r="F489" s="5">
        <v>162532373</v>
      </c>
      <c r="G489" s="5">
        <v>6.4103787492963784</v>
      </c>
      <c r="H489" s="5">
        <v>2718.4781728775006</v>
      </c>
      <c r="I489" s="5">
        <v>174.26474709839977</v>
      </c>
    </row>
    <row r="490" spans="1:9" x14ac:dyDescent="0.2">
      <c r="A490" s="5" t="s">
        <v>71</v>
      </c>
      <c r="B490" s="5" t="s">
        <v>65</v>
      </c>
      <c r="C490" s="5" t="s">
        <v>47</v>
      </c>
      <c r="D490" s="5">
        <v>940029</v>
      </c>
      <c r="E490" s="5">
        <v>59270</v>
      </c>
      <c r="F490" s="5">
        <v>162974440</v>
      </c>
      <c r="G490" s="5">
        <v>6.3051246291337817</v>
      </c>
      <c r="H490" s="5">
        <v>2749.6952927281932</v>
      </c>
      <c r="I490" s="5">
        <v>173.37171512793753</v>
      </c>
    </row>
    <row r="491" spans="1:9" x14ac:dyDescent="0.2">
      <c r="A491" s="5" t="s">
        <v>71</v>
      </c>
      <c r="B491" s="5" t="s">
        <v>65</v>
      </c>
      <c r="C491" s="5" t="s">
        <v>48</v>
      </c>
      <c r="D491" s="5">
        <v>947542</v>
      </c>
      <c r="E491" s="5">
        <v>59597</v>
      </c>
      <c r="F491" s="5">
        <v>166741331</v>
      </c>
      <c r="G491" s="5">
        <v>6.2896420422524804</v>
      </c>
      <c r="H491" s="5">
        <v>2797.8141684984143</v>
      </c>
      <c r="I491" s="5">
        <v>175.97249620597293</v>
      </c>
    </row>
    <row r="492" spans="1:9" x14ac:dyDescent="0.2">
      <c r="A492" s="5" t="s">
        <v>71</v>
      </c>
      <c r="B492" s="5" t="s">
        <v>65</v>
      </c>
      <c r="C492" s="5" t="s">
        <v>49</v>
      </c>
      <c r="D492" s="5">
        <v>952691</v>
      </c>
      <c r="E492" s="5">
        <v>60394</v>
      </c>
      <c r="F492" s="5">
        <v>171783312</v>
      </c>
      <c r="G492" s="5">
        <v>6.3393062388539407</v>
      </c>
      <c r="H492" s="5">
        <v>2844.3771235553199</v>
      </c>
      <c r="I492" s="5">
        <v>180.31377645007669</v>
      </c>
    </row>
    <row r="493" spans="1:9" x14ac:dyDescent="0.2">
      <c r="A493" s="5" t="s">
        <v>71</v>
      </c>
      <c r="B493" s="5" t="s">
        <v>65</v>
      </c>
      <c r="C493" s="5" t="s">
        <v>50</v>
      </c>
      <c r="D493" s="5">
        <v>953616</v>
      </c>
      <c r="E493" s="5">
        <v>63216</v>
      </c>
      <c r="F493" s="5">
        <v>185320323</v>
      </c>
      <c r="G493" s="5">
        <v>6.6290834046408618</v>
      </c>
      <c r="H493" s="5">
        <v>2931.5414293849658</v>
      </c>
      <c r="I493" s="5">
        <v>194.33432639553027</v>
      </c>
    </row>
    <row r="494" spans="1:9" x14ac:dyDescent="0.2">
      <c r="A494" s="5" t="s">
        <v>71</v>
      </c>
      <c r="B494" s="5" t="s">
        <v>65</v>
      </c>
      <c r="C494" s="5" t="s">
        <v>51</v>
      </c>
      <c r="D494" s="5">
        <v>955518</v>
      </c>
      <c r="E494" s="5">
        <v>63385</v>
      </c>
      <c r="F494" s="5">
        <v>187293661</v>
      </c>
      <c r="G494" s="5">
        <v>6.6335746683997581</v>
      </c>
      <c r="H494" s="5">
        <v>2954.8577896978782</v>
      </c>
      <c r="I494" s="5">
        <v>196.01269782463544</v>
      </c>
    </row>
    <row r="495" spans="1:9" x14ac:dyDescent="0.2">
      <c r="A495" s="5" t="s">
        <v>71</v>
      </c>
      <c r="B495" s="5" t="s">
        <v>65</v>
      </c>
      <c r="C495" s="5" t="s">
        <v>52</v>
      </c>
      <c r="D495" s="5">
        <v>956854</v>
      </c>
      <c r="E495" s="5">
        <v>62820</v>
      </c>
      <c r="F495" s="5">
        <v>186172138</v>
      </c>
      <c r="G495" s="5">
        <v>6.5652649202490663</v>
      </c>
      <c r="H495" s="5">
        <v>2963.5806749442854</v>
      </c>
      <c r="I495" s="5">
        <v>194.56692243539766</v>
      </c>
    </row>
    <row r="496" spans="1:9" x14ac:dyDescent="0.2">
      <c r="A496" s="5" t="s">
        <v>71</v>
      </c>
      <c r="B496" s="5" t="s">
        <v>65</v>
      </c>
      <c r="C496" s="5" t="s">
        <v>53</v>
      </c>
      <c r="D496" s="5">
        <v>959794</v>
      </c>
      <c r="E496" s="5">
        <v>61967</v>
      </c>
      <c r="F496" s="5">
        <v>181546735</v>
      </c>
      <c r="G496" s="5">
        <v>6.4562812436835406</v>
      </c>
      <c r="H496" s="5">
        <v>2929.7325189213616</v>
      </c>
      <c r="I496" s="5">
        <v>189.15177110921718</v>
      </c>
    </row>
    <row r="497" spans="1:9" x14ac:dyDescent="0.2">
      <c r="A497" s="5" t="s">
        <v>71</v>
      </c>
      <c r="B497" s="5" t="s">
        <v>65</v>
      </c>
      <c r="C497" s="5" t="s">
        <v>54</v>
      </c>
      <c r="D497" s="5">
        <v>963816</v>
      </c>
      <c r="E497" s="5">
        <v>60675</v>
      </c>
      <c r="F497" s="5">
        <v>179042619</v>
      </c>
      <c r="G497" s="5">
        <v>6.2952887273089466</v>
      </c>
      <c r="H497" s="5">
        <v>2950.846625463535</v>
      </c>
      <c r="I497" s="5">
        <v>185.76431497298239</v>
      </c>
    </row>
    <row r="498" spans="1:9" x14ac:dyDescent="0.2">
      <c r="A498" s="5" t="s">
        <v>71</v>
      </c>
      <c r="B498" s="5" t="s">
        <v>65</v>
      </c>
      <c r="C498" s="5" t="s">
        <v>55</v>
      </c>
      <c r="D498" s="5">
        <v>968802</v>
      </c>
      <c r="E498" s="5">
        <v>60001</v>
      </c>
      <c r="F498" s="5">
        <v>173532078</v>
      </c>
      <c r="G498" s="5">
        <v>6.1933191715128579</v>
      </c>
      <c r="H498" s="5">
        <v>2892.1530974483758</v>
      </c>
      <c r="I498" s="5">
        <v>179.12027225377321</v>
      </c>
    </row>
    <row r="499" spans="1:9" x14ac:dyDescent="0.2">
      <c r="A499" s="5" t="s">
        <v>71</v>
      </c>
      <c r="B499" s="5" t="s">
        <v>65</v>
      </c>
      <c r="C499" s="5" t="s">
        <v>56</v>
      </c>
      <c r="D499" s="5">
        <v>975502</v>
      </c>
      <c r="E499" s="5">
        <v>59047</v>
      </c>
      <c r="F499" s="5">
        <v>172788256</v>
      </c>
      <c r="G499" s="5">
        <v>6.0529860523094774</v>
      </c>
      <c r="H499" s="5">
        <v>2926.2834013582401</v>
      </c>
      <c r="I499" s="5">
        <v>177.12752613526163</v>
      </c>
    </row>
    <row r="500" spans="1:9" x14ac:dyDescent="0.2">
      <c r="A500" s="5" t="s">
        <v>71</v>
      </c>
      <c r="B500" s="5" t="s">
        <v>65</v>
      </c>
      <c r="C500" s="5" t="s">
        <v>57</v>
      </c>
      <c r="D500" s="5">
        <v>982682</v>
      </c>
      <c r="E500" s="5">
        <v>58516</v>
      </c>
      <c r="F500" s="5">
        <v>174240624</v>
      </c>
      <c r="G500" s="5">
        <v>5.954723908650001</v>
      </c>
      <c r="H500" s="5">
        <v>2977.6578029940529</v>
      </c>
      <c r="I500" s="5">
        <v>177.31130111266921</v>
      </c>
    </row>
    <row r="501" spans="1:9" x14ac:dyDescent="0.2">
      <c r="A501" s="5" t="s">
        <v>71</v>
      </c>
      <c r="B501" s="5" t="s">
        <v>65</v>
      </c>
      <c r="C501" s="5" t="s">
        <v>58</v>
      </c>
      <c r="D501" s="5">
        <v>988754</v>
      </c>
      <c r="E501" s="5">
        <v>59164</v>
      </c>
      <c r="F501" s="5">
        <v>177255691</v>
      </c>
      <c r="G501" s="5">
        <v>5.9836926070589858</v>
      </c>
      <c r="H501" s="5">
        <v>2996.0058650530727</v>
      </c>
      <c r="I501" s="5">
        <v>179.27178145423431</v>
      </c>
    </row>
    <row r="502" spans="1:9" x14ac:dyDescent="0.2">
      <c r="A502" s="5" t="s">
        <v>71</v>
      </c>
      <c r="B502" s="5" t="s">
        <v>65</v>
      </c>
      <c r="C502" s="5" t="s">
        <v>59</v>
      </c>
      <c r="D502" s="5">
        <v>994085</v>
      </c>
      <c r="E502" s="5">
        <v>59475</v>
      </c>
      <c r="F502" s="5">
        <v>181656400</v>
      </c>
      <c r="G502" s="5">
        <v>5.9828887871761465</v>
      </c>
      <c r="H502" s="5">
        <v>3054.3320722992853</v>
      </c>
      <c r="I502" s="5">
        <v>182.7372910767188</v>
      </c>
    </row>
    <row r="503" spans="1:9" x14ac:dyDescent="0.2">
      <c r="A503" s="5" t="s">
        <v>71</v>
      </c>
      <c r="B503" s="5" t="s">
        <v>65</v>
      </c>
      <c r="C503" s="5" t="s">
        <v>60</v>
      </c>
      <c r="D503" s="5">
        <v>999048</v>
      </c>
      <c r="E503" s="5">
        <v>60058</v>
      </c>
      <c r="F503" s="5">
        <v>183101542</v>
      </c>
      <c r="G503" s="5">
        <v>6.0115229698673138</v>
      </c>
      <c r="H503" s="5">
        <v>3048.7452462619467</v>
      </c>
      <c r="I503" s="5">
        <v>183.27602077177474</v>
      </c>
    </row>
    <row r="504" spans="1:9" x14ac:dyDescent="0.2">
      <c r="A504" s="5" t="s">
        <v>71</v>
      </c>
      <c r="B504" s="5" t="s">
        <v>65</v>
      </c>
      <c r="C504" s="5" t="s">
        <v>61</v>
      </c>
      <c r="D504" s="5">
        <v>1005513</v>
      </c>
      <c r="E504" s="5">
        <v>60723</v>
      </c>
      <c r="F504" s="5">
        <v>187285916</v>
      </c>
      <c r="G504" s="5">
        <v>6.0390069546589649</v>
      </c>
      <c r="H504" s="5">
        <v>3084.2665217462904</v>
      </c>
      <c r="I504" s="5">
        <v>186.25906974847666</v>
      </c>
    </row>
    <row r="505" spans="1:9" x14ac:dyDescent="0.2">
      <c r="A505" s="5" t="s">
        <v>71</v>
      </c>
      <c r="B505" s="5" t="s">
        <v>65</v>
      </c>
      <c r="C505" s="5" t="s">
        <v>62</v>
      </c>
      <c r="D505" s="5">
        <v>1015323</v>
      </c>
      <c r="E505" s="5">
        <v>60255</v>
      </c>
      <c r="F505" s="5">
        <v>186199095</v>
      </c>
      <c r="G505" s="5">
        <v>5.9345646656285735</v>
      </c>
      <c r="H505" s="5">
        <v>3090.1849639034103</v>
      </c>
      <c r="I505" s="5">
        <v>183.3890249703789</v>
      </c>
    </row>
    <row r="506" spans="1:9" x14ac:dyDescent="0.2">
      <c r="A506" s="5" t="s">
        <v>72</v>
      </c>
      <c r="B506" s="5" t="s">
        <v>44</v>
      </c>
      <c r="C506" s="5" t="s">
        <v>45</v>
      </c>
      <c r="D506" s="5">
        <v>177152</v>
      </c>
      <c r="E506" s="5">
        <v>3331</v>
      </c>
      <c r="F506" s="5">
        <v>29078547</v>
      </c>
      <c r="G506" s="5">
        <v>1.8803061777456647</v>
      </c>
      <c r="H506" s="5">
        <v>8729.6748724106874</v>
      </c>
      <c r="I506" s="5">
        <v>164.14461592304914</v>
      </c>
    </row>
    <row r="507" spans="1:9" x14ac:dyDescent="0.2">
      <c r="A507" s="5" t="s">
        <v>72</v>
      </c>
      <c r="B507" s="5" t="s">
        <v>44</v>
      </c>
      <c r="C507" s="5" t="s">
        <v>46</v>
      </c>
      <c r="D507" s="5">
        <v>177676</v>
      </c>
      <c r="E507" s="5">
        <v>3278</v>
      </c>
      <c r="F507" s="5">
        <v>30871117</v>
      </c>
      <c r="G507" s="5">
        <v>1.8449312231252393</v>
      </c>
      <c r="H507" s="5">
        <v>9417.6683953630254</v>
      </c>
      <c r="I507" s="5">
        <v>173.74950471645016</v>
      </c>
    </row>
    <row r="508" spans="1:9" x14ac:dyDescent="0.2">
      <c r="A508" s="5" t="s">
        <v>72</v>
      </c>
      <c r="B508" s="5" t="s">
        <v>44</v>
      </c>
      <c r="C508" s="5" t="s">
        <v>47</v>
      </c>
      <c r="D508" s="5">
        <v>177845</v>
      </c>
      <c r="E508" s="5">
        <v>3213</v>
      </c>
      <c r="F508" s="5">
        <v>29950723</v>
      </c>
      <c r="G508" s="5">
        <v>1.8066293682701229</v>
      </c>
      <c r="H508" s="5">
        <v>9321.7314036725802</v>
      </c>
      <c r="I508" s="5">
        <v>168.4091371700076</v>
      </c>
    </row>
    <row r="509" spans="1:9" x14ac:dyDescent="0.2">
      <c r="A509" s="5" t="s">
        <v>72</v>
      </c>
      <c r="B509" s="5" t="s">
        <v>44</v>
      </c>
      <c r="C509" s="5" t="s">
        <v>48</v>
      </c>
      <c r="D509" s="5">
        <v>177688</v>
      </c>
      <c r="E509" s="5">
        <v>3206</v>
      </c>
      <c r="F509" s="5">
        <v>30516136</v>
      </c>
      <c r="G509" s="5">
        <v>1.8042861645130792</v>
      </c>
      <c r="H509" s="5">
        <v>9518.4454148471614</v>
      </c>
      <c r="I509" s="5">
        <v>171.7399936968169</v>
      </c>
    </row>
    <row r="510" spans="1:9" x14ac:dyDescent="0.2">
      <c r="A510" s="5" t="s">
        <v>72</v>
      </c>
      <c r="B510" s="5" t="s">
        <v>44</v>
      </c>
      <c r="C510" s="5" t="s">
        <v>49</v>
      </c>
      <c r="D510" s="5">
        <v>177151</v>
      </c>
      <c r="E510" s="5">
        <v>3137</v>
      </c>
      <c r="F510" s="5">
        <v>30411978</v>
      </c>
      <c r="G510" s="5">
        <v>1.7708056968349035</v>
      </c>
      <c r="H510" s="5">
        <v>9694.6056742110304</v>
      </c>
      <c r="I510" s="5">
        <v>171.67262956460871</v>
      </c>
    </row>
    <row r="511" spans="1:9" x14ac:dyDescent="0.2">
      <c r="A511" s="5" t="s">
        <v>72</v>
      </c>
      <c r="B511" s="5" t="s">
        <v>44</v>
      </c>
      <c r="C511" s="5" t="s">
        <v>50</v>
      </c>
      <c r="D511" s="5">
        <v>175860</v>
      </c>
      <c r="E511" s="5">
        <v>3009</v>
      </c>
      <c r="F511" s="5">
        <v>28221953</v>
      </c>
      <c r="G511" s="5">
        <v>1.7110201296485841</v>
      </c>
      <c r="H511" s="5">
        <v>9379.1801262878034</v>
      </c>
      <c r="I511" s="5">
        <v>160.47965995678379</v>
      </c>
    </row>
    <row r="512" spans="1:9" x14ac:dyDescent="0.2">
      <c r="A512" s="5" t="s">
        <v>72</v>
      </c>
      <c r="B512" s="5" t="s">
        <v>44</v>
      </c>
      <c r="C512" s="5" t="s">
        <v>51</v>
      </c>
      <c r="D512" s="5">
        <v>174910</v>
      </c>
      <c r="E512" s="5">
        <v>2956</v>
      </c>
      <c r="F512" s="5">
        <v>28973332</v>
      </c>
      <c r="G512" s="5">
        <v>1.690012006174604</v>
      </c>
      <c r="H512" s="5">
        <v>9801.5331529093364</v>
      </c>
      <c r="I512" s="5">
        <v>165.647087073352</v>
      </c>
    </row>
    <row r="513" spans="1:9" x14ac:dyDescent="0.2">
      <c r="A513" s="5" t="s">
        <v>72</v>
      </c>
      <c r="B513" s="5" t="s">
        <v>44</v>
      </c>
      <c r="C513" s="5" t="s">
        <v>52</v>
      </c>
      <c r="D513" s="5">
        <v>174240</v>
      </c>
      <c r="E513" s="5">
        <v>2884</v>
      </c>
      <c r="F513" s="5">
        <v>28726691</v>
      </c>
      <c r="G513" s="5">
        <v>1.6551882460973371</v>
      </c>
      <c r="H513" s="5">
        <v>9960.711165048544</v>
      </c>
      <c r="I513" s="5">
        <v>164.86852043158862</v>
      </c>
    </row>
    <row r="514" spans="1:9" x14ac:dyDescent="0.2">
      <c r="A514" s="5" t="s">
        <v>72</v>
      </c>
      <c r="B514" s="5" t="s">
        <v>44</v>
      </c>
      <c r="C514" s="5" t="s">
        <v>53</v>
      </c>
      <c r="D514" s="5">
        <v>174084</v>
      </c>
      <c r="E514" s="5">
        <v>2809</v>
      </c>
      <c r="F514" s="5">
        <v>27518781</v>
      </c>
      <c r="G514" s="5">
        <v>1.6135888421681488</v>
      </c>
      <c r="H514" s="5">
        <v>9796.646849412602</v>
      </c>
      <c r="I514" s="5">
        <v>158.07760046873923</v>
      </c>
    </row>
    <row r="515" spans="1:9" x14ac:dyDescent="0.2">
      <c r="A515" s="5" t="s">
        <v>72</v>
      </c>
      <c r="B515" s="5" t="s">
        <v>44</v>
      </c>
      <c r="C515" s="5" t="s">
        <v>54</v>
      </c>
      <c r="D515" s="5">
        <v>174413</v>
      </c>
      <c r="E515" s="5">
        <v>2764</v>
      </c>
      <c r="F515" s="5">
        <v>26883370</v>
      </c>
      <c r="G515" s="5">
        <v>1.5847442564487739</v>
      </c>
      <c r="H515" s="5">
        <v>9726.2554269175107</v>
      </c>
      <c r="I515" s="5">
        <v>154.13627424561241</v>
      </c>
    </row>
    <row r="516" spans="1:9" x14ac:dyDescent="0.2">
      <c r="A516" s="5" t="s">
        <v>72</v>
      </c>
      <c r="B516" s="5" t="s">
        <v>44</v>
      </c>
      <c r="C516" s="5" t="s">
        <v>55</v>
      </c>
      <c r="D516" s="5">
        <v>174771</v>
      </c>
      <c r="E516" s="5">
        <v>2754</v>
      </c>
      <c r="F516" s="5">
        <v>27217761</v>
      </c>
      <c r="G516" s="5">
        <v>1.5757763015603274</v>
      </c>
      <c r="H516" s="5">
        <v>9882.992374727668</v>
      </c>
      <c r="I516" s="5">
        <v>155.73385172597284</v>
      </c>
    </row>
    <row r="517" spans="1:9" x14ac:dyDescent="0.2">
      <c r="A517" s="5" t="s">
        <v>72</v>
      </c>
      <c r="B517" s="5" t="s">
        <v>44</v>
      </c>
      <c r="C517" s="5" t="s">
        <v>56</v>
      </c>
      <c r="D517" s="5">
        <v>175386</v>
      </c>
      <c r="E517" s="5">
        <v>2664</v>
      </c>
      <c r="F517" s="5">
        <v>26198119</v>
      </c>
      <c r="G517" s="5">
        <v>1.5189353768259723</v>
      </c>
      <c r="H517" s="5">
        <v>9834.1287537537537</v>
      </c>
      <c r="I517" s="5">
        <v>149.37406064338089</v>
      </c>
    </row>
    <row r="518" spans="1:9" x14ac:dyDescent="0.2">
      <c r="A518" s="5" t="s">
        <v>72</v>
      </c>
      <c r="B518" s="5" t="s">
        <v>44</v>
      </c>
      <c r="C518" s="5" t="s">
        <v>57</v>
      </c>
      <c r="D518" s="5">
        <v>176058</v>
      </c>
      <c r="E518" s="5">
        <v>2649</v>
      </c>
      <c r="F518" s="5">
        <v>27097808</v>
      </c>
      <c r="G518" s="5">
        <v>1.5046177964080019</v>
      </c>
      <c r="H518" s="5">
        <v>10229.448093620234</v>
      </c>
      <c r="I518" s="5">
        <v>153.91409649092913</v>
      </c>
    </row>
    <row r="519" spans="1:9" x14ac:dyDescent="0.2">
      <c r="A519" s="5" t="s">
        <v>72</v>
      </c>
      <c r="B519" s="5" t="s">
        <v>44</v>
      </c>
      <c r="C519" s="5" t="s">
        <v>58</v>
      </c>
      <c r="D519" s="5">
        <v>176901</v>
      </c>
      <c r="E519" s="5">
        <v>2639</v>
      </c>
      <c r="F519" s="5">
        <v>28344731</v>
      </c>
      <c r="G519" s="5">
        <v>1.4917948457046597</v>
      </c>
      <c r="H519" s="5">
        <v>10740.708980674497</v>
      </c>
      <c r="I519" s="5">
        <v>160.22934296583966</v>
      </c>
    </row>
    <row r="520" spans="1:9" x14ac:dyDescent="0.2">
      <c r="A520" s="5" t="s">
        <v>72</v>
      </c>
      <c r="B520" s="5" t="s">
        <v>44</v>
      </c>
      <c r="C520" s="5" t="s">
        <v>59</v>
      </c>
      <c r="D520" s="5">
        <v>177912</v>
      </c>
      <c r="E520" s="5">
        <v>2607</v>
      </c>
      <c r="F520" s="5">
        <v>27673586</v>
      </c>
      <c r="G520" s="5">
        <v>1.465331174962903</v>
      </c>
      <c r="H520" s="5">
        <v>10615.10778672804</v>
      </c>
      <c r="I520" s="5">
        <v>155.54648365484059</v>
      </c>
    </row>
    <row r="521" spans="1:9" x14ac:dyDescent="0.2">
      <c r="A521" s="5" t="s">
        <v>72</v>
      </c>
      <c r="B521" s="5" t="s">
        <v>44</v>
      </c>
      <c r="C521" s="5" t="s">
        <v>60</v>
      </c>
      <c r="D521" s="5">
        <v>179006</v>
      </c>
      <c r="E521" s="5">
        <v>2639</v>
      </c>
      <c r="F521" s="5">
        <v>28270774</v>
      </c>
      <c r="G521" s="5">
        <v>1.4742522597007921</v>
      </c>
      <c r="H521" s="5">
        <v>10712.684350132626</v>
      </c>
      <c r="I521" s="5">
        <v>157.93199110644335</v>
      </c>
    </row>
    <row r="522" spans="1:9" x14ac:dyDescent="0.2">
      <c r="A522" s="5" t="s">
        <v>72</v>
      </c>
      <c r="B522" s="5" t="s">
        <v>44</v>
      </c>
      <c r="C522" s="5" t="s">
        <v>61</v>
      </c>
      <c r="D522" s="5">
        <v>180354</v>
      </c>
      <c r="E522" s="5">
        <v>2634</v>
      </c>
      <c r="F522" s="5">
        <v>28887378</v>
      </c>
      <c r="G522" s="5">
        <v>1.4604610931834059</v>
      </c>
      <c r="H522" s="5">
        <v>10967.1138952164</v>
      </c>
      <c r="I522" s="5">
        <v>160.17043148474667</v>
      </c>
    </row>
    <row r="523" spans="1:9" x14ac:dyDescent="0.2">
      <c r="A523" s="5" t="s">
        <v>72</v>
      </c>
      <c r="B523" s="5" t="s">
        <v>44</v>
      </c>
      <c r="C523" s="5" t="s">
        <v>62</v>
      </c>
      <c r="D523" s="5">
        <v>181827</v>
      </c>
      <c r="E523" s="5">
        <v>2632</v>
      </c>
      <c r="F523" s="5">
        <v>28053092</v>
      </c>
      <c r="G523" s="5">
        <v>1.4475297948049519</v>
      </c>
      <c r="H523" s="5">
        <v>10658.469604863221</v>
      </c>
      <c r="I523" s="5">
        <v>154.28452320062476</v>
      </c>
    </row>
    <row r="524" spans="1:9" x14ac:dyDescent="0.2">
      <c r="A524" s="5" t="s">
        <v>72</v>
      </c>
      <c r="B524" s="5" t="s">
        <v>63</v>
      </c>
      <c r="C524" s="5" t="s">
        <v>45</v>
      </c>
      <c r="D524" s="5">
        <v>177152</v>
      </c>
      <c r="E524" s="5">
        <v>10631</v>
      </c>
      <c r="F524" s="5">
        <v>22163152</v>
      </c>
      <c r="G524" s="5">
        <v>6.0010612355491331</v>
      </c>
      <c r="H524" s="5">
        <v>2084.7664377763144</v>
      </c>
      <c r="I524" s="5">
        <v>125.10811054913295</v>
      </c>
    </row>
    <row r="525" spans="1:9" x14ac:dyDescent="0.2">
      <c r="A525" s="5" t="s">
        <v>72</v>
      </c>
      <c r="B525" s="5" t="s">
        <v>63</v>
      </c>
      <c r="C525" s="5" t="s">
        <v>46</v>
      </c>
      <c r="D525" s="5">
        <v>177676</v>
      </c>
      <c r="E525" s="5">
        <v>10490</v>
      </c>
      <c r="F525" s="5">
        <v>22102514</v>
      </c>
      <c r="G525" s="5">
        <v>5.9040050428870527</v>
      </c>
      <c r="H525" s="5">
        <v>2107.0080076263107</v>
      </c>
      <c r="I525" s="5">
        <v>124.39785902429141</v>
      </c>
    </row>
    <row r="526" spans="1:9" x14ac:dyDescent="0.2">
      <c r="A526" s="5" t="s">
        <v>72</v>
      </c>
      <c r="B526" s="5" t="s">
        <v>63</v>
      </c>
      <c r="C526" s="5" t="s">
        <v>47</v>
      </c>
      <c r="D526" s="5">
        <v>177845</v>
      </c>
      <c r="E526" s="5">
        <v>10544</v>
      </c>
      <c r="F526" s="5">
        <v>22243038</v>
      </c>
      <c r="G526" s="5">
        <v>5.9287581883100451</v>
      </c>
      <c r="H526" s="5">
        <v>2109.5445751138086</v>
      </c>
      <c r="I526" s="5">
        <v>125.06979673311029</v>
      </c>
    </row>
    <row r="527" spans="1:9" x14ac:dyDescent="0.2">
      <c r="A527" s="5" t="s">
        <v>72</v>
      </c>
      <c r="B527" s="5" t="s">
        <v>63</v>
      </c>
      <c r="C527" s="5" t="s">
        <v>48</v>
      </c>
      <c r="D527" s="5">
        <v>177688</v>
      </c>
      <c r="E527" s="5">
        <v>10628</v>
      </c>
      <c r="F527" s="5">
        <v>22440183</v>
      </c>
      <c r="G527" s="5">
        <v>5.9812705416235197</v>
      </c>
      <c r="H527" s="5">
        <v>2111.421057583741</v>
      </c>
      <c r="I527" s="5">
        <v>126.28980572689208</v>
      </c>
    </row>
    <row r="528" spans="1:9" x14ac:dyDescent="0.2">
      <c r="A528" s="5" t="s">
        <v>72</v>
      </c>
      <c r="B528" s="5" t="s">
        <v>63</v>
      </c>
      <c r="C528" s="5" t="s">
        <v>49</v>
      </c>
      <c r="D528" s="5">
        <v>177151</v>
      </c>
      <c r="E528" s="5">
        <v>10384</v>
      </c>
      <c r="F528" s="5">
        <v>22127848</v>
      </c>
      <c r="G528" s="5">
        <v>5.8616660363192983</v>
      </c>
      <c r="H528" s="5">
        <v>2130.9560862865947</v>
      </c>
      <c r="I528" s="5">
        <v>124.90952915874028</v>
      </c>
    </row>
    <row r="529" spans="1:9" x14ac:dyDescent="0.2">
      <c r="A529" s="5" t="s">
        <v>72</v>
      </c>
      <c r="B529" s="5" t="s">
        <v>63</v>
      </c>
      <c r="C529" s="5" t="s">
        <v>50</v>
      </c>
      <c r="D529" s="5">
        <v>175860</v>
      </c>
      <c r="E529" s="5">
        <v>10206</v>
      </c>
      <c r="F529" s="5">
        <v>21779187</v>
      </c>
      <c r="G529" s="5">
        <v>5.8034800409416585</v>
      </c>
      <c r="H529" s="5">
        <v>2133.9591416813637</v>
      </c>
      <c r="I529" s="5">
        <v>123.84389286932787</v>
      </c>
    </row>
    <row r="530" spans="1:9" x14ac:dyDescent="0.2">
      <c r="A530" s="5" t="s">
        <v>72</v>
      </c>
      <c r="B530" s="5" t="s">
        <v>63</v>
      </c>
      <c r="C530" s="5" t="s">
        <v>51</v>
      </c>
      <c r="D530" s="5">
        <v>174910</v>
      </c>
      <c r="E530" s="5">
        <v>10108</v>
      </c>
      <c r="F530" s="5">
        <v>21817455</v>
      </c>
      <c r="G530" s="5">
        <v>5.7789720427648508</v>
      </c>
      <c r="H530" s="5">
        <v>2158.4344083893943</v>
      </c>
      <c r="I530" s="5">
        <v>124.73532102224002</v>
      </c>
    </row>
    <row r="531" spans="1:9" x14ac:dyDescent="0.2">
      <c r="A531" s="5" t="s">
        <v>72</v>
      </c>
      <c r="B531" s="5" t="s">
        <v>63</v>
      </c>
      <c r="C531" s="5" t="s">
        <v>52</v>
      </c>
      <c r="D531" s="5">
        <v>174240</v>
      </c>
      <c r="E531" s="5">
        <v>9955</v>
      </c>
      <c r="F531" s="5">
        <v>21755638</v>
      </c>
      <c r="G531" s="5">
        <v>5.7133838383838382</v>
      </c>
      <c r="H531" s="5">
        <v>2185.3980914113513</v>
      </c>
      <c r="I531" s="5">
        <v>124.860181359045</v>
      </c>
    </row>
    <row r="532" spans="1:9" x14ac:dyDescent="0.2">
      <c r="A532" s="5" t="s">
        <v>72</v>
      </c>
      <c r="B532" s="5" t="s">
        <v>63</v>
      </c>
      <c r="C532" s="5" t="s">
        <v>53</v>
      </c>
      <c r="D532" s="5">
        <v>174084</v>
      </c>
      <c r="E532" s="5">
        <v>9850</v>
      </c>
      <c r="F532" s="5">
        <v>21688585</v>
      </c>
      <c r="G532" s="5">
        <v>5.6581880011948256</v>
      </c>
      <c r="H532" s="5">
        <v>2201.8868020304567</v>
      </c>
      <c r="I532" s="5">
        <v>124.58689483237977</v>
      </c>
    </row>
    <row r="533" spans="1:9" x14ac:dyDescent="0.2">
      <c r="A533" s="5" t="s">
        <v>72</v>
      </c>
      <c r="B533" s="5" t="s">
        <v>63</v>
      </c>
      <c r="C533" s="5" t="s">
        <v>54</v>
      </c>
      <c r="D533" s="5">
        <v>174413</v>
      </c>
      <c r="E533" s="5">
        <v>9856</v>
      </c>
      <c r="F533" s="5">
        <v>21678652</v>
      </c>
      <c r="G533" s="5">
        <v>5.6509549173513438</v>
      </c>
      <c r="H533" s="5">
        <v>2199.5385551948052</v>
      </c>
      <c r="I533" s="5">
        <v>124.29493214381955</v>
      </c>
    </row>
    <row r="534" spans="1:9" x14ac:dyDescent="0.2">
      <c r="A534" s="5" t="s">
        <v>72</v>
      </c>
      <c r="B534" s="5" t="s">
        <v>63</v>
      </c>
      <c r="C534" s="5" t="s">
        <v>55</v>
      </c>
      <c r="D534" s="5">
        <v>174771</v>
      </c>
      <c r="E534" s="5">
        <v>9746</v>
      </c>
      <c r="F534" s="5">
        <v>21647902</v>
      </c>
      <c r="G534" s="5">
        <v>5.5764400272356394</v>
      </c>
      <c r="H534" s="5">
        <v>2221.2089062179357</v>
      </c>
      <c r="I534" s="5">
        <v>123.8643825348599</v>
      </c>
    </row>
    <row r="535" spans="1:9" x14ac:dyDescent="0.2">
      <c r="A535" s="5" t="s">
        <v>72</v>
      </c>
      <c r="B535" s="5" t="s">
        <v>63</v>
      </c>
      <c r="C535" s="5" t="s">
        <v>56</v>
      </c>
      <c r="D535" s="5">
        <v>175386</v>
      </c>
      <c r="E535" s="5">
        <v>9723</v>
      </c>
      <c r="F535" s="5">
        <v>21956342</v>
      </c>
      <c r="G535" s="5">
        <v>5.5437720228524512</v>
      </c>
      <c r="H535" s="5">
        <v>2258.1859508382186</v>
      </c>
      <c r="I535" s="5">
        <v>125.18868096655378</v>
      </c>
    </row>
    <row r="536" spans="1:9" x14ac:dyDescent="0.2">
      <c r="A536" s="5" t="s">
        <v>72</v>
      </c>
      <c r="B536" s="5" t="s">
        <v>63</v>
      </c>
      <c r="C536" s="5" t="s">
        <v>57</v>
      </c>
      <c r="D536" s="5">
        <v>176058</v>
      </c>
      <c r="E536" s="5">
        <v>9873</v>
      </c>
      <c r="F536" s="5">
        <v>22361511</v>
      </c>
      <c r="G536" s="5">
        <v>5.607811062263572</v>
      </c>
      <c r="H536" s="5">
        <v>2264.9155271953814</v>
      </c>
      <c r="I536" s="5">
        <v>127.0121834849879</v>
      </c>
    </row>
    <row r="537" spans="1:9" x14ac:dyDescent="0.2">
      <c r="A537" s="5" t="s">
        <v>72</v>
      </c>
      <c r="B537" s="5" t="s">
        <v>63</v>
      </c>
      <c r="C537" s="5" t="s">
        <v>58</v>
      </c>
      <c r="D537" s="5">
        <v>176901</v>
      </c>
      <c r="E537" s="5">
        <v>9824</v>
      </c>
      <c r="F537" s="5">
        <v>22808916</v>
      </c>
      <c r="G537" s="5">
        <v>5.5533886184928294</v>
      </c>
      <c r="H537" s="5">
        <v>2321.7544788273617</v>
      </c>
      <c r="I537" s="5">
        <v>128.9360489765462</v>
      </c>
    </row>
    <row r="538" spans="1:9" x14ac:dyDescent="0.2">
      <c r="A538" s="5" t="s">
        <v>72</v>
      </c>
      <c r="B538" s="5" t="s">
        <v>63</v>
      </c>
      <c r="C538" s="5" t="s">
        <v>59</v>
      </c>
      <c r="D538" s="5">
        <v>177912</v>
      </c>
      <c r="E538" s="5">
        <v>9946</v>
      </c>
      <c r="F538" s="5">
        <v>23070541</v>
      </c>
      <c r="G538" s="5">
        <v>5.5904042447951801</v>
      </c>
      <c r="H538" s="5">
        <v>2319.5798310878745</v>
      </c>
      <c r="I538" s="5">
        <v>129.6738893385494</v>
      </c>
    </row>
    <row r="539" spans="1:9" x14ac:dyDescent="0.2">
      <c r="A539" s="5" t="s">
        <v>72</v>
      </c>
      <c r="B539" s="5" t="s">
        <v>63</v>
      </c>
      <c r="C539" s="5" t="s">
        <v>60</v>
      </c>
      <c r="D539" s="5">
        <v>179006</v>
      </c>
      <c r="E539" s="5">
        <v>10022</v>
      </c>
      <c r="F539" s="5">
        <v>23069491</v>
      </c>
      <c r="G539" s="5">
        <v>5.5986950158095263</v>
      </c>
      <c r="H539" s="5">
        <v>2301.8849531031728</v>
      </c>
      <c r="I539" s="5">
        <v>128.87551813905679</v>
      </c>
    </row>
    <row r="540" spans="1:9" x14ac:dyDescent="0.2">
      <c r="A540" s="5" t="s">
        <v>72</v>
      </c>
      <c r="B540" s="5" t="s">
        <v>63</v>
      </c>
      <c r="C540" s="5" t="s">
        <v>61</v>
      </c>
      <c r="D540" s="5">
        <v>180354</v>
      </c>
      <c r="E540" s="5">
        <v>9967</v>
      </c>
      <c r="F540" s="5">
        <v>23588225</v>
      </c>
      <c r="G540" s="5">
        <v>5.5263537265599876</v>
      </c>
      <c r="H540" s="5">
        <v>2366.6323868766931</v>
      </c>
      <c r="I540" s="5">
        <v>130.7884771061357</v>
      </c>
    </row>
    <row r="541" spans="1:9" x14ac:dyDescent="0.2">
      <c r="A541" s="5" t="s">
        <v>72</v>
      </c>
      <c r="B541" s="5" t="s">
        <v>63</v>
      </c>
      <c r="C541" s="5" t="s">
        <v>62</v>
      </c>
      <c r="D541" s="5">
        <v>181827</v>
      </c>
      <c r="E541" s="5">
        <v>10111</v>
      </c>
      <c r="F541" s="5">
        <v>23856053</v>
      </c>
      <c r="G541" s="5">
        <v>5.5607803021553455</v>
      </c>
      <c r="H541" s="5">
        <v>2359.4157847888437</v>
      </c>
      <c r="I541" s="5">
        <v>131.20192820648199</v>
      </c>
    </row>
    <row r="542" spans="1:9" x14ac:dyDescent="0.2">
      <c r="A542" s="5" t="s">
        <v>72</v>
      </c>
      <c r="B542" s="5" t="s">
        <v>73</v>
      </c>
      <c r="C542" s="5" t="s">
        <v>45</v>
      </c>
      <c r="D542" s="5">
        <v>177152</v>
      </c>
      <c r="E542" s="5">
        <v>559</v>
      </c>
      <c r="F542" s="5">
        <v>2725688</v>
      </c>
      <c r="G542" s="5">
        <v>0.3155482297687861</v>
      </c>
      <c r="H542" s="5">
        <v>4876.0071556350622</v>
      </c>
      <c r="I542" s="5">
        <v>15.38615426300578</v>
      </c>
    </row>
    <row r="543" spans="1:9" x14ac:dyDescent="0.2">
      <c r="A543" s="5" t="s">
        <v>72</v>
      </c>
      <c r="B543" s="5" t="s">
        <v>73</v>
      </c>
      <c r="C543" s="5" t="s">
        <v>46</v>
      </c>
      <c r="D543" s="5">
        <v>177676</v>
      </c>
      <c r="E543" s="5">
        <v>590</v>
      </c>
      <c r="F543" s="5">
        <v>3217558</v>
      </c>
      <c r="G543" s="5">
        <v>0.33206510727391431</v>
      </c>
      <c r="H543" s="5">
        <v>5453.4881355932202</v>
      </c>
      <c r="I543" s="5">
        <v>18.109131227627817</v>
      </c>
    </row>
    <row r="544" spans="1:9" x14ac:dyDescent="0.2">
      <c r="A544" s="5" t="s">
        <v>72</v>
      </c>
      <c r="B544" s="5" t="s">
        <v>73</v>
      </c>
      <c r="C544" s="5" t="s">
        <v>47</v>
      </c>
      <c r="D544" s="5">
        <v>177845</v>
      </c>
      <c r="E544" s="5">
        <v>628</v>
      </c>
      <c r="F544" s="5">
        <v>3288906</v>
      </c>
      <c r="G544" s="5">
        <v>0.35311647783181982</v>
      </c>
      <c r="H544" s="5">
        <v>5237.1114649681531</v>
      </c>
      <c r="I544" s="5">
        <v>18.493103545221963</v>
      </c>
    </row>
    <row r="545" spans="1:9" x14ac:dyDescent="0.2">
      <c r="A545" s="5" t="s">
        <v>72</v>
      </c>
      <c r="B545" s="5" t="s">
        <v>73</v>
      </c>
      <c r="C545" s="5" t="s">
        <v>48</v>
      </c>
      <c r="D545" s="5">
        <v>177688</v>
      </c>
      <c r="E545" s="5">
        <v>654</v>
      </c>
      <c r="F545" s="5">
        <v>3212074</v>
      </c>
      <c r="G545" s="5">
        <v>0.36806087073972354</v>
      </c>
      <c r="H545" s="5">
        <v>4911.4281345565751</v>
      </c>
      <c r="I545" s="5">
        <v>18.07704515780469</v>
      </c>
    </row>
    <row r="546" spans="1:9" x14ac:dyDescent="0.2">
      <c r="A546" s="5" t="s">
        <v>72</v>
      </c>
      <c r="B546" s="5" t="s">
        <v>73</v>
      </c>
      <c r="C546" s="5" t="s">
        <v>49</v>
      </c>
      <c r="D546" s="5">
        <v>177151</v>
      </c>
      <c r="E546" s="5">
        <v>668</v>
      </c>
      <c r="F546" s="5">
        <v>3187116</v>
      </c>
      <c r="G546" s="5">
        <v>0.37707944070312899</v>
      </c>
      <c r="H546" s="5">
        <v>4771.131736526946</v>
      </c>
      <c r="I546" s="5">
        <v>17.990956867305293</v>
      </c>
    </row>
    <row r="547" spans="1:9" x14ac:dyDescent="0.2">
      <c r="A547" s="5" t="s">
        <v>72</v>
      </c>
      <c r="B547" s="5" t="s">
        <v>73</v>
      </c>
      <c r="C547" s="5" t="s">
        <v>50</v>
      </c>
      <c r="D547" s="5">
        <v>175860</v>
      </c>
      <c r="E547" s="5">
        <v>653</v>
      </c>
      <c r="F547" s="5">
        <v>2966181</v>
      </c>
      <c r="G547" s="5">
        <v>0.37131809393836007</v>
      </c>
      <c r="H547" s="5">
        <v>4542.3905053598774</v>
      </c>
      <c r="I547" s="5">
        <v>16.866717843739337</v>
      </c>
    </row>
    <row r="548" spans="1:9" x14ac:dyDescent="0.2">
      <c r="A548" s="5" t="s">
        <v>72</v>
      </c>
      <c r="B548" s="5" t="s">
        <v>73</v>
      </c>
      <c r="C548" s="5" t="s">
        <v>51</v>
      </c>
      <c r="D548" s="5">
        <v>174910</v>
      </c>
      <c r="E548" s="5">
        <v>623</v>
      </c>
      <c r="F548" s="5">
        <v>2884183</v>
      </c>
      <c r="G548" s="5">
        <v>0.35618317992110227</v>
      </c>
      <c r="H548" s="5">
        <v>4629.5072231139648</v>
      </c>
      <c r="I548" s="5">
        <v>16.489526041964439</v>
      </c>
    </row>
    <row r="549" spans="1:9" x14ac:dyDescent="0.2">
      <c r="A549" s="5" t="s">
        <v>72</v>
      </c>
      <c r="B549" s="5" t="s">
        <v>73</v>
      </c>
      <c r="C549" s="5" t="s">
        <v>52</v>
      </c>
      <c r="D549" s="5">
        <v>174240</v>
      </c>
      <c r="E549" s="5">
        <v>568</v>
      </c>
      <c r="F549" s="5">
        <v>2620325</v>
      </c>
      <c r="G549" s="5">
        <v>0.32598714416896235</v>
      </c>
      <c r="H549" s="5">
        <v>4613.2482394366198</v>
      </c>
      <c r="I549" s="5">
        <v>15.038596189164371</v>
      </c>
    </row>
    <row r="550" spans="1:9" x14ac:dyDescent="0.2">
      <c r="A550" s="5" t="s">
        <v>72</v>
      </c>
      <c r="B550" s="5" t="s">
        <v>73</v>
      </c>
      <c r="C550" s="5" t="s">
        <v>53</v>
      </c>
      <c r="D550" s="5">
        <v>174084</v>
      </c>
      <c r="E550" s="5">
        <v>540</v>
      </c>
      <c r="F550" s="5">
        <v>2670482</v>
      </c>
      <c r="G550" s="5">
        <v>0.31019507823809195</v>
      </c>
      <c r="H550" s="5">
        <v>4945.3370370370367</v>
      </c>
      <c r="I550" s="5">
        <v>15.340192091174375</v>
      </c>
    </row>
    <row r="551" spans="1:9" x14ac:dyDescent="0.2">
      <c r="A551" s="5" t="s">
        <v>72</v>
      </c>
      <c r="B551" s="5" t="s">
        <v>73</v>
      </c>
      <c r="C551" s="5" t="s">
        <v>54</v>
      </c>
      <c r="D551" s="5">
        <v>174413</v>
      </c>
      <c r="E551" s="5">
        <v>565</v>
      </c>
      <c r="F551" s="5">
        <v>2684780</v>
      </c>
      <c r="G551" s="5">
        <v>0.32394374272559956</v>
      </c>
      <c r="H551" s="5">
        <v>4751.8230088495575</v>
      </c>
      <c r="I551" s="5">
        <v>15.393233302563456</v>
      </c>
    </row>
    <row r="552" spans="1:9" x14ac:dyDescent="0.2">
      <c r="A552" s="5" t="s">
        <v>72</v>
      </c>
      <c r="B552" s="5" t="s">
        <v>73</v>
      </c>
      <c r="C552" s="5" t="s">
        <v>55</v>
      </c>
      <c r="D552" s="5">
        <v>174771</v>
      </c>
      <c r="E552" s="5">
        <v>547</v>
      </c>
      <c r="F552" s="5">
        <v>2528972</v>
      </c>
      <c r="G552" s="5">
        <v>0.31298098654811152</v>
      </c>
      <c r="H552" s="5">
        <v>4623.3491773308961</v>
      </c>
      <c r="I552" s="5">
        <v>14.470203866774236</v>
      </c>
    </row>
    <row r="553" spans="1:9" x14ac:dyDescent="0.2">
      <c r="A553" s="5" t="s">
        <v>72</v>
      </c>
      <c r="B553" s="5" t="s">
        <v>73</v>
      </c>
      <c r="C553" s="5" t="s">
        <v>56</v>
      </c>
      <c r="D553" s="5">
        <v>175386</v>
      </c>
      <c r="E553" s="5">
        <v>568</v>
      </c>
      <c r="F553" s="5">
        <v>2781044</v>
      </c>
      <c r="G553" s="5">
        <v>0.3238570923562884</v>
      </c>
      <c r="H553" s="5">
        <v>4896.2042253521131</v>
      </c>
      <c r="I553" s="5">
        <v>15.856704640051086</v>
      </c>
    </row>
    <row r="554" spans="1:9" x14ac:dyDescent="0.2">
      <c r="A554" s="5" t="s">
        <v>72</v>
      </c>
      <c r="B554" s="5" t="s">
        <v>73</v>
      </c>
      <c r="C554" s="5" t="s">
        <v>57</v>
      </c>
      <c r="D554" s="5">
        <v>176058</v>
      </c>
      <c r="E554" s="5">
        <v>562</v>
      </c>
      <c r="F554" s="5">
        <v>2835084</v>
      </c>
      <c r="G554" s="5">
        <v>0.31921298662940623</v>
      </c>
      <c r="H554" s="5">
        <v>5044.6334519572956</v>
      </c>
      <c r="I554" s="5">
        <v>16.103125106498993</v>
      </c>
    </row>
    <row r="555" spans="1:9" x14ac:dyDescent="0.2">
      <c r="A555" s="5" t="s">
        <v>72</v>
      </c>
      <c r="B555" s="5" t="s">
        <v>73</v>
      </c>
      <c r="C555" s="5" t="s">
        <v>58</v>
      </c>
      <c r="D555" s="5">
        <v>176901</v>
      </c>
      <c r="E555" s="5">
        <v>530</v>
      </c>
      <c r="F555" s="5">
        <v>2645093</v>
      </c>
      <c r="G555" s="5">
        <v>0.29960260258562699</v>
      </c>
      <c r="H555" s="5">
        <v>4990.7415094339622</v>
      </c>
      <c r="I555" s="5">
        <v>14.952391450585356</v>
      </c>
    </row>
    <row r="556" spans="1:9" x14ac:dyDescent="0.2">
      <c r="A556" s="5" t="s">
        <v>72</v>
      </c>
      <c r="B556" s="5" t="s">
        <v>73</v>
      </c>
      <c r="C556" s="5" t="s">
        <v>59</v>
      </c>
      <c r="D556" s="5">
        <v>177912</v>
      </c>
      <c r="E556" s="5">
        <v>542</v>
      </c>
      <c r="F556" s="5">
        <v>2848689</v>
      </c>
      <c r="G556" s="5">
        <v>0.30464499303026216</v>
      </c>
      <c r="H556" s="5">
        <v>5255.8837638376381</v>
      </c>
      <c r="I556" s="5">
        <v>16.011786726021853</v>
      </c>
    </row>
    <row r="557" spans="1:9" x14ac:dyDescent="0.2">
      <c r="A557" s="5" t="s">
        <v>72</v>
      </c>
      <c r="B557" s="5" t="s">
        <v>73</v>
      </c>
      <c r="C557" s="5" t="s">
        <v>60</v>
      </c>
      <c r="D557" s="5">
        <v>179006</v>
      </c>
      <c r="E557" s="5">
        <v>556</v>
      </c>
      <c r="F557" s="5">
        <v>2642031</v>
      </c>
      <c r="G557" s="5">
        <v>0.31060411382858677</v>
      </c>
      <c r="H557" s="5">
        <v>4751.8543165467627</v>
      </c>
      <c r="I557" s="5">
        <v>14.75945499033552</v>
      </c>
    </row>
    <row r="558" spans="1:9" x14ac:dyDescent="0.2">
      <c r="A558" s="5" t="s">
        <v>72</v>
      </c>
      <c r="B558" s="5" t="s">
        <v>73</v>
      </c>
      <c r="C558" s="5" t="s">
        <v>61</v>
      </c>
      <c r="D558" s="5">
        <v>180354</v>
      </c>
      <c r="E558" s="5">
        <v>546</v>
      </c>
      <c r="F558" s="5">
        <v>2321043</v>
      </c>
      <c r="G558" s="5">
        <v>0.30273794870088827</v>
      </c>
      <c r="H558" s="5">
        <v>4250.9945054945056</v>
      </c>
      <c r="I558" s="5">
        <v>12.869373565321535</v>
      </c>
    </row>
    <row r="559" spans="1:9" x14ac:dyDescent="0.2">
      <c r="A559" s="5" t="s">
        <v>72</v>
      </c>
      <c r="B559" s="5" t="s">
        <v>73</v>
      </c>
      <c r="C559" s="5" t="s">
        <v>62</v>
      </c>
      <c r="D559" s="5">
        <v>181827</v>
      </c>
      <c r="E559" s="5">
        <v>539</v>
      </c>
      <c r="F559" s="5">
        <v>2403148</v>
      </c>
      <c r="G559" s="5">
        <v>0.29643562287229069</v>
      </c>
      <c r="H559" s="5">
        <v>4458.5306122448983</v>
      </c>
      <c r="I559" s="5">
        <v>13.216672991359919</v>
      </c>
    </row>
    <row r="560" spans="1:9" x14ac:dyDescent="0.2">
      <c r="A560" s="5" t="s">
        <v>72</v>
      </c>
      <c r="B560" s="5" t="s">
        <v>64</v>
      </c>
      <c r="C560" s="5" t="s">
        <v>45</v>
      </c>
      <c r="D560" s="5">
        <v>142369</v>
      </c>
      <c r="E560" s="5">
        <v>10990</v>
      </c>
      <c r="F560" s="5">
        <v>15373740</v>
      </c>
      <c r="G560" s="5">
        <v>7.7193771115903038</v>
      </c>
      <c r="H560" s="5">
        <v>1398.8844404003639</v>
      </c>
      <c r="I560" s="5">
        <v>107.9851653098638</v>
      </c>
    </row>
    <row r="561" spans="1:9" x14ac:dyDescent="0.2">
      <c r="A561" s="5" t="s">
        <v>72</v>
      </c>
      <c r="B561" s="5" t="s">
        <v>64</v>
      </c>
      <c r="C561" s="5" t="s">
        <v>46</v>
      </c>
      <c r="D561" s="5">
        <v>143245</v>
      </c>
      <c r="E561" s="5">
        <v>11312</v>
      </c>
      <c r="F561" s="5">
        <v>16511200</v>
      </c>
      <c r="G561" s="5">
        <v>7.896959754267165</v>
      </c>
      <c r="H561" s="5">
        <v>1459.6181046676097</v>
      </c>
      <c r="I561" s="5">
        <v>115.26545429159832</v>
      </c>
    </row>
    <row r="562" spans="1:9" x14ac:dyDescent="0.2">
      <c r="A562" s="5" t="s">
        <v>72</v>
      </c>
      <c r="B562" s="5" t="s">
        <v>64</v>
      </c>
      <c r="C562" s="5" t="s">
        <v>47</v>
      </c>
      <c r="D562" s="5">
        <v>143885</v>
      </c>
      <c r="E562" s="5">
        <v>11549</v>
      </c>
      <c r="F562" s="5">
        <v>17394158</v>
      </c>
      <c r="G562" s="5">
        <v>8.0265489800882648</v>
      </c>
      <c r="H562" s="5">
        <v>1506.1181054636766</v>
      </c>
      <c r="I562" s="5">
        <v>120.88930743301943</v>
      </c>
    </row>
    <row r="563" spans="1:9" x14ac:dyDescent="0.2">
      <c r="A563" s="5" t="s">
        <v>72</v>
      </c>
      <c r="B563" s="5" t="s">
        <v>64</v>
      </c>
      <c r="C563" s="5" t="s">
        <v>48</v>
      </c>
      <c r="D563" s="5">
        <v>144347</v>
      </c>
      <c r="E563" s="5">
        <v>11399</v>
      </c>
      <c r="F563" s="5">
        <v>17493416</v>
      </c>
      <c r="G563" s="5">
        <v>7.8969427837087016</v>
      </c>
      <c r="H563" s="5">
        <v>1534.6447934029302</v>
      </c>
      <c r="I563" s="5">
        <v>121.190021268194</v>
      </c>
    </row>
    <row r="564" spans="1:9" x14ac:dyDescent="0.2">
      <c r="A564" s="5" t="s">
        <v>72</v>
      </c>
      <c r="B564" s="5" t="s">
        <v>64</v>
      </c>
      <c r="C564" s="5" t="s">
        <v>49</v>
      </c>
      <c r="D564" s="5">
        <v>144513</v>
      </c>
      <c r="E564" s="5">
        <v>11369</v>
      </c>
      <c r="F564" s="5">
        <v>18118589</v>
      </c>
      <c r="G564" s="5">
        <v>7.8671123013154522</v>
      </c>
      <c r="H564" s="5">
        <v>1593.6836133345062</v>
      </c>
      <c r="I564" s="5">
        <v>125.37687958868753</v>
      </c>
    </row>
    <row r="565" spans="1:9" x14ac:dyDescent="0.2">
      <c r="A565" s="5" t="s">
        <v>72</v>
      </c>
      <c r="B565" s="5" t="s">
        <v>64</v>
      </c>
      <c r="C565" s="5" t="s">
        <v>50</v>
      </c>
      <c r="D565" s="5">
        <v>144133</v>
      </c>
      <c r="E565" s="5">
        <v>11420</v>
      </c>
      <c r="F565" s="5">
        <v>18527932</v>
      </c>
      <c r="G565" s="5">
        <v>7.9232375653042677</v>
      </c>
      <c r="H565" s="5">
        <v>1622.4108581436078</v>
      </c>
      <c r="I565" s="5">
        <v>128.54746657600967</v>
      </c>
    </row>
    <row r="566" spans="1:9" x14ac:dyDescent="0.2">
      <c r="A566" s="5" t="s">
        <v>72</v>
      </c>
      <c r="B566" s="5" t="s">
        <v>64</v>
      </c>
      <c r="C566" s="5" t="s">
        <v>51</v>
      </c>
      <c r="D566" s="5">
        <v>143900</v>
      </c>
      <c r="E566" s="5">
        <v>11561</v>
      </c>
      <c r="F566" s="5">
        <v>18737348</v>
      </c>
      <c r="G566" s="5">
        <v>8.0340514246004169</v>
      </c>
      <c r="H566" s="5">
        <v>1620.7376524522101</v>
      </c>
      <c r="I566" s="5">
        <v>130.21089645587213</v>
      </c>
    </row>
    <row r="567" spans="1:9" x14ac:dyDescent="0.2">
      <c r="A567" s="5" t="s">
        <v>72</v>
      </c>
      <c r="B567" s="5" t="s">
        <v>64</v>
      </c>
      <c r="C567" s="5" t="s">
        <v>52</v>
      </c>
      <c r="D567" s="5">
        <v>143594</v>
      </c>
      <c r="E567" s="5">
        <v>11893</v>
      </c>
      <c r="F567" s="5">
        <v>19347788</v>
      </c>
      <c r="G567" s="5">
        <v>8.2823794866080753</v>
      </c>
      <c r="H567" s="5">
        <v>1626.8214916337342</v>
      </c>
      <c r="I567" s="5">
        <v>134.7395295068039</v>
      </c>
    </row>
    <row r="568" spans="1:9" x14ac:dyDescent="0.2">
      <c r="A568" s="5" t="s">
        <v>72</v>
      </c>
      <c r="B568" s="5" t="s">
        <v>64</v>
      </c>
      <c r="C568" s="5" t="s">
        <v>53</v>
      </c>
      <c r="D568" s="5">
        <v>143557</v>
      </c>
      <c r="E568" s="5">
        <v>11824</v>
      </c>
      <c r="F568" s="5">
        <v>19523512</v>
      </c>
      <c r="G568" s="5">
        <v>8.2364496332467247</v>
      </c>
      <c r="H568" s="5">
        <v>1651.1765899864681</v>
      </c>
      <c r="I568" s="5">
        <v>135.99832819019622</v>
      </c>
    </row>
    <row r="569" spans="1:9" x14ac:dyDescent="0.2">
      <c r="A569" s="5" t="s">
        <v>72</v>
      </c>
      <c r="B569" s="5" t="s">
        <v>64</v>
      </c>
      <c r="C569" s="5" t="s">
        <v>54</v>
      </c>
      <c r="D569" s="5">
        <v>143730</v>
      </c>
      <c r="E569" s="5">
        <v>11589</v>
      </c>
      <c r="F569" s="5">
        <v>19284732</v>
      </c>
      <c r="G569" s="5">
        <v>8.0630348570235864</v>
      </c>
      <c r="H569" s="5">
        <v>1664.0548796272328</v>
      </c>
      <c r="I569" s="5">
        <v>134.17332498434564</v>
      </c>
    </row>
    <row r="570" spans="1:9" x14ac:dyDescent="0.2">
      <c r="A570" s="5" t="s">
        <v>72</v>
      </c>
      <c r="B570" s="5" t="s">
        <v>64</v>
      </c>
      <c r="C570" s="5" t="s">
        <v>55</v>
      </c>
      <c r="D570" s="5">
        <v>143840</v>
      </c>
      <c r="E570" s="5">
        <v>11229</v>
      </c>
      <c r="F570" s="5">
        <v>19239015</v>
      </c>
      <c r="G570" s="5">
        <v>7.8065906562847607</v>
      </c>
      <c r="H570" s="5">
        <v>1713.3328880577078</v>
      </c>
      <c r="I570" s="5">
        <v>133.75288515016686</v>
      </c>
    </row>
    <row r="571" spans="1:9" x14ac:dyDescent="0.2">
      <c r="A571" s="5" t="s">
        <v>72</v>
      </c>
      <c r="B571" s="5" t="s">
        <v>64</v>
      </c>
      <c r="C571" s="5" t="s">
        <v>56</v>
      </c>
      <c r="D571" s="5">
        <v>144053</v>
      </c>
      <c r="E571" s="5">
        <v>10493</v>
      </c>
      <c r="F571" s="5">
        <v>18025708</v>
      </c>
      <c r="G571" s="5">
        <v>7.2841245930317315</v>
      </c>
      <c r="H571" s="5">
        <v>1717.8793481368532</v>
      </c>
      <c r="I571" s="5">
        <v>125.13247207624971</v>
      </c>
    </row>
    <row r="572" spans="1:9" x14ac:dyDescent="0.2">
      <c r="A572" s="5" t="s">
        <v>72</v>
      </c>
      <c r="B572" s="5" t="s">
        <v>64</v>
      </c>
      <c r="C572" s="5" t="s">
        <v>57</v>
      </c>
      <c r="D572" s="5">
        <v>144256</v>
      </c>
      <c r="E572" s="5">
        <v>9874</v>
      </c>
      <c r="F572" s="5">
        <v>16079701</v>
      </c>
      <c r="G572" s="5">
        <v>6.8447759538598048</v>
      </c>
      <c r="H572" s="5">
        <v>1628.4890621835123</v>
      </c>
      <c r="I572" s="5">
        <v>111.46642773957409</v>
      </c>
    </row>
    <row r="573" spans="1:9" x14ac:dyDescent="0.2">
      <c r="A573" s="5" t="s">
        <v>72</v>
      </c>
      <c r="B573" s="5" t="s">
        <v>64</v>
      </c>
      <c r="C573" s="5" t="s">
        <v>58</v>
      </c>
      <c r="D573" s="5">
        <v>144572</v>
      </c>
      <c r="E573" s="5">
        <v>9293</v>
      </c>
      <c r="F573" s="5">
        <v>14874124</v>
      </c>
      <c r="G573" s="5">
        <v>6.4279390200038735</v>
      </c>
      <c r="H573" s="5">
        <v>1600.5729043365975</v>
      </c>
      <c r="I573" s="5">
        <v>102.88385026146142</v>
      </c>
    </row>
    <row r="574" spans="1:9" x14ac:dyDescent="0.2">
      <c r="A574" s="5" t="s">
        <v>72</v>
      </c>
      <c r="B574" s="5" t="s">
        <v>64</v>
      </c>
      <c r="C574" s="5" t="s">
        <v>59</v>
      </c>
      <c r="D574" s="5">
        <v>145021</v>
      </c>
      <c r="E574" s="5">
        <v>8847</v>
      </c>
      <c r="F574" s="5">
        <v>14044733</v>
      </c>
      <c r="G574" s="5">
        <v>6.1004957902648584</v>
      </c>
      <c r="H574" s="5">
        <v>1587.5136204363062</v>
      </c>
      <c r="I574" s="5">
        <v>96.846201584598091</v>
      </c>
    </row>
    <row r="575" spans="1:9" x14ac:dyDescent="0.2">
      <c r="A575" s="5" t="s">
        <v>72</v>
      </c>
      <c r="B575" s="5" t="s">
        <v>64</v>
      </c>
      <c r="C575" s="5" t="s">
        <v>60</v>
      </c>
      <c r="D575" s="5">
        <v>145645</v>
      </c>
      <c r="E575" s="5">
        <v>8989</v>
      </c>
      <c r="F575" s="5">
        <v>13939809</v>
      </c>
      <c r="G575" s="5">
        <v>6.1718562257544027</v>
      </c>
      <c r="H575" s="5">
        <v>1550.7630437201024</v>
      </c>
      <c r="I575" s="5">
        <v>95.710865460537605</v>
      </c>
    </row>
    <row r="576" spans="1:9" x14ac:dyDescent="0.2">
      <c r="A576" s="5" t="s">
        <v>72</v>
      </c>
      <c r="B576" s="5" t="s">
        <v>64</v>
      </c>
      <c r="C576" s="5" t="s">
        <v>61</v>
      </c>
      <c r="D576" s="5">
        <v>146409</v>
      </c>
      <c r="E576" s="5">
        <v>8980</v>
      </c>
      <c r="F576" s="5">
        <v>14142858</v>
      </c>
      <c r="G576" s="5">
        <v>6.1335027218272105</v>
      </c>
      <c r="H576" s="5">
        <v>1574.9285077951001</v>
      </c>
      <c r="I576" s="5">
        <v>96.598282892445141</v>
      </c>
    </row>
    <row r="577" spans="1:9" x14ac:dyDescent="0.2">
      <c r="A577" s="5" t="s">
        <v>72</v>
      </c>
      <c r="B577" s="5" t="s">
        <v>64</v>
      </c>
      <c r="C577" s="5" t="s">
        <v>62</v>
      </c>
      <c r="D577" s="5">
        <v>147321</v>
      </c>
      <c r="E577" s="5">
        <v>9020</v>
      </c>
      <c r="F577" s="5">
        <v>14309663</v>
      </c>
      <c r="G577" s="5">
        <v>6.1226844781124212</v>
      </c>
      <c r="H577" s="5">
        <v>1586.4371396895788</v>
      </c>
      <c r="I577" s="5">
        <v>97.132540506784508</v>
      </c>
    </row>
    <row r="578" spans="1:9" x14ac:dyDescent="0.2">
      <c r="A578" s="5" t="s">
        <v>72</v>
      </c>
      <c r="B578" s="5" t="s">
        <v>65</v>
      </c>
      <c r="C578" s="5" t="s">
        <v>45</v>
      </c>
      <c r="D578" s="5">
        <v>136486</v>
      </c>
      <c r="E578" s="5">
        <v>16882</v>
      </c>
      <c r="F578" s="5">
        <v>32753703</v>
      </c>
      <c r="G578" s="5">
        <v>12.369034186656506</v>
      </c>
      <c r="H578" s="5">
        <v>1940.1553725861866</v>
      </c>
      <c r="I578" s="5">
        <v>239.97848130943834</v>
      </c>
    </row>
    <row r="579" spans="1:9" x14ac:dyDescent="0.2">
      <c r="A579" s="5" t="s">
        <v>72</v>
      </c>
      <c r="B579" s="5" t="s">
        <v>65</v>
      </c>
      <c r="C579" s="5" t="s">
        <v>46</v>
      </c>
      <c r="D579" s="5">
        <v>137432</v>
      </c>
      <c r="E579" s="5">
        <v>16884</v>
      </c>
      <c r="F579" s="5">
        <v>33081602</v>
      </c>
      <c r="G579" s="5">
        <v>12.285348390476745</v>
      </c>
      <c r="H579" s="5">
        <v>1959.3462449656479</v>
      </c>
      <c r="I579" s="5">
        <v>240.71251236975377</v>
      </c>
    </row>
    <row r="580" spans="1:9" x14ac:dyDescent="0.2">
      <c r="A580" s="5" t="s">
        <v>72</v>
      </c>
      <c r="B580" s="5" t="s">
        <v>65</v>
      </c>
      <c r="C580" s="5" t="s">
        <v>47</v>
      </c>
      <c r="D580" s="5">
        <v>138121</v>
      </c>
      <c r="E580" s="5">
        <v>17028</v>
      </c>
      <c r="F580" s="5">
        <v>33864809</v>
      </c>
      <c r="G580" s="5">
        <v>12.328320820150449</v>
      </c>
      <c r="H580" s="5">
        <v>1988.7719638242895</v>
      </c>
      <c r="I580" s="5">
        <v>245.1821880814648</v>
      </c>
    </row>
    <row r="581" spans="1:9" x14ac:dyDescent="0.2">
      <c r="A581" s="5" t="s">
        <v>72</v>
      </c>
      <c r="B581" s="5" t="s">
        <v>65</v>
      </c>
      <c r="C581" s="5" t="s">
        <v>48</v>
      </c>
      <c r="D581" s="5">
        <v>138632</v>
      </c>
      <c r="E581" s="5">
        <v>17120</v>
      </c>
      <c r="F581" s="5">
        <v>35217301</v>
      </c>
      <c r="G581" s="5">
        <v>12.349241156442957</v>
      </c>
      <c r="H581" s="5">
        <v>2057.0853387850466</v>
      </c>
      <c r="I581" s="5">
        <v>254.03442928039703</v>
      </c>
    </row>
    <row r="582" spans="1:9" x14ac:dyDescent="0.2">
      <c r="A582" s="5" t="s">
        <v>72</v>
      </c>
      <c r="B582" s="5" t="s">
        <v>65</v>
      </c>
      <c r="C582" s="5" t="s">
        <v>49</v>
      </c>
      <c r="D582" s="5">
        <v>138856</v>
      </c>
      <c r="E582" s="5">
        <v>16904</v>
      </c>
      <c r="F582" s="5">
        <v>35310878</v>
      </c>
      <c r="G582" s="5">
        <v>12.173762747018493</v>
      </c>
      <c r="H582" s="5">
        <v>2088.906649313772</v>
      </c>
      <c r="I582" s="5">
        <v>254.29853949415221</v>
      </c>
    </row>
    <row r="583" spans="1:9" x14ac:dyDescent="0.2">
      <c r="A583" s="5" t="s">
        <v>72</v>
      </c>
      <c r="B583" s="5" t="s">
        <v>65</v>
      </c>
      <c r="C583" s="5" t="s">
        <v>50</v>
      </c>
      <c r="D583" s="5">
        <v>138564</v>
      </c>
      <c r="E583" s="5">
        <v>16843</v>
      </c>
      <c r="F583" s="5">
        <v>35064243</v>
      </c>
      <c r="G583" s="5">
        <v>12.15539389740481</v>
      </c>
      <c r="H583" s="5">
        <v>2081.8288309683549</v>
      </c>
      <c r="I583" s="5">
        <v>253.05449467394129</v>
      </c>
    </row>
    <row r="584" spans="1:9" x14ac:dyDescent="0.2">
      <c r="A584" s="5" t="s">
        <v>72</v>
      </c>
      <c r="B584" s="5" t="s">
        <v>65</v>
      </c>
      <c r="C584" s="5" t="s">
        <v>51</v>
      </c>
      <c r="D584" s="5">
        <v>138393</v>
      </c>
      <c r="E584" s="5">
        <v>16579</v>
      </c>
      <c r="F584" s="5">
        <v>35368455</v>
      </c>
      <c r="G584" s="5">
        <v>11.97965215003649</v>
      </c>
      <c r="H584" s="5">
        <v>2133.3286084806082</v>
      </c>
      <c r="I584" s="5">
        <v>255.56534651319069</v>
      </c>
    </row>
    <row r="585" spans="1:9" x14ac:dyDescent="0.2">
      <c r="A585" s="5" t="s">
        <v>72</v>
      </c>
      <c r="B585" s="5" t="s">
        <v>65</v>
      </c>
      <c r="C585" s="5" t="s">
        <v>52</v>
      </c>
      <c r="D585" s="5">
        <v>138151</v>
      </c>
      <c r="E585" s="5">
        <v>16338</v>
      </c>
      <c r="F585" s="5">
        <v>34913356</v>
      </c>
      <c r="G585" s="5">
        <v>11.826190183205334</v>
      </c>
      <c r="H585" s="5">
        <v>2136.941853348023</v>
      </c>
      <c r="I585" s="5">
        <v>252.71880768145002</v>
      </c>
    </row>
    <row r="586" spans="1:9" x14ac:dyDescent="0.2">
      <c r="A586" s="5" t="s">
        <v>72</v>
      </c>
      <c r="B586" s="5" t="s">
        <v>65</v>
      </c>
      <c r="C586" s="5" t="s">
        <v>53</v>
      </c>
      <c r="D586" s="5">
        <v>138152</v>
      </c>
      <c r="E586" s="5">
        <v>16262</v>
      </c>
      <c r="F586" s="5">
        <v>34560395</v>
      </c>
      <c r="G586" s="5">
        <v>11.771092709479413</v>
      </c>
      <c r="H586" s="5">
        <v>2125.2241421719345</v>
      </c>
      <c r="I586" s="5">
        <v>250.16210405929701</v>
      </c>
    </row>
    <row r="587" spans="1:9" x14ac:dyDescent="0.2">
      <c r="A587" s="5" t="s">
        <v>72</v>
      </c>
      <c r="B587" s="5" t="s">
        <v>65</v>
      </c>
      <c r="C587" s="5" t="s">
        <v>54</v>
      </c>
      <c r="D587" s="5">
        <v>138355</v>
      </c>
      <c r="E587" s="5">
        <v>16042</v>
      </c>
      <c r="F587" s="5">
        <v>34964197</v>
      </c>
      <c r="G587" s="5">
        <v>11.594810451375086</v>
      </c>
      <c r="H587" s="5">
        <v>2179.5410173295099</v>
      </c>
      <c r="I587" s="5">
        <v>252.7136496693289</v>
      </c>
    </row>
    <row r="588" spans="1:9" x14ac:dyDescent="0.2">
      <c r="A588" s="5" t="s">
        <v>72</v>
      </c>
      <c r="B588" s="5" t="s">
        <v>65</v>
      </c>
      <c r="C588" s="5" t="s">
        <v>55</v>
      </c>
      <c r="D588" s="5">
        <v>138493</v>
      </c>
      <c r="E588" s="5">
        <v>15746</v>
      </c>
      <c r="F588" s="5">
        <v>34415902</v>
      </c>
      <c r="G588" s="5">
        <v>11.369527701761101</v>
      </c>
      <c r="H588" s="5">
        <v>2185.6917312333289</v>
      </c>
      <c r="I588" s="5">
        <v>248.5028268576751</v>
      </c>
    </row>
    <row r="589" spans="1:9" x14ac:dyDescent="0.2">
      <c r="A589" s="5" t="s">
        <v>72</v>
      </c>
      <c r="B589" s="5" t="s">
        <v>65</v>
      </c>
      <c r="C589" s="5" t="s">
        <v>56</v>
      </c>
      <c r="D589" s="5">
        <v>138707</v>
      </c>
      <c r="E589" s="5">
        <v>15508</v>
      </c>
      <c r="F589" s="5">
        <v>34076499</v>
      </c>
      <c r="G589" s="5">
        <v>11.18040185426835</v>
      </c>
      <c r="H589" s="5">
        <v>2197.3496904823319</v>
      </c>
      <c r="I589" s="5">
        <v>245.67252553944647</v>
      </c>
    </row>
    <row r="590" spans="1:9" x14ac:dyDescent="0.2">
      <c r="A590" s="5" t="s">
        <v>72</v>
      </c>
      <c r="B590" s="5" t="s">
        <v>65</v>
      </c>
      <c r="C590" s="5" t="s">
        <v>57</v>
      </c>
      <c r="D590" s="5">
        <v>138919</v>
      </c>
      <c r="E590" s="5">
        <v>15204</v>
      </c>
      <c r="F590" s="5">
        <v>33931064</v>
      </c>
      <c r="G590" s="5">
        <v>10.944507230832356</v>
      </c>
      <c r="H590" s="5">
        <v>2231.7195474875034</v>
      </c>
      <c r="I590" s="5">
        <v>244.25070724666892</v>
      </c>
    </row>
    <row r="591" spans="1:9" x14ac:dyDescent="0.2">
      <c r="A591" s="5" t="s">
        <v>72</v>
      </c>
      <c r="B591" s="5" t="s">
        <v>65</v>
      </c>
      <c r="C591" s="5" t="s">
        <v>58</v>
      </c>
      <c r="D591" s="5">
        <v>139230</v>
      </c>
      <c r="E591" s="5">
        <v>14832</v>
      </c>
      <c r="F591" s="5">
        <v>33566736</v>
      </c>
      <c r="G591" s="5">
        <v>10.652876535229476</v>
      </c>
      <c r="H591" s="5">
        <v>2263.1294498381876</v>
      </c>
      <c r="I591" s="5">
        <v>241.08838612368024</v>
      </c>
    </row>
    <row r="592" spans="1:9" x14ac:dyDescent="0.2">
      <c r="A592" s="5" t="s">
        <v>72</v>
      </c>
      <c r="B592" s="5" t="s">
        <v>65</v>
      </c>
      <c r="C592" s="5" t="s">
        <v>59</v>
      </c>
      <c r="D592" s="5">
        <v>139673</v>
      </c>
      <c r="E592" s="5">
        <v>14907</v>
      </c>
      <c r="F592" s="5">
        <v>33231063</v>
      </c>
      <c r="G592" s="5">
        <v>10.672785720933895</v>
      </c>
      <c r="H592" s="5">
        <v>2229.2253974642786</v>
      </c>
      <c r="I592" s="5">
        <v>237.9204499079994</v>
      </c>
    </row>
    <row r="593" spans="1:9" x14ac:dyDescent="0.2">
      <c r="A593" s="5" t="s">
        <v>72</v>
      </c>
      <c r="B593" s="5" t="s">
        <v>65</v>
      </c>
      <c r="C593" s="5" t="s">
        <v>60</v>
      </c>
      <c r="D593" s="5">
        <v>140330</v>
      </c>
      <c r="E593" s="5">
        <v>14869</v>
      </c>
      <c r="F593" s="5">
        <v>32660038</v>
      </c>
      <c r="G593" s="5">
        <v>10.595738616119148</v>
      </c>
      <c r="H593" s="5">
        <v>2196.5187974981504</v>
      </c>
      <c r="I593" s="5">
        <v>232.73739043682747</v>
      </c>
    </row>
    <row r="594" spans="1:9" x14ac:dyDescent="0.2">
      <c r="A594" s="5" t="s">
        <v>72</v>
      </c>
      <c r="B594" s="5" t="s">
        <v>65</v>
      </c>
      <c r="C594" s="5" t="s">
        <v>61</v>
      </c>
      <c r="D594" s="5">
        <v>141117</v>
      </c>
      <c r="E594" s="5">
        <v>14803</v>
      </c>
      <c r="F594" s="5">
        <v>33381792</v>
      </c>
      <c r="G594" s="5">
        <v>10.489877194101348</v>
      </c>
      <c r="H594" s="5">
        <v>2255.0693778288187</v>
      </c>
      <c r="I594" s="5">
        <v>236.55400837602841</v>
      </c>
    </row>
    <row r="595" spans="1:9" x14ac:dyDescent="0.2">
      <c r="A595" s="5" t="s">
        <v>72</v>
      </c>
      <c r="B595" s="5" t="s">
        <v>65</v>
      </c>
      <c r="C595" s="5" t="s">
        <v>62</v>
      </c>
      <c r="D595" s="5">
        <v>142057</v>
      </c>
      <c r="E595" s="5">
        <v>14700</v>
      </c>
      <c r="F595" s="5">
        <v>32763477</v>
      </c>
      <c r="G595" s="5">
        <v>10.347958917899152</v>
      </c>
      <c r="H595" s="5">
        <v>2228.8079591836736</v>
      </c>
      <c r="I595" s="5">
        <v>230.63613197519305</v>
      </c>
    </row>
    <row r="596" spans="1:9" x14ac:dyDescent="0.2">
      <c r="A596" s="5" t="s">
        <v>74</v>
      </c>
      <c r="B596" s="5" t="s">
        <v>44</v>
      </c>
      <c r="C596" s="5" t="s">
        <v>45</v>
      </c>
      <c r="D596" s="5">
        <v>363352</v>
      </c>
      <c r="E596" s="5">
        <v>4434</v>
      </c>
      <c r="F596" s="5">
        <v>62335042</v>
      </c>
      <c r="G596" s="5">
        <v>1.2203042779453532</v>
      </c>
      <c r="H596" s="5">
        <v>14058.421741091564</v>
      </c>
      <c r="I596" s="5">
        <v>171.55552191813999</v>
      </c>
    </row>
    <row r="597" spans="1:9" x14ac:dyDescent="0.2">
      <c r="A597" s="5" t="s">
        <v>74</v>
      </c>
      <c r="B597" s="5" t="s">
        <v>44</v>
      </c>
      <c r="C597" s="5" t="s">
        <v>46</v>
      </c>
      <c r="D597" s="5">
        <v>364965</v>
      </c>
      <c r="E597" s="5">
        <v>4536</v>
      </c>
      <c r="F597" s="5">
        <v>61491483</v>
      </c>
      <c r="G597" s="5">
        <v>1.2428589042784925</v>
      </c>
      <c r="H597" s="5">
        <v>13556.323412698413</v>
      </c>
      <c r="I597" s="5">
        <v>168.48597262751224</v>
      </c>
    </row>
    <row r="598" spans="1:9" x14ac:dyDescent="0.2">
      <c r="A598" s="5" t="s">
        <v>74</v>
      </c>
      <c r="B598" s="5" t="s">
        <v>44</v>
      </c>
      <c r="C598" s="5" t="s">
        <v>47</v>
      </c>
      <c r="D598" s="5">
        <v>366909</v>
      </c>
      <c r="E598" s="5">
        <v>4531</v>
      </c>
      <c r="F598" s="5">
        <v>61243246</v>
      </c>
      <c r="G598" s="5">
        <v>1.2349111087490359</v>
      </c>
      <c r="H598" s="5">
        <v>13516.496579121607</v>
      </c>
      <c r="I598" s="5">
        <v>166.91671776925614</v>
      </c>
    </row>
    <row r="599" spans="1:9" x14ac:dyDescent="0.2">
      <c r="A599" s="5" t="s">
        <v>74</v>
      </c>
      <c r="B599" s="5" t="s">
        <v>44</v>
      </c>
      <c r="C599" s="5" t="s">
        <v>48</v>
      </c>
      <c r="D599" s="5">
        <v>369333</v>
      </c>
      <c r="E599" s="5">
        <v>4595</v>
      </c>
      <c r="F599" s="5">
        <v>60519934</v>
      </c>
      <c r="G599" s="5">
        <v>1.24413469687247</v>
      </c>
      <c r="H599" s="5">
        <v>13170.823503808488</v>
      </c>
      <c r="I599" s="5">
        <v>163.86278507471576</v>
      </c>
    </row>
    <row r="600" spans="1:9" x14ac:dyDescent="0.2">
      <c r="A600" s="5" t="s">
        <v>74</v>
      </c>
      <c r="B600" s="5" t="s">
        <v>44</v>
      </c>
      <c r="C600" s="5" t="s">
        <v>49</v>
      </c>
      <c r="D600" s="5">
        <v>371246</v>
      </c>
      <c r="E600" s="5">
        <v>4621</v>
      </c>
      <c r="F600" s="5">
        <v>60740610</v>
      </c>
      <c r="G600" s="5">
        <v>1.2447272159161311</v>
      </c>
      <c r="H600" s="5">
        <v>13144.473057779702</v>
      </c>
      <c r="I600" s="5">
        <v>163.61283353894723</v>
      </c>
    </row>
    <row r="601" spans="1:9" x14ac:dyDescent="0.2">
      <c r="A601" s="5" t="s">
        <v>74</v>
      </c>
      <c r="B601" s="5" t="s">
        <v>44</v>
      </c>
      <c r="C601" s="5" t="s">
        <v>50</v>
      </c>
      <c r="D601" s="5">
        <v>372561</v>
      </c>
      <c r="E601" s="5">
        <v>4495</v>
      </c>
      <c r="F601" s="5">
        <v>60779369</v>
      </c>
      <c r="G601" s="5">
        <v>1.2065138326341189</v>
      </c>
      <c r="H601" s="5">
        <v>13521.550389321468</v>
      </c>
      <c r="I601" s="5">
        <v>163.13937583375608</v>
      </c>
    </row>
    <row r="602" spans="1:9" x14ac:dyDescent="0.2">
      <c r="A602" s="5" t="s">
        <v>74</v>
      </c>
      <c r="B602" s="5" t="s">
        <v>44</v>
      </c>
      <c r="C602" s="5" t="s">
        <v>51</v>
      </c>
      <c r="D602" s="5">
        <v>373717</v>
      </c>
      <c r="E602" s="5">
        <v>4558</v>
      </c>
      <c r="F602" s="5">
        <v>60694898</v>
      </c>
      <c r="G602" s="5">
        <v>1.2196394598051468</v>
      </c>
      <c r="H602" s="5">
        <v>13316.125054848619</v>
      </c>
      <c r="I602" s="5">
        <v>162.40871568593349</v>
      </c>
    </row>
    <row r="603" spans="1:9" x14ac:dyDescent="0.2">
      <c r="A603" s="5" t="s">
        <v>74</v>
      </c>
      <c r="B603" s="5" t="s">
        <v>44</v>
      </c>
      <c r="C603" s="5" t="s">
        <v>52</v>
      </c>
      <c r="D603" s="5">
        <v>375161</v>
      </c>
      <c r="E603" s="5">
        <v>4501</v>
      </c>
      <c r="F603" s="5">
        <v>62595688</v>
      </c>
      <c r="G603" s="5">
        <v>1.1997515733245194</v>
      </c>
      <c r="H603" s="5">
        <v>13907.062430570984</v>
      </c>
      <c r="I603" s="5">
        <v>166.85020031399853</v>
      </c>
    </row>
    <row r="604" spans="1:9" x14ac:dyDescent="0.2">
      <c r="A604" s="5" t="s">
        <v>74</v>
      </c>
      <c r="B604" s="5" t="s">
        <v>44</v>
      </c>
      <c r="C604" s="5" t="s">
        <v>53</v>
      </c>
      <c r="D604" s="5">
        <v>377818</v>
      </c>
      <c r="E604" s="5">
        <v>4343</v>
      </c>
      <c r="F604" s="5">
        <v>65039593</v>
      </c>
      <c r="G604" s="5">
        <v>1.1494952596223578</v>
      </c>
      <c r="H604" s="5">
        <v>14975.729449689155</v>
      </c>
      <c r="I604" s="5">
        <v>172.14530011804626</v>
      </c>
    </row>
    <row r="605" spans="1:9" x14ac:dyDescent="0.2">
      <c r="A605" s="5" t="s">
        <v>74</v>
      </c>
      <c r="B605" s="5" t="s">
        <v>44</v>
      </c>
      <c r="C605" s="5" t="s">
        <v>54</v>
      </c>
      <c r="D605" s="5">
        <v>380929</v>
      </c>
      <c r="E605" s="5">
        <v>4299</v>
      </c>
      <c r="F605" s="5">
        <v>64924297</v>
      </c>
      <c r="G605" s="5">
        <v>1.1285567651714623</v>
      </c>
      <c r="H605" s="5">
        <v>15102.185857176088</v>
      </c>
      <c r="I605" s="5">
        <v>170.43674017992853</v>
      </c>
    </row>
    <row r="606" spans="1:9" x14ac:dyDescent="0.2">
      <c r="A606" s="5" t="s">
        <v>74</v>
      </c>
      <c r="B606" s="5" t="s">
        <v>44</v>
      </c>
      <c r="C606" s="5" t="s">
        <v>55</v>
      </c>
      <c r="D606" s="5">
        <v>384679</v>
      </c>
      <c r="E606" s="5">
        <v>4315</v>
      </c>
      <c r="F606" s="5">
        <v>64408070</v>
      </c>
      <c r="G606" s="5">
        <v>1.1217144684269222</v>
      </c>
      <c r="H606" s="5">
        <v>14926.551564310545</v>
      </c>
      <c r="I606" s="5">
        <v>167.43328853407647</v>
      </c>
    </row>
    <row r="607" spans="1:9" x14ac:dyDescent="0.2">
      <c r="A607" s="5" t="s">
        <v>74</v>
      </c>
      <c r="B607" s="5" t="s">
        <v>44</v>
      </c>
      <c r="C607" s="5" t="s">
        <v>56</v>
      </c>
      <c r="D607" s="5">
        <v>388719</v>
      </c>
      <c r="E607" s="5">
        <v>4304</v>
      </c>
      <c r="F607" s="5">
        <v>66117737</v>
      </c>
      <c r="G607" s="5">
        <v>1.107226556973032</v>
      </c>
      <c r="H607" s="5">
        <v>15361.927741635687</v>
      </c>
      <c r="I607" s="5">
        <v>170.09134361839787</v>
      </c>
    </row>
    <row r="608" spans="1:9" x14ac:dyDescent="0.2">
      <c r="A608" s="5" t="s">
        <v>74</v>
      </c>
      <c r="B608" s="5" t="s">
        <v>44</v>
      </c>
      <c r="C608" s="5" t="s">
        <v>57</v>
      </c>
      <c r="D608" s="5">
        <v>394242</v>
      </c>
      <c r="E608" s="5">
        <v>4373</v>
      </c>
      <c r="F608" s="5">
        <v>64308283</v>
      </c>
      <c r="G608" s="5">
        <v>1.1092171813251759</v>
      </c>
      <c r="H608" s="5">
        <v>14705.758746855705</v>
      </c>
      <c r="I608" s="5">
        <v>163.11880266435335</v>
      </c>
    </row>
    <row r="609" spans="1:9" x14ac:dyDescent="0.2">
      <c r="A609" s="5" t="s">
        <v>74</v>
      </c>
      <c r="B609" s="5" t="s">
        <v>44</v>
      </c>
      <c r="C609" s="5" t="s">
        <v>58</v>
      </c>
      <c r="D609" s="5">
        <v>401079</v>
      </c>
      <c r="E609" s="5">
        <v>4490</v>
      </c>
      <c r="F609" s="5">
        <v>66063125</v>
      </c>
      <c r="G609" s="5">
        <v>1.1194802021546877</v>
      </c>
      <c r="H609" s="5">
        <v>14713.390868596882</v>
      </c>
      <c r="I609" s="5">
        <v>164.71349783957774</v>
      </c>
    </row>
    <row r="610" spans="1:9" x14ac:dyDescent="0.2">
      <c r="A610" s="5" t="s">
        <v>74</v>
      </c>
      <c r="B610" s="5" t="s">
        <v>44</v>
      </c>
      <c r="C610" s="5" t="s">
        <v>59</v>
      </c>
      <c r="D610" s="5">
        <v>408227</v>
      </c>
      <c r="E610" s="5">
        <v>4553</v>
      </c>
      <c r="F610" s="5">
        <v>68443748</v>
      </c>
      <c r="G610" s="5">
        <v>1.1153108442116764</v>
      </c>
      <c r="H610" s="5">
        <v>15032.670327256754</v>
      </c>
      <c r="I610" s="5">
        <v>167.66100233448546</v>
      </c>
    </row>
    <row r="611" spans="1:9" x14ac:dyDescent="0.2">
      <c r="A611" s="5" t="s">
        <v>74</v>
      </c>
      <c r="B611" s="5" t="s">
        <v>44</v>
      </c>
      <c r="C611" s="5" t="s">
        <v>60</v>
      </c>
      <c r="D611" s="5">
        <v>416273</v>
      </c>
      <c r="E611" s="5">
        <v>4637</v>
      </c>
      <c r="F611" s="5">
        <v>68231376</v>
      </c>
      <c r="G611" s="5">
        <v>1.1139324433724984</v>
      </c>
      <c r="H611" s="5">
        <v>14714.551649773561</v>
      </c>
      <c r="I611" s="5">
        <v>163.91016472363088</v>
      </c>
    </row>
    <row r="612" spans="1:9" x14ac:dyDescent="0.2">
      <c r="A612" s="5" t="s">
        <v>74</v>
      </c>
      <c r="B612" s="5" t="s">
        <v>44</v>
      </c>
      <c r="C612" s="5" t="s">
        <v>61</v>
      </c>
      <c r="D612" s="5">
        <v>422393</v>
      </c>
      <c r="E612" s="5">
        <v>4608</v>
      </c>
      <c r="F612" s="5">
        <v>69949309</v>
      </c>
      <c r="G612" s="5">
        <v>1.0909271697210892</v>
      </c>
      <c r="H612" s="5">
        <v>15179.971571180555</v>
      </c>
      <c r="I612" s="5">
        <v>165.60243422594598</v>
      </c>
    </row>
    <row r="613" spans="1:9" x14ac:dyDescent="0.2">
      <c r="A613" s="5" t="s">
        <v>74</v>
      </c>
      <c r="B613" s="5" t="s">
        <v>44</v>
      </c>
      <c r="C613" s="5" t="s">
        <v>62</v>
      </c>
      <c r="D613" s="5">
        <v>428818</v>
      </c>
      <c r="E613" s="5">
        <v>4665</v>
      </c>
      <c r="F613" s="5">
        <v>71600319</v>
      </c>
      <c r="G613" s="5">
        <v>1.0878741097621836</v>
      </c>
      <c r="H613" s="5">
        <v>15348.407073954984</v>
      </c>
      <c r="I613" s="5">
        <v>166.97134681846379</v>
      </c>
    </row>
    <row r="614" spans="1:9" x14ac:dyDescent="0.2">
      <c r="A614" s="5" t="s">
        <v>74</v>
      </c>
      <c r="B614" s="5" t="s">
        <v>63</v>
      </c>
      <c r="C614" s="5" t="s">
        <v>45</v>
      </c>
      <c r="D614" s="5">
        <v>363352</v>
      </c>
      <c r="E614" s="5">
        <v>14332</v>
      </c>
      <c r="F614" s="5">
        <v>33489113</v>
      </c>
      <c r="G614" s="5">
        <v>3.9443845086857925</v>
      </c>
      <c r="H614" s="5">
        <v>2336.6671085682387</v>
      </c>
      <c r="I614" s="5">
        <v>92.167135449921844</v>
      </c>
    </row>
    <row r="615" spans="1:9" x14ac:dyDescent="0.2">
      <c r="A615" s="5" t="s">
        <v>74</v>
      </c>
      <c r="B615" s="5" t="s">
        <v>63</v>
      </c>
      <c r="C615" s="5" t="s">
        <v>46</v>
      </c>
      <c r="D615" s="5">
        <v>364965</v>
      </c>
      <c r="E615" s="5">
        <v>14301</v>
      </c>
      <c r="F615" s="5">
        <v>33940786</v>
      </c>
      <c r="G615" s="5">
        <v>3.9184579343224692</v>
      </c>
      <c r="H615" s="5">
        <v>2373.315572337599</v>
      </c>
      <c r="I615" s="5">
        <v>92.997372350773361</v>
      </c>
    </row>
    <row r="616" spans="1:9" x14ac:dyDescent="0.2">
      <c r="A616" s="5" t="s">
        <v>74</v>
      </c>
      <c r="B616" s="5" t="s">
        <v>63</v>
      </c>
      <c r="C616" s="5" t="s">
        <v>47</v>
      </c>
      <c r="D616" s="5">
        <v>366909</v>
      </c>
      <c r="E616" s="5">
        <v>14540</v>
      </c>
      <c r="F616" s="5">
        <v>34651772</v>
      </c>
      <c r="G616" s="5">
        <v>3.9628354714656768</v>
      </c>
      <c r="H616" s="5">
        <v>2383.2030261348004</v>
      </c>
      <c r="I616" s="5">
        <v>94.4424148767133</v>
      </c>
    </row>
    <row r="617" spans="1:9" x14ac:dyDescent="0.2">
      <c r="A617" s="5" t="s">
        <v>74</v>
      </c>
      <c r="B617" s="5" t="s">
        <v>63</v>
      </c>
      <c r="C617" s="5" t="s">
        <v>48</v>
      </c>
      <c r="D617" s="5">
        <v>369333</v>
      </c>
      <c r="E617" s="5">
        <v>14752</v>
      </c>
      <c r="F617" s="5">
        <v>35395339</v>
      </c>
      <c r="G617" s="5">
        <v>3.9942274316132056</v>
      </c>
      <c r="H617" s="5">
        <v>2399.3586632321039</v>
      </c>
      <c r="I617" s="5">
        <v>95.835841909604611</v>
      </c>
    </row>
    <row r="618" spans="1:9" x14ac:dyDescent="0.2">
      <c r="A618" s="5" t="s">
        <v>74</v>
      </c>
      <c r="B618" s="5" t="s">
        <v>63</v>
      </c>
      <c r="C618" s="5" t="s">
        <v>49</v>
      </c>
      <c r="D618" s="5">
        <v>371246</v>
      </c>
      <c r="E618" s="5">
        <v>14834</v>
      </c>
      <c r="F618" s="5">
        <v>35752634</v>
      </c>
      <c r="G618" s="5">
        <v>3.9957332873620186</v>
      </c>
      <c r="H618" s="5">
        <v>2410.181609815289</v>
      </c>
      <c r="I618" s="5">
        <v>96.304428869267284</v>
      </c>
    </row>
    <row r="619" spans="1:9" x14ac:dyDescent="0.2">
      <c r="A619" s="5" t="s">
        <v>74</v>
      </c>
      <c r="B619" s="5" t="s">
        <v>63</v>
      </c>
      <c r="C619" s="5" t="s">
        <v>50</v>
      </c>
      <c r="D619" s="5">
        <v>372561</v>
      </c>
      <c r="E619" s="5">
        <v>14763</v>
      </c>
      <c r="F619" s="5">
        <v>36064179</v>
      </c>
      <c r="G619" s="5">
        <v>3.9625725720083422</v>
      </c>
      <c r="H619" s="5">
        <v>2442.8760414549888</v>
      </c>
      <c r="I619" s="5">
        <v>96.800735986858527</v>
      </c>
    </row>
    <row r="620" spans="1:9" x14ac:dyDescent="0.2">
      <c r="A620" s="5" t="s">
        <v>74</v>
      </c>
      <c r="B620" s="5" t="s">
        <v>63</v>
      </c>
      <c r="C620" s="5" t="s">
        <v>51</v>
      </c>
      <c r="D620" s="5">
        <v>373717</v>
      </c>
      <c r="E620" s="5">
        <v>14766</v>
      </c>
      <c r="F620" s="5">
        <v>36441571</v>
      </c>
      <c r="G620" s="5">
        <v>3.951118092032206</v>
      </c>
      <c r="H620" s="5">
        <v>2467.9378978734931</v>
      </c>
      <c r="I620" s="5">
        <v>97.511140782998893</v>
      </c>
    </row>
    <row r="621" spans="1:9" x14ac:dyDescent="0.2">
      <c r="A621" s="5" t="s">
        <v>74</v>
      </c>
      <c r="B621" s="5" t="s">
        <v>63</v>
      </c>
      <c r="C621" s="5" t="s">
        <v>52</v>
      </c>
      <c r="D621" s="5">
        <v>375161</v>
      </c>
      <c r="E621" s="5">
        <v>14805</v>
      </c>
      <c r="F621" s="5">
        <v>37010849</v>
      </c>
      <c r="G621" s="5">
        <v>3.9463057194111326</v>
      </c>
      <c r="H621" s="5">
        <v>2499.8884836203983</v>
      </c>
      <c r="I621" s="5">
        <v>98.653242208012031</v>
      </c>
    </row>
    <row r="622" spans="1:9" x14ac:dyDescent="0.2">
      <c r="A622" s="5" t="s">
        <v>74</v>
      </c>
      <c r="B622" s="5" t="s">
        <v>63</v>
      </c>
      <c r="C622" s="5" t="s">
        <v>53</v>
      </c>
      <c r="D622" s="5">
        <v>377818</v>
      </c>
      <c r="E622" s="5">
        <v>14590</v>
      </c>
      <c r="F622" s="5">
        <v>37129272</v>
      </c>
      <c r="G622" s="5">
        <v>3.8616476716302559</v>
      </c>
      <c r="H622" s="5">
        <v>2544.8438656614121</v>
      </c>
      <c r="I622" s="5">
        <v>98.272903884939311</v>
      </c>
    </row>
    <row r="623" spans="1:9" x14ac:dyDescent="0.2">
      <c r="A623" s="5" t="s">
        <v>74</v>
      </c>
      <c r="B623" s="5" t="s">
        <v>63</v>
      </c>
      <c r="C623" s="5" t="s">
        <v>54</v>
      </c>
      <c r="D623" s="5">
        <v>380929</v>
      </c>
      <c r="E623" s="5">
        <v>14753</v>
      </c>
      <c r="F623" s="5">
        <v>37675109</v>
      </c>
      <c r="G623" s="5">
        <v>3.8729001992497292</v>
      </c>
      <c r="H623" s="5">
        <v>2553.7252762150069</v>
      </c>
      <c r="I623" s="5">
        <v>98.903231310821695</v>
      </c>
    </row>
    <row r="624" spans="1:9" x14ac:dyDescent="0.2">
      <c r="A624" s="5" t="s">
        <v>74</v>
      </c>
      <c r="B624" s="5" t="s">
        <v>63</v>
      </c>
      <c r="C624" s="5" t="s">
        <v>55</v>
      </c>
      <c r="D624" s="5">
        <v>384679</v>
      </c>
      <c r="E624" s="5">
        <v>14837</v>
      </c>
      <c r="F624" s="5">
        <v>37736205</v>
      </c>
      <c r="G624" s="5">
        <v>3.8569820551680754</v>
      </c>
      <c r="H624" s="5">
        <v>2543.3851182853678</v>
      </c>
      <c r="I624" s="5">
        <v>98.097907606081961</v>
      </c>
    </row>
    <row r="625" spans="1:9" x14ac:dyDescent="0.2">
      <c r="A625" s="5" t="s">
        <v>74</v>
      </c>
      <c r="B625" s="5" t="s">
        <v>63</v>
      </c>
      <c r="C625" s="5" t="s">
        <v>56</v>
      </c>
      <c r="D625" s="5">
        <v>388719</v>
      </c>
      <c r="E625" s="5">
        <v>14914</v>
      </c>
      <c r="F625" s="5">
        <v>37571812</v>
      </c>
      <c r="G625" s="5">
        <v>3.8367046632657522</v>
      </c>
      <c r="H625" s="5">
        <v>2519.2310580662465</v>
      </c>
      <c r="I625" s="5">
        <v>96.655455483266834</v>
      </c>
    </row>
    <row r="626" spans="1:9" x14ac:dyDescent="0.2">
      <c r="A626" s="5" t="s">
        <v>74</v>
      </c>
      <c r="B626" s="5" t="s">
        <v>63</v>
      </c>
      <c r="C626" s="5" t="s">
        <v>57</v>
      </c>
      <c r="D626" s="5">
        <v>394242</v>
      </c>
      <c r="E626" s="5">
        <v>14959</v>
      </c>
      <c r="F626" s="5">
        <v>37562579</v>
      </c>
      <c r="G626" s="5">
        <v>3.79436995550956</v>
      </c>
      <c r="H626" s="5">
        <v>2511.0354301758139</v>
      </c>
      <c r="I626" s="5">
        <v>95.277973934791319</v>
      </c>
    </row>
    <row r="627" spans="1:9" x14ac:dyDescent="0.2">
      <c r="A627" s="5" t="s">
        <v>74</v>
      </c>
      <c r="B627" s="5" t="s">
        <v>63</v>
      </c>
      <c r="C627" s="5" t="s">
        <v>58</v>
      </c>
      <c r="D627" s="5">
        <v>401079</v>
      </c>
      <c r="E627" s="5">
        <v>15233</v>
      </c>
      <c r="F627" s="5">
        <v>37809042</v>
      </c>
      <c r="G627" s="5">
        <v>3.7980048818312602</v>
      </c>
      <c r="H627" s="5">
        <v>2482.0483161557145</v>
      </c>
      <c r="I627" s="5">
        <v>94.268316217004624</v>
      </c>
    </row>
    <row r="628" spans="1:9" x14ac:dyDescent="0.2">
      <c r="A628" s="5" t="s">
        <v>74</v>
      </c>
      <c r="B628" s="5" t="s">
        <v>63</v>
      </c>
      <c r="C628" s="5" t="s">
        <v>59</v>
      </c>
      <c r="D628" s="5">
        <v>408227</v>
      </c>
      <c r="E628" s="5">
        <v>15558</v>
      </c>
      <c r="F628" s="5">
        <v>38854210</v>
      </c>
      <c r="G628" s="5">
        <v>3.8111148944092381</v>
      </c>
      <c r="H628" s="5">
        <v>2497.3781977117883</v>
      </c>
      <c r="I628" s="5">
        <v>95.177952462722942</v>
      </c>
    </row>
    <row r="629" spans="1:9" x14ac:dyDescent="0.2">
      <c r="A629" s="5" t="s">
        <v>74</v>
      </c>
      <c r="B629" s="5" t="s">
        <v>63</v>
      </c>
      <c r="C629" s="5" t="s">
        <v>60</v>
      </c>
      <c r="D629" s="5">
        <v>416273</v>
      </c>
      <c r="E629" s="5">
        <v>15846</v>
      </c>
      <c r="F629" s="5">
        <v>40338769</v>
      </c>
      <c r="G629" s="5">
        <v>3.8066365101748132</v>
      </c>
      <c r="H629" s="5">
        <v>2545.6751861668558</v>
      </c>
      <c r="I629" s="5">
        <v>96.90460106708818</v>
      </c>
    </row>
    <row r="630" spans="1:9" x14ac:dyDescent="0.2">
      <c r="A630" s="5" t="s">
        <v>74</v>
      </c>
      <c r="B630" s="5" t="s">
        <v>63</v>
      </c>
      <c r="C630" s="5" t="s">
        <v>61</v>
      </c>
      <c r="D630" s="5">
        <v>422393</v>
      </c>
      <c r="E630" s="5">
        <v>16127</v>
      </c>
      <c r="F630" s="5">
        <v>41198225</v>
      </c>
      <c r="G630" s="5">
        <v>3.8180083476762161</v>
      </c>
      <c r="H630" s="5">
        <v>2554.6118310907173</v>
      </c>
      <c r="I630" s="5">
        <v>97.535292961767837</v>
      </c>
    </row>
    <row r="631" spans="1:9" x14ac:dyDescent="0.2">
      <c r="A631" s="5" t="s">
        <v>74</v>
      </c>
      <c r="B631" s="5" t="s">
        <v>63</v>
      </c>
      <c r="C631" s="5" t="s">
        <v>62</v>
      </c>
      <c r="D631" s="5">
        <v>428818</v>
      </c>
      <c r="E631" s="5">
        <v>16262</v>
      </c>
      <c r="F631" s="5">
        <v>42403127</v>
      </c>
      <c r="G631" s="5">
        <v>3.7922848387894166</v>
      </c>
      <c r="H631" s="5">
        <v>2607.497663264051</v>
      </c>
      <c r="I631" s="5">
        <v>98.883738555750924</v>
      </c>
    </row>
    <row r="632" spans="1:9" x14ac:dyDescent="0.2">
      <c r="A632" s="5" t="s">
        <v>74</v>
      </c>
      <c r="B632" s="5" t="s">
        <v>73</v>
      </c>
      <c r="C632" s="5" t="s">
        <v>45</v>
      </c>
      <c r="D632" s="5">
        <v>363352</v>
      </c>
      <c r="E632" s="5">
        <v>7078</v>
      </c>
      <c r="F632" s="5">
        <v>37338041</v>
      </c>
      <c r="G632" s="5">
        <v>1.9479733151324337</v>
      </c>
      <c r="H632" s="5">
        <v>5275.224781011585</v>
      </c>
      <c r="I632" s="5">
        <v>102.75997104735903</v>
      </c>
    </row>
    <row r="633" spans="1:9" x14ac:dyDescent="0.2">
      <c r="A633" s="5" t="s">
        <v>74</v>
      </c>
      <c r="B633" s="5" t="s">
        <v>73</v>
      </c>
      <c r="C633" s="5" t="s">
        <v>46</v>
      </c>
      <c r="D633" s="5">
        <v>364965</v>
      </c>
      <c r="E633" s="5">
        <v>6956</v>
      </c>
      <c r="F633" s="5">
        <v>37662920</v>
      </c>
      <c r="G633" s="5">
        <v>1.9059361856616388</v>
      </c>
      <c r="H633" s="5">
        <v>5414.4508338125361</v>
      </c>
      <c r="I633" s="5">
        <v>103.19597769649144</v>
      </c>
    </row>
    <row r="634" spans="1:9" x14ac:dyDescent="0.2">
      <c r="A634" s="5" t="s">
        <v>74</v>
      </c>
      <c r="B634" s="5" t="s">
        <v>73</v>
      </c>
      <c r="C634" s="5" t="s">
        <v>47</v>
      </c>
      <c r="D634" s="5">
        <v>366909</v>
      </c>
      <c r="E634" s="5">
        <v>7203</v>
      </c>
      <c r="F634" s="5">
        <v>38710442</v>
      </c>
      <c r="G634" s="5">
        <v>1.9631570770954105</v>
      </c>
      <c r="H634" s="5">
        <v>5374.2110231847837</v>
      </c>
      <c r="I634" s="5">
        <v>105.50420403969376</v>
      </c>
    </row>
    <row r="635" spans="1:9" x14ac:dyDescent="0.2">
      <c r="A635" s="5" t="s">
        <v>74</v>
      </c>
      <c r="B635" s="5" t="s">
        <v>73</v>
      </c>
      <c r="C635" s="5" t="s">
        <v>48</v>
      </c>
      <c r="D635" s="5">
        <v>369333</v>
      </c>
      <c r="E635" s="5">
        <v>7158</v>
      </c>
      <c r="F635" s="5">
        <v>39205672</v>
      </c>
      <c r="G635" s="5">
        <v>1.9380883917765268</v>
      </c>
      <c r="H635" s="5">
        <v>5477.1824531992179</v>
      </c>
      <c r="I635" s="5">
        <v>106.15263732187483</v>
      </c>
    </row>
    <row r="636" spans="1:9" x14ac:dyDescent="0.2">
      <c r="A636" s="5" t="s">
        <v>74</v>
      </c>
      <c r="B636" s="5" t="s">
        <v>73</v>
      </c>
      <c r="C636" s="5" t="s">
        <v>49</v>
      </c>
      <c r="D636" s="5">
        <v>371246</v>
      </c>
      <c r="E636" s="5">
        <v>7275</v>
      </c>
      <c r="F636" s="5">
        <v>38714933</v>
      </c>
      <c r="G636" s="5">
        <v>1.959617073315268</v>
      </c>
      <c r="H636" s="5">
        <v>5321.6402749140898</v>
      </c>
      <c r="I636" s="5">
        <v>104.28377140763806</v>
      </c>
    </row>
    <row r="637" spans="1:9" x14ac:dyDescent="0.2">
      <c r="A637" s="5" t="s">
        <v>74</v>
      </c>
      <c r="B637" s="5" t="s">
        <v>73</v>
      </c>
      <c r="C637" s="5" t="s">
        <v>50</v>
      </c>
      <c r="D637" s="5">
        <v>372561</v>
      </c>
      <c r="E637" s="5">
        <v>7185</v>
      </c>
      <c r="F637" s="5">
        <v>40101045</v>
      </c>
      <c r="G637" s="5">
        <v>1.928543245267218</v>
      </c>
      <c r="H637" s="5">
        <v>5581.2171189979126</v>
      </c>
      <c r="I637" s="5">
        <v>107.63618575213187</v>
      </c>
    </row>
    <row r="638" spans="1:9" x14ac:dyDescent="0.2">
      <c r="A638" s="5" t="s">
        <v>74</v>
      </c>
      <c r="B638" s="5" t="s">
        <v>73</v>
      </c>
      <c r="C638" s="5" t="s">
        <v>51</v>
      </c>
      <c r="D638" s="5">
        <v>373717</v>
      </c>
      <c r="E638" s="5">
        <v>7173</v>
      </c>
      <c r="F638" s="5">
        <v>41258438</v>
      </c>
      <c r="G638" s="5">
        <v>1.919366793589802</v>
      </c>
      <c r="H638" s="5">
        <v>5751.9082671127844</v>
      </c>
      <c r="I638" s="5">
        <v>110.40021727670938</v>
      </c>
    </row>
    <row r="639" spans="1:9" x14ac:dyDescent="0.2">
      <c r="A639" s="5" t="s">
        <v>74</v>
      </c>
      <c r="B639" s="5" t="s">
        <v>73</v>
      </c>
      <c r="C639" s="5" t="s">
        <v>52</v>
      </c>
      <c r="D639" s="5">
        <v>375161</v>
      </c>
      <c r="E639" s="5">
        <v>7077</v>
      </c>
      <c r="F639" s="5">
        <v>41514763</v>
      </c>
      <c r="G639" s="5">
        <v>1.8863901098461726</v>
      </c>
      <c r="H639" s="5">
        <v>5866.1527483396922</v>
      </c>
      <c r="I639" s="5">
        <v>110.65852527314939</v>
      </c>
    </row>
    <row r="640" spans="1:9" x14ac:dyDescent="0.2">
      <c r="A640" s="5" t="s">
        <v>74</v>
      </c>
      <c r="B640" s="5" t="s">
        <v>73</v>
      </c>
      <c r="C640" s="5" t="s">
        <v>53</v>
      </c>
      <c r="D640" s="5">
        <v>377818</v>
      </c>
      <c r="E640" s="5">
        <v>6794</v>
      </c>
      <c r="F640" s="5">
        <v>42544684</v>
      </c>
      <c r="G640" s="5">
        <v>1.7982203071320053</v>
      </c>
      <c r="H640" s="5">
        <v>6262.0965557845157</v>
      </c>
      <c r="I640" s="5">
        <v>112.60629191833105</v>
      </c>
    </row>
    <row r="641" spans="1:9" x14ac:dyDescent="0.2">
      <c r="A641" s="5" t="s">
        <v>74</v>
      </c>
      <c r="B641" s="5" t="s">
        <v>73</v>
      </c>
      <c r="C641" s="5" t="s">
        <v>54</v>
      </c>
      <c r="D641" s="5">
        <v>380929</v>
      </c>
      <c r="E641" s="5">
        <v>6740</v>
      </c>
      <c r="F641" s="5">
        <v>42023011</v>
      </c>
      <c r="G641" s="5">
        <v>1.7693585943837302</v>
      </c>
      <c r="H641" s="5">
        <v>6234.8681008902076</v>
      </c>
      <c r="I641" s="5">
        <v>110.31717459159056</v>
      </c>
    </row>
    <row r="642" spans="1:9" x14ac:dyDescent="0.2">
      <c r="A642" s="5" t="s">
        <v>74</v>
      </c>
      <c r="B642" s="5" t="s">
        <v>73</v>
      </c>
      <c r="C642" s="5" t="s">
        <v>55</v>
      </c>
      <c r="D642" s="5">
        <v>384679</v>
      </c>
      <c r="E642" s="5">
        <v>6605</v>
      </c>
      <c r="F642" s="5">
        <v>40800412</v>
      </c>
      <c r="G642" s="5">
        <v>1.7170160055526815</v>
      </c>
      <c r="H642" s="5">
        <v>6177.200908402725</v>
      </c>
      <c r="I642" s="5">
        <v>106.06352829242043</v>
      </c>
    </row>
    <row r="643" spans="1:9" x14ac:dyDescent="0.2">
      <c r="A643" s="5" t="s">
        <v>74</v>
      </c>
      <c r="B643" s="5" t="s">
        <v>73</v>
      </c>
      <c r="C643" s="5" t="s">
        <v>56</v>
      </c>
      <c r="D643" s="5">
        <v>388719</v>
      </c>
      <c r="E643" s="5">
        <v>6599</v>
      </c>
      <c r="F643" s="5">
        <v>41025806</v>
      </c>
      <c r="G643" s="5">
        <v>1.6976273349128805</v>
      </c>
      <c r="H643" s="5">
        <v>6216.9731777542056</v>
      </c>
      <c r="I643" s="5">
        <v>105.54103606975733</v>
      </c>
    </row>
    <row r="644" spans="1:9" x14ac:dyDescent="0.2">
      <c r="A644" s="5" t="s">
        <v>74</v>
      </c>
      <c r="B644" s="5" t="s">
        <v>73</v>
      </c>
      <c r="C644" s="5" t="s">
        <v>57</v>
      </c>
      <c r="D644" s="5">
        <v>394242</v>
      </c>
      <c r="E644" s="5">
        <v>6882</v>
      </c>
      <c r="F644" s="5">
        <v>41645141</v>
      </c>
      <c r="G644" s="5">
        <v>1.7456283196615276</v>
      </c>
      <c r="H644" s="5">
        <v>6051.3137169427491</v>
      </c>
      <c r="I644" s="5">
        <v>105.63344595451525</v>
      </c>
    </row>
    <row r="645" spans="1:9" x14ac:dyDescent="0.2">
      <c r="A645" s="5" t="s">
        <v>74</v>
      </c>
      <c r="B645" s="5" t="s">
        <v>73</v>
      </c>
      <c r="C645" s="5" t="s">
        <v>58</v>
      </c>
      <c r="D645" s="5">
        <v>401079</v>
      </c>
      <c r="E645" s="5">
        <v>6889</v>
      </c>
      <c r="F645" s="5">
        <v>41659068</v>
      </c>
      <c r="G645" s="5">
        <v>1.7176167288738629</v>
      </c>
      <c r="H645" s="5">
        <v>6047.1865292495286</v>
      </c>
      <c r="I645" s="5">
        <v>103.86748745259662</v>
      </c>
    </row>
    <row r="646" spans="1:9" x14ac:dyDescent="0.2">
      <c r="A646" s="5" t="s">
        <v>74</v>
      </c>
      <c r="B646" s="5" t="s">
        <v>73</v>
      </c>
      <c r="C646" s="5" t="s">
        <v>59</v>
      </c>
      <c r="D646" s="5">
        <v>408227</v>
      </c>
      <c r="E646" s="5">
        <v>6963</v>
      </c>
      <c r="F646" s="5">
        <v>43893529</v>
      </c>
      <c r="G646" s="5">
        <v>1.7056686598387663</v>
      </c>
      <c r="H646" s="5">
        <v>6303.8243573172485</v>
      </c>
      <c r="I646" s="5">
        <v>107.52235643404282</v>
      </c>
    </row>
    <row r="647" spans="1:9" x14ac:dyDescent="0.2">
      <c r="A647" s="5" t="s">
        <v>74</v>
      </c>
      <c r="B647" s="5" t="s">
        <v>73</v>
      </c>
      <c r="C647" s="5" t="s">
        <v>60</v>
      </c>
      <c r="D647" s="5">
        <v>416273</v>
      </c>
      <c r="E647" s="5">
        <v>7125</v>
      </c>
      <c r="F647" s="5">
        <v>46062320</v>
      </c>
      <c r="G647" s="5">
        <v>1.7116171358699699</v>
      </c>
      <c r="H647" s="5">
        <v>6464.8870175438597</v>
      </c>
      <c r="I647" s="5">
        <v>110.65411400691373</v>
      </c>
    </row>
    <row r="648" spans="1:9" x14ac:dyDescent="0.2">
      <c r="A648" s="5" t="s">
        <v>74</v>
      </c>
      <c r="B648" s="5" t="s">
        <v>73</v>
      </c>
      <c r="C648" s="5" t="s">
        <v>61</v>
      </c>
      <c r="D648" s="5">
        <v>422393</v>
      </c>
      <c r="E648" s="5">
        <v>7038</v>
      </c>
      <c r="F648" s="5">
        <v>47816229</v>
      </c>
      <c r="G648" s="5">
        <v>1.6662207943786946</v>
      </c>
      <c r="H648" s="5">
        <v>6794.0080988917307</v>
      </c>
      <c r="I648" s="5">
        <v>113.20317571550665</v>
      </c>
    </row>
    <row r="649" spans="1:9" x14ac:dyDescent="0.2">
      <c r="A649" s="5" t="s">
        <v>74</v>
      </c>
      <c r="B649" s="5" t="s">
        <v>73</v>
      </c>
      <c r="C649" s="5" t="s">
        <v>62</v>
      </c>
      <c r="D649" s="5">
        <v>428818</v>
      </c>
      <c r="E649" s="5">
        <v>7253</v>
      </c>
      <c r="F649" s="5">
        <v>50755329</v>
      </c>
      <c r="G649" s="5">
        <v>1.6913935515766596</v>
      </c>
      <c r="H649" s="5">
        <v>6997.8393768095957</v>
      </c>
      <c r="I649" s="5">
        <v>118.3610039690498</v>
      </c>
    </row>
    <row r="650" spans="1:9" x14ac:dyDescent="0.2">
      <c r="A650" s="5" t="s">
        <v>74</v>
      </c>
      <c r="B650" s="5" t="s">
        <v>64</v>
      </c>
      <c r="C650" s="5" t="s">
        <v>45</v>
      </c>
      <c r="D650" s="5">
        <v>313506</v>
      </c>
      <c r="E650" s="5">
        <v>21408</v>
      </c>
      <c r="F650" s="5">
        <v>16756716</v>
      </c>
      <c r="G650" s="5">
        <v>6.8285774434939048</v>
      </c>
      <c r="H650" s="5">
        <v>782.73150224215249</v>
      </c>
      <c r="I650" s="5">
        <v>53.449426805228605</v>
      </c>
    </row>
    <row r="651" spans="1:9" x14ac:dyDescent="0.2">
      <c r="A651" s="5" t="s">
        <v>74</v>
      </c>
      <c r="B651" s="5" t="s">
        <v>64</v>
      </c>
      <c r="C651" s="5" t="s">
        <v>46</v>
      </c>
      <c r="D651" s="5">
        <v>315325</v>
      </c>
      <c r="E651" s="5">
        <v>20678</v>
      </c>
      <c r="F651" s="5">
        <v>16765311</v>
      </c>
      <c r="G651" s="5">
        <v>6.5576785855862996</v>
      </c>
      <c r="H651" s="5">
        <v>810.78010445884513</v>
      </c>
      <c r="I651" s="5">
        <v>53.168353286291918</v>
      </c>
    </row>
    <row r="652" spans="1:9" x14ac:dyDescent="0.2">
      <c r="A652" s="5" t="s">
        <v>74</v>
      </c>
      <c r="B652" s="5" t="s">
        <v>64</v>
      </c>
      <c r="C652" s="5" t="s">
        <v>47</v>
      </c>
      <c r="D652" s="5">
        <v>317132</v>
      </c>
      <c r="E652" s="5">
        <v>20067</v>
      </c>
      <c r="F652" s="5">
        <v>16303900</v>
      </c>
      <c r="G652" s="5">
        <v>6.3276490546523219</v>
      </c>
      <c r="H652" s="5">
        <v>812.47321473065233</v>
      </c>
      <c r="I652" s="5">
        <v>51.410453691207444</v>
      </c>
    </row>
    <row r="653" spans="1:9" x14ac:dyDescent="0.2">
      <c r="A653" s="5" t="s">
        <v>74</v>
      </c>
      <c r="B653" s="5" t="s">
        <v>64</v>
      </c>
      <c r="C653" s="5" t="s">
        <v>48</v>
      </c>
      <c r="D653" s="5">
        <v>319272</v>
      </c>
      <c r="E653" s="5">
        <v>19918</v>
      </c>
      <c r="F653" s="5">
        <v>16526105</v>
      </c>
      <c r="G653" s="5">
        <v>6.2385677416121679</v>
      </c>
      <c r="H653" s="5">
        <v>829.70704890049205</v>
      </c>
      <c r="I653" s="5">
        <v>51.761836302588385</v>
      </c>
    </row>
    <row r="654" spans="1:9" x14ac:dyDescent="0.2">
      <c r="A654" s="5" t="s">
        <v>74</v>
      </c>
      <c r="B654" s="5" t="s">
        <v>64</v>
      </c>
      <c r="C654" s="5" t="s">
        <v>49</v>
      </c>
      <c r="D654" s="5">
        <v>320934</v>
      </c>
      <c r="E654" s="5">
        <v>19657</v>
      </c>
      <c r="F654" s="5">
        <v>16377113</v>
      </c>
      <c r="G654" s="5">
        <v>6.1249353449618926</v>
      </c>
      <c r="H654" s="5">
        <v>833.14407081446814</v>
      </c>
      <c r="I654" s="5">
        <v>51.0295356677697</v>
      </c>
    </row>
    <row r="655" spans="1:9" x14ac:dyDescent="0.2">
      <c r="A655" s="5" t="s">
        <v>74</v>
      </c>
      <c r="B655" s="5" t="s">
        <v>64</v>
      </c>
      <c r="C655" s="5" t="s">
        <v>50</v>
      </c>
      <c r="D655" s="5">
        <v>322133</v>
      </c>
      <c r="E655" s="5">
        <v>19872</v>
      </c>
      <c r="F655" s="5">
        <v>16468916</v>
      </c>
      <c r="G655" s="5">
        <v>6.1688805555469326</v>
      </c>
      <c r="H655" s="5">
        <v>828.74979871175526</v>
      </c>
      <c r="I655" s="5">
        <v>51.124585186863811</v>
      </c>
    </row>
    <row r="656" spans="1:9" x14ac:dyDescent="0.2">
      <c r="A656" s="5" t="s">
        <v>74</v>
      </c>
      <c r="B656" s="5" t="s">
        <v>64</v>
      </c>
      <c r="C656" s="5" t="s">
        <v>51</v>
      </c>
      <c r="D656" s="5">
        <v>323139</v>
      </c>
      <c r="E656" s="5">
        <v>19963</v>
      </c>
      <c r="F656" s="5">
        <v>16770422</v>
      </c>
      <c r="G656" s="5">
        <v>6.1778367823134932</v>
      </c>
      <c r="H656" s="5">
        <v>840.07523919250616</v>
      </c>
      <c r="I656" s="5">
        <v>51.898477125942705</v>
      </c>
    </row>
    <row r="657" spans="1:9" x14ac:dyDescent="0.2">
      <c r="A657" s="5" t="s">
        <v>74</v>
      </c>
      <c r="B657" s="5" t="s">
        <v>64</v>
      </c>
      <c r="C657" s="5" t="s">
        <v>52</v>
      </c>
      <c r="D657" s="5">
        <v>324247</v>
      </c>
      <c r="E657" s="5">
        <v>20052</v>
      </c>
      <c r="F657" s="5">
        <v>17873831</v>
      </c>
      <c r="G657" s="5">
        <v>6.1841744102489766</v>
      </c>
      <c r="H657" s="5">
        <v>891.37397765808896</v>
      </c>
      <c r="I657" s="5">
        <v>55.124121425949973</v>
      </c>
    </row>
    <row r="658" spans="1:9" x14ac:dyDescent="0.2">
      <c r="A658" s="5" t="s">
        <v>74</v>
      </c>
      <c r="B658" s="5" t="s">
        <v>64</v>
      </c>
      <c r="C658" s="5" t="s">
        <v>53</v>
      </c>
      <c r="D658" s="5">
        <v>326256</v>
      </c>
      <c r="E658" s="5">
        <v>20463</v>
      </c>
      <c r="F658" s="5">
        <v>19128710</v>
      </c>
      <c r="G658" s="5">
        <v>6.2720685596586732</v>
      </c>
      <c r="H658" s="5">
        <v>934.79499584616133</v>
      </c>
      <c r="I658" s="5">
        <v>58.630983031729684</v>
      </c>
    </row>
    <row r="659" spans="1:9" x14ac:dyDescent="0.2">
      <c r="A659" s="5" t="s">
        <v>74</v>
      </c>
      <c r="B659" s="5" t="s">
        <v>64</v>
      </c>
      <c r="C659" s="5" t="s">
        <v>54</v>
      </c>
      <c r="D659" s="5">
        <v>328357</v>
      </c>
      <c r="E659" s="5">
        <v>20409</v>
      </c>
      <c r="F659" s="5">
        <v>19053062</v>
      </c>
      <c r="G659" s="5">
        <v>6.2154910661261979</v>
      </c>
      <c r="H659" s="5">
        <v>933.56176196775937</v>
      </c>
      <c r="I659" s="5">
        <v>58.025447911876405</v>
      </c>
    </row>
    <row r="660" spans="1:9" x14ac:dyDescent="0.2">
      <c r="A660" s="5" t="s">
        <v>74</v>
      </c>
      <c r="B660" s="5" t="s">
        <v>64</v>
      </c>
      <c r="C660" s="5" t="s">
        <v>55</v>
      </c>
      <c r="D660" s="5">
        <v>330892</v>
      </c>
      <c r="E660" s="5">
        <v>20301</v>
      </c>
      <c r="F660" s="5">
        <v>18585672</v>
      </c>
      <c r="G660" s="5">
        <v>6.1352344571642714</v>
      </c>
      <c r="H660" s="5">
        <v>915.50524604699274</v>
      </c>
      <c r="I660" s="5">
        <v>56.168393312621639</v>
      </c>
    </row>
    <row r="661" spans="1:9" x14ac:dyDescent="0.2">
      <c r="A661" s="5" t="s">
        <v>74</v>
      </c>
      <c r="B661" s="5" t="s">
        <v>64</v>
      </c>
      <c r="C661" s="5" t="s">
        <v>56</v>
      </c>
      <c r="D661" s="5">
        <v>333517</v>
      </c>
      <c r="E661" s="5">
        <v>19929</v>
      </c>
      <c r="F661" s="5">
        <v>17263960</v>
      </c>
      <c r="G661" s="5">
        <v>5.9754075504397077</v>
      </c>
      <c r="H661" s="5">
        <v>866.27327010888655</v>
      </c>
      <c r="I661" s="5">
        <v>51.763358389527369</v>
      </c>
    </row>
    <row r="662" spans="1:9" x14ac:dyDescent="0.2">
      <c r="A662" s="5" t="s">
        <v>74</v>
      </c>
      <c r="B662" s="5" t="s">
        <v>64</v>
      </c>
      <c r="C662" s="5" t="s">
        <v>57</v>
      </c>
      <c r="D662" s="5">
        <v>336613</v>
      </c>
      <c r="E662" s="5">
        <v>19890</v>
      </c>
      <c r="F662" s="5">
        <v>18371359</v>
      </c>
      <c r="G662" s="5">
        <v>5.9088626998957263</v>
      </c>
      <c r="H662" s="5">
        <v>923.64801407742584</v>
      </c>
      <c r="I662" s="5">
        <v>54.577092982148642</v>
      </c>
    </row>
    <row r="663" spans="1:9" x14ac:dyDescent="0.2">
      <c r="A663" s="5" t="s">
        <v>74</v>
      </c>
      <c r="B663" s="5" t="s">
        <v>64</v>
      </c>
      <c r="C663" s="5" t="s">
        <v>58</v>
      </c>
      <c r="D663" s="5">
        <v>340548</v>
      </c>
      <c r="E663" s="5">
        <v>19701</v>
      </c>
      <c r="F663" s="5">
        <v>17862428</v>
      </c>
      <c r="G663" s="5">
        <v>5.785087564748582</v>
      </c>
      <c r="H663" s="5">
        <v>906.67620932947568</v>
      </c>
      <c r="I663" s="5">
        <v>52.452012638453319</v>
      </c>
    </row>
    <row r="664" spans="1:9" x14ac:dyDescent="0.2">
      <c r="A664" s="5" t="s">
        <v>74</v>
      </c>
      <c r="B664" s="5" t="s">
        <v>64</v>
      </c>
      <c r="C664" s="5" t="s">
        <v>59</v>
      </c>
      <c r="D664" s="5">
        <v>344750</v>
      </c>
      <c r="E664" s="5">
        <v>19807</v>
      </c>
      <c r="F664" s="5">
        <v>17928096</v>
      </c>
      <c r="G664" s="5">
        <v>5.7453226976069613</v>
      </c>
      <c r="H664" s="5">
        <v>905.13939516332607</v>
      </c>
      <c r="I664" s="5">
        <v>52.003179115300945</v>
      </c>
    </row>
    <row r="665" spans="1:9" x14ac:dyDescent="0.2">
      <c r="A665" s="5" t="s">
        <v>74</v>
      </c>
      <c r="B665" s="5" t="s">
        <v>64</v>
      </c>
      <c r="C665" s="5" t="s">
        <v>60</v>
      </c>
      <c r="D665" s="5">
        <v>349814</v>
      </c>
      <c r="E665" s="5">
        <v>19426</v>
      </c>
      <c r="F665" s="5">
        <v>17568283</v>
      </c>
      <c r="G665" s="5">
        <v>5.5532368630186326</v>
      </c>
      <c r="H665" s="5">
        <v>904.36955626479971</v>
      </c>
      <c r="I665" s="5">
        <v>50.221783576414893</v>
      </c>
    </row>
    <row r="666" spans="1:9" x14ac:dyDescent="0.2">
      <c r="A666" s="5" t="s">
        <v>74</v>
      </c>
      <c r="B666" s="5" t="s">
        <v>64</v>
      </c>
      <c r="C666" s="5" t="s">
        <v>61</v>
      </c>
      <c r="D666" s="5">
        <v>353904</v>
      </c>
      <c r="E666" s="5">
        <v>18697</v>
      </c>
      <c r="F666" s="5">
        <v>15273097</v>
      </c>
      <c r="G666" s="5">
        <v>5.2830711153307108</v>
      </c>
      <c r="H666" s="5">
        <v>816.87420441782103</v>
      </c>
      <c r="I666" s="5">
        <v>43.156045142185448</v>
      </c>
    </row>
    <row r="667" spans="1:9" x14ac:dyDescent="0.2">
      <c r="A667" s="5" t="s">
        <v>74</v>
      </c>
      <c r="B667" s="5" t="s">
        <v>64</v>
      </c>
      <c r="C667" s="5" t="s">
        <v>62</v>
      </c>
      <c r="D667" s="5">
        <v>358267</v>
      </c>
      <c r="E667" s="5">
        <v>18676</v>
      </c>
      <c r="F667" s="5">
        <v>16508235</v>
      </c>
      <c r="G667" s="5">
        <v>5.2128719642054673</v>
      </c>
      <c r="H667" s="5">
        <v>883.92776825872772</v>
      </c>
      <c r="I667" s="5">
        <v>46.078022815386291</v>
      </c>
    </row>
    <row r="668" spans="1:9" x14ac:dyDescent="0.2">
      <c r="A668" s="5" t="s">
        <v>74</v>
      </c>
      <c r="B668" s="5" t="s">
        <v>65</v>
      </c>
      <c r="C668" s="5" t="s">
        <v>45</v>
      </c>
      <c r="D668" s="5">
        <v>296542</v>
      </c>
      <c r="E668" s="5">
        <v>21137</v>
      </c>
      <c r="F668" s="5">
        <v>45942560</v>
      </c>
      <c r="G668" s="5">
        <v>7.1278267496678378</v>
      </c>
      <c r="H668" s="5">
        <v>2173.5610540757912</v>
      </c>
      <c r="I668" s="5">
        <v>154.92766623277646</v>
      </c>
    </row>
    <row r="669" spans="1:9" x14ac:dyDescent="0.2">
      <c r="A669" s="5" t="s">
        <v>74</v>
      </c>
      <c r="B669" s="5" t="s">
        <v>65</v>
      </c>
      <c r="C669" s="5" t="s">
        <v>46</v>
      </c>
      <c r="D669" s="5">
        <v>298516</v>
      </c>
      <c r="E669" s="5">
        <v>20728</v>
      </c>
      <c r="F669" s="5">
        <v>45315587</v>
      </c>
      <c r="G669" s="5">
        <v>6.9436814107116538</v>
      </c>
      <c r="H669" s="5">
        <v>2186.2016113469704</v>
      </c>
      <c r="I669" s="5">
        <v>151.80287488777822</v>
      </c>
    </row>
    <row r="670" spans="1:9" x14ac:dyDescent="0.2">
      <c r="A670" s="5" t="s">
        <v>74</v>
      </c>
      <c r="B670" s="5" t="s">
        <v>65</v>
      </c>
      <c r="C670" s="5" t="s">
        <v>47</v>
      </c>
      <c r="D670" s="5">
        <v>300482</v>
      </c>
      <c r="E670" s="5">
        <v>20899</v>
      </c>
      <c r="F670" s="5">
        <v>45987161</v>
      </c>
      <c r="G670" s="5">
        <v>6.9551587116699167</v>
      </c>
      <c r="H670" s="5">
        <v>2200.4479161682375</v>
      </c>
      <c r="I670" s="5">
        <v>153.04464493713434</v>
      </c>
    </row>
    <row r="671" spans="1:9" x14ac:dyDescent="0.2">
      <c r="A671" s="5" t="s">
        <v>74</v>
      </c>
      <c r="B671" s="5" t="s">
        <v>65</v>
      </c>
      <c r="C671" s="5" t="s">
        <v>48</v>
      </c>
      <c r="D671" s="5">
        <v>302692</v>
      </c>
      <c r="E671" s="5">
        <v>21119</v>
      </c>
      <c r="F671" s="5">
        <v>46792576</v>
      </c>
      <c r="G671" s="5">
        <v>6.9770591888784637</v>
      </c>
      <c r="H671" s="5">
        <v>2215.6624840191298</v>
      </c>
      <c r="I671" s="5">
        <v>154.58808293578952</v>
      </c>
    </row>
    <row r="672" spans="1:9" x14ac:dyDescent="0.2">
      <c r="A672" s="5" t="s">
        <v>74</v>
      </c>
      <c r="B672" s="5" t="s">
        <v>65</v>
      </c>
      <c r="C672" s="5" t="s">
        <v>49</v>
      </c>
      <c r="D672" s="5">
        <v>304433</v>
      </c>
      <c r="E672" s="5">
        <v>20979</v>
      </c>
      <c r="F672" s="5">
        <v>47993193</v>
      </c>
      <c r="G672" s="5">
        <v>6.8911714564452602</v>
      </c>
      <c r="H672" s="5">
        <v>2287.6778206778208</v>
      </c>
      <c r="I672" s="5">
        <v>157.64780099397896</v>
      </c>
    </row>
    <row r="673" spans="1:9" x14ac:dyDescent="0.2">
      <c r="A673" s="5" t="s">
        <v>74</v>
      </c>
      <c r="B673" s="5" t="s">
        <v>65</v>
      </c>
      <c r="C673" s="5" t="s">
        <v>50</v>
      </c>
      <c r="D673" s="5">
        <v>305675</v>
      </c>
      <c r="E673" s="5">
        <v>21689</v>
      </c>
      <c r="F673" s="5">
        <v>51429314</v>
      </c>
      <c r="G673" s="5">
        <v>7.0954445080559418</v>
      </c>
      <c r="H673" s="5">
        <v>2371.2164691779244</v>
      </c>
      <c r="I673" s="5">
        <v>168.24834873640305</v>
      </c>
    </row>
    <row r="674" spans="1:9" x14ac:dyDescent="0.2">
      <c r="A674" s="5" t="s">
        <v>74</v>
      </c>
      <c r="B674" s="5" t="s">
        <v>65</v>
      </c>
      <c r="C674" s="5" t="s">
        <v>51</v>
      </c>
      <c r="D674" s="5">
        <v>306718</v>
      </c>
      <c r="E674" s="5">
        <v>21966</v>
      </c>
      <c r="F674" s="5">
        <v>53041831</v>
      </c>
      <c r="G674" s="5">
        <v>7.1616272928227236</v>
      </c>
      <c r="H674" s="5">
        <v>2414.724164618046</v>
      </c>
      <c r="I674" s="5">
        <v>172.93354481967148</v>
      </c>
    </row>
    <row r="675" spans="1:9" x14ac:dyDescent="0.2">
      <c r="A675" s="5" t="s">
        <v>74</v>
      </c>
      <c r="B675" s="5" t="s">
        <v>65</v>
      </c>
      <c r="C675" s="5" t="s">
        <v>52</v>
      </c>
      <c r="D675" s="5">
        <v>307862</v>
      </c>
      <c r="E675" s="5">
        <v>22126</v>
      </c>
      <c r="F675" s="5">
        <v>54685137</v>
      </c>
      <c r="G675" s="5">
        <v>7.1869863770130769</v>
      </c>
      <c r="H675" s="5">
        <v>2471.5329024676853</v>
      </c>
      <c r="I675" s="5">
        <v>177.62873300374844</v>
      </c>
    </row>
    <row r="676" spans="1:9" x14ac:dyDescent="0.2">
      <c r="A676" s="5" t="s">
        <v>74</v>
      </c>
      <c r="B676" s="5" t="s">
        <v>65</v>
      </c>
      <c r="C676" s="5" t="s">
        <v>53</v>
      </c>
      <c r="D676" s="5">
        <v>309830</v>
      </c>
      <c r="E676" s="5">
        <v>22062</v>
      </c>
      <c r="F676" s="5">
        <v>55327303</v>
      </c>
      <c r="G676" s="5">
        <v>7.1206790820772685</v>
      </c>
      <c r="H676" s="5">
        <v>2507.8099447012964</v>
      </c>
      <c r="I676" s="5">
        <v>178.57309815059872</v>
      </c>
    </row>
    <row r="677" spans="1:9" x14ac:dyDescent="0.2">
      <c r="A677" s="5" t="s">
        <v>74</v>
      </c>
      <c r="B677" s="5" t="s">
        <v>65</v>
      </c>
      <c r="C677" s="5" t="s">
        <v>54</v>
      </c>
      <c r="D677" s="5">
        <v>311934</v>
      </c>
      <c r="E677" s="5">
        <v>21783</v>
      </c>
      <c r="F677" s="5">
        <v>54401296</v>
      </c>
      <c r="G677" s="5">
        <v>6.9832079863047953</v>
      </c>
      <c r="H677" s="5">
        <v>2497.4198227975944</v>
      </c>
      <c r="I677" s="5">
        <v>174.40002051716067</v>
      </c>
    </row>
    <row r="678" spans="1:9" x14ac:dyDescent="0.2">
      <c r="A678" s="5" t="s">
        <v>74</v>
      </c>
      <c r="B678" s="5" t="s">
        <v>65</v>
      </c>
      <c r="C678" s="5" t="s">
        <v>55</v>
      </c>
      <c r="D678" s="5">
        <v>314414</v>
      </c>
      <c r="E678" s="5">
        <v>21455</v>
      </c>
      <c r="F678" s="5">
        <v>53022841</v>
      </c>
      <c r="G678" s="5">
        <v>6.8238055557322514</v>
      </c>
      <c r="H678" s="5">
        <v>2471.3512467956189</v>
      </c>
      <c r="I678" s="5">
        <v>168.64020368049768</v>
      </c>
    </row>
    <row r="679" spans="1:9" x14ac:dyDescent="0.2">
      <c r="A679" s="5" t="s">
        <v>74</v>
      </c>
      <c r="B679" s="5" t="s">
        <v>65</v>
      </c>
      <c r="C679" s="5" t="s">
        <v>56</v>
      </c>
      <c r="D679" s="5">
        <v>316993</v>
      </c>
      <c r="E679" s="5">
        <v>21261</v>
      </c>
      <c r="F679" s="5">
        <v>53025368</v>
      </c>
      <c r="G679" s="5">
        <v>6.7070881691393813</v>
      </c>
      <c r="H679" s="5">
        <v>2494.0204129627018</v>
      </c>
      <c r="I679" s="5">
        <v>167.2761480537425</v>
      </c>
    </row>
    <row r="680" spans="1:9" x14ac:dyDescent="0.2">
      <c r="A680" s="5" t="s">
        <v>74</v>
      </c>
      <c r="B680" s="5" t="s">
        <v>65</v>
      </c>
      <c r="C680" s="5" t="s">
        <v>57</v>
      </c>
      <c r="D680" s="5">
        <v>320043</v>
      </c>
      <c r="E680" s="5">
        <v>21198</v>
      </c>
      <c r="F680" s="5">
        <v>52563262</v>
      </c>
      <c r="G680" s="5">
        <v>6.6234849692072624</v>
      </c>
      <c r="H680" s="5">
        <v>2479.6330785923201</v>
      </c>
      <c r="I680" s="5">
        <v>164.23812425205364</v>
      </c>
    </row>
    <row r="681" spans="1:9" x14ac:dyDescent="0.2">
      <c r="A681" s="5" t="s">
        <v>74</v>
      </c>
      <c r="B681" s="5" t="s">
        <v>65</v>
      </c>
      <c r="C681" s="5" t="s">
        <v>58</v>
      </c>
      <c r="D681" s="5">
        <v>323898</v>
      </c>
      <c r="E681" s="5">
        <v>21267</v>
      </c>
      <c r="F681" s="5">
        <v>53200748</v>
      </c>
      <c r="G681" s="5">
        <v>6.5659559490950858</v>
      </c>
      <c r="H681" s="5">
        <v>2501.563361075845</v>
      </c>
      <c r="I681" s="5">
        <v>164.25154832694244</v>
      </c>
    </row>
    <row r="682" spans="1:9" x14ac:dyDescent="0.2">
      <c r="A682" s="5" t="s">
        <v>74</v>
      </c>
      <c r="B682" s="5" t="s">
        <v>65</v>
      </c>
      <c r="C682" s="5" t="s">
        <v>59</v>
      </c>
      <c r="D682" s="5">
        <v>328050</v>
      </c>
      <c r="E682" s="5">
        <v>21578</v>
      </c>
      <c r="F682" s="5">
        <v>55493382</v>
      </c>
      <c r="G682" s="5">
        <v>6.5776558451455571</v>
      </c>
      <c r="H682" s="5">
        <v>2571.7574381314303</v>
      </c>
      <c r="I682" s="5">
        <v>169.16135345221764</v>
      </c>
    </row>
    <row r="683" spans="1:9" x14ac:dyDescent="0.2">
      <c r="A683" s="5" t="s">
        <v>74</v>
      </c>
      <c r="B683" s="5" t="s">
        <v>65</v>
      </c>
      <c r="C683" s="5" t="s">
        <v>60</v>
      </c>
      <c r="D683" s="5">
        <v>333045</v>
      </c>
      <c r="E683" s="5">
        <v>21791</v>
      </c>
      <c r="F683" s="5">
        <v>55959203</v>
      </c>
      <c r="G683" s="5">
        <v>6.5429596601059918</v>
      </c>
      <c r="H683" s="5">
        <v>2567.9960993070536</v>
      </c>
      <c r="I683" s="5">
        <v>168.02294885075591</v>
      </c>
    </row>
    <row r="684" spans="1:9" x14ac:dyDescent="0.2">
      <c r="A684" s="5" t="s">
        <v>74</v>
      </c>
      <c r="B684" s="5" t="s">
        <v>65</v>
      </c>
      <c r="C684" s="5" t="s">
        <v>61</v>
      </c>
      <c r="D684" s="5">
        <v>337134</v>
      </c>
      <c r="E684" s="5">
        <v>21824</v>
      </c>
      <c r="F684" s="5">
        <v>56626833</v>
      </c>
      <c r="G684" s="5">
        <v>6.4733904026292217</v>
      </c>
      <c r="H684" s="5">
        <v>2594.7045912756598</v>
      </c>
      <c r="I684" s="5">
        <v>167.96535798821833</v>
      </c>
    </row>
    <row r="685" spans="1:9" x14ac:dyDescent="0.2">
      <c r="A685" s="5" t="s">
        <v>74</v>
      </c>
      <c r="B685" s="5" t="s">
        <v>65</v>
      </c>
      <c r="C685" s="5" t="s">
        <v>62</v>
      </c>
      <c r="D685" s="5">
        <v>341489</v>
      </c>
      <c r="E685" s="5">
        <v>21868</v>
      </c>
      <c r="F685" s="5">
        <v>57329989</v>
      </c>
      <c r="G685" s="5">
        <v>6.4037201783952042</v>
      </c>
      <c r="H685" s="5">
        <v>2621.6384214377172</v>
      </c>
      <c r="I685" s="5">
        <v>167.8823885981686</v>
      </c>
    </row>
    <row r="686" spans="1:9" x14ac:dyDescent="0.2">
      <c r="A686" s="5" t="s">
        <v>75</v>
      </c>
      <c r="B686" s="5" t="s">
        <v>44</v>
      </c>
      <c r="C686" s="5" t="s">
        <v>45</v>
      </c>
      <c r="D686" s="5">
        <v>6373508</v>
      </c>
      <c r="E686" s="5">
        <v>53893</v>
      </c>
      <c r="F686" s="5">
        <v>842618190</v>
      </c>
      <c r="G686" s="5">
        <v>0.84557829063680467</v>
      </c>
      <c r="H686" s="5">
        <v>15635.021060249011</v>
      </c>
      <c r="I686" s="5">
        <v>132.20634382195803</v>
      </c>
    </row>
    <row r="687" spans="1:9" x14ac:dyDescent="0.2">
      <c r="A687" s="5" t="s">
        <v>75</v>
      </c>
      <c r="B687" s="5" t="s">
        <v>44</v>
      </c>
      <c r="C687" s="5" t="s">
        <v>46</v>
      </c>
      <c r="D687" s="5">
        <v>6475734</v>
      </c>
      <c r="E687" s="5">
        <v>55030</v>
      </c>
      <c r="F687" s="5">
        <v>858791555</v>
      </c>
      <c r="G687" s="5">
        <v>0.84978783872222052</v>
      </c>
      <c r="H687" s="5">
        <v>15605.879611121207</v>
      </c>
      <c r="I687" s="5">
        <v>132.61686706093857</v>
      </c>
    </row>
    <row r="688" spans="1:9" x14ac:dyDescent="0.2">
      <c r="A688" s="5" t="s">
        <v>75</v>
      </c>
      <c r="B688" s="5" t="s">
        <v>44</v>
      </c>
      <c r="C688" s="5" t="s">
        <v>47</v>
      </c>
      <c r="D688" s="5">
        <v>6569271</v>
      </c>
      <c r="E688" s="5">
        <v>56299</v>
      </c>
      <c r="F688" s="5">
        <v>874319243</v>
      </c>
      <c r="G688" s="5">
        <v>0.85700529023692273</v>
      </c>
      <c r="H688" s="5">
        <v>15529.924918737455</v>
      </c>
      <c r="I688" s="5">
        <v>133.09227812340214</v>
      </c>
    </row>
    <row r="689" spans="1:9" x14ac:dyDescent="0.2">
      <c r="A689" s="5" t="s">
        <v>75</v>
      </c>
      <c r="B689" s="5" t="s">
        <v>44</v>
      </c>
      <c r="C689" s="5" t="s">
        <v>48</v>
      </c>
      <c r="D689" s="5">
        <v>6642072</v>
      </c>
      <c r="E689" s="5">
        <v>57379</v>
      </c>
      <c r="F689" s="5">
        <v>900261299</v>
      </c>
      <c r="G689" s="5">
        <v>0.86387199656974512</v>
      </c>
      <c r="H689" s="5">
        <v>15689.734903013297</v>
      </c>
      <c r="I689" s="5">
        <v>135.53922616316115</v>
      </c>
    </row>
    <row r="690" spans="1:9" x14ac:dyDescent="0.2">
      <c r="A690" s="5" t="s">
        <v>75</v>
      </c>
      <c r="B690" s="5" t="s">
        <v>44</v>
      </c>
      <c r="C690" s="5" t="s">
        <v>49</v>
      </c>
      <c r="D690" s="5">
        <v>6690051</v>
      </c>
      <c r="E690" s="5">
        <v>57184</v>
      </c>
      <c r="F690" s="5">
        <v>890601282</v>
      </c>
      <c r="G690" s="5">
        <v>0.85476179479050307</v>
      </c>
      <c r="H690" s="5">
        <v>15574.308932568551</v>
      </c>
      <c r="I690" s="5">
        <v>133.12324255824058</v>
      </c>
    </row>
    <row r="691" spans="1:9" x14ac:dyDescent="0.2">
      <c r="A691" s="5" t="s">
        <v>75</v>
      </c>
      <c r="B691" s="5" t="s">
        <v>44</v>
      </c>
      <c r="C691" s="5" t="s">
        <v>50</v>
      </c>
      <c r="D691" s="5">
        <v>6722874</v>
      </c>
      <c r="E691" s="5">
        <v>57389</v>
      </c>
      <c r="F691" s="5">
        <v>898088874</v>
      </c>
      <c r="G691" s="5">
        <v>0.85363789355564301</v>
      </c>
      <c r="H691" s="5">
        <v>15649.146596037568</v>
      </c>
      <c r="I691" s="5">
        <v>133.5870453618497</v>
      </c>
    </row>
    <row r="692" spans="1:9" x14ac:dyDescent="0.2">
      <c r="A692" s="5" t="s">
        <v>75</v>
      </c>
      <c r="B692" s="5" t="s">
        <v>44</v>
      </c>
      <c r="C692" s="5" t="s">
        <v>51</v>
      </c>
      <c r="D692" s="5">
        <v>6747086</v>
      </c>
      <c r="E692" s="5">
        <v>58277</v>
      </c>
      <c r="F692" s="5">
        <v>928743264</v>
      </c>
      <c r="G692" s="5">
        <v>0.86373584092451172</v>
      </c>
      <c r="H692" s="5">
        <v>15936.703399282736</v>
      </c>
      <c r="I692" s="5">
        <v>137.65101912143999</v>
      </c>
    </row>
    <row r="693" spans="1:9" x14ac:dyDescent="0.2">
      <c r="A693" s="5" t="s">
        <v>75</v>
      </c>
      <c r="B693" s="5" t="s">
        <v>44</v>
      </c>
      <c r="C693" s="5" t="s">
        <v>52</v>
      </c>
      <c r="D693" s="5">
        <v>6770161</v>
      </c>
      <c r="E693" s="5">
        <v>58837</v>
      </c>
      <c r="F693" s="5">
        <v>940714923</v>
      </c>
      <c r="G693" s="5">
        <v>0.86906352744048476</v>
      </c>
      <c r="H693" s="5">
        <v>15988.492326257287</v>
      </c>
      <c r="I693" s="5">
        <v>138.95015539512281</v>
      </c>
    </row>
    <row r="694" spans="1:9" x14ac:dyDescent="0.2">
      <c r="A694" s="5" t="s">
        <v>75</v>
      </c>
      <c r="B694" s="5" t="s">
        <v>44</v>
      </c>
      <c r="C694" s="5" t="s">
        <v>53</v>
      </c>
      <c r="D694" s="5">
        <v>6806731</v>
      </c>
      <c r="E694" s="5">
        <v>60315</v>
      </c>
      <c r="F694" s="5">
        <v>969788464</v>
      </c>
      <c r="G694" s="5">
        <v>0.88610817733211433</v>
      </c>
      <c r="H694" s="5">
        <v>16078.727746000166</v>
      </c>
      <c r="I694" s="5">
        <v>142.47492136827503</v>
      </c>
    </row>
    <row r="695" spans="1:9" x14ac:dyDescent="0.2">
      <c r="A695" s="5" t="s">
        <v>75</v>
      </c>
      <c r="B695" s="5" t="s">
        <v>44</v>
      </c>
      <c r="C695" s="5" t="s">
        <v>54</v>
      </c>
      <c r="D695" s="5">
        <v>6849474</v>
      </c>
      <c r="E695" s="5">
        <v>61181</v>
      </c>
      <c r="F695" s="5">
        <v>996085168</v>
      </c>
      <c r="G695" s="5">
        <v>0.89322187367964312</v>
      </c>
      <c r="H695" s="5">
        <v>16280.955983066639</v>
      </c>
      <c r="I695" s="5">
        <v>145.42506008490579</v>
      </c>
    </row>
    <row r="696" spans="1:9" x14ac:dyDescent="0.2">
      <c r="A696" s="5" t="s">
        <v>75</v>
      </c>
      <c r="B696" s="5" t="s">
        <v>44</v>
      </c>
      <c r="C696" s="5" t="s">
        <v>55</v>
      </c>
      <c r="D696" s="5">
        <v>6902774</v>
      </c>
      <c r="E696" s="5">
        <v>61593</v>
      </c>
      <c r="F696" s="5">
        <v>1016686210</v>
      </c>
      <c r="G696" s="5">
        <v>0.89229344608413952</v>
      </c>
      <c r="H696" s="5">
        <v>16506.522007370968</v>
      </c>
      <c r="I696" s="5">
        <v>147.2866140482073</v>
      </c>
    </row>
    <row r="697" spans="1:9" x14ac:dyDescent="0.2">
      <c r="A697" s="5" t="s">
        <v>75</v>
      </c>
      <c r="B697" s="5" t="s">
        <v>44</v>
      </c>
      <c r="C697" s="5" t="s">
        <v>56</v>
      </c>
      <c r="D697" s="5">
        <v>6971067</v>
      </c>
      <c r="E697" s="5">
        <v>61841</v>
      </c>
      <c r="F697" s="5">
        <v>1035328933</v>
      </c>
      <c r="G697" s="5">
        <v>0.88710953430801909</v>
      </c>
      <c r="H697" s="5">
        <v>16741.788344302324</v>
      </c>
      <c r="I697" s="5">
        <v>148.51800061597456</v>
      </c>
    </row>
    <row r="698" spans="1:9" x14ac:dyDescent="0.2">
      <c r="A698" s="5" t="s">
        <v>75</v>
      </c>
      <c r="B698" s="5" t="s">
        <v>44</v>
      </c>
      <c r="C698" s="5" t="s">
        <v>57</v>
      </c>
      <c r="D698" s="5">
        <v>7047125</v>
      </c>
      <c r="E698" s="5">
        <v>62269</v>
      </c>
      <c r="F698" s="5">
        <v>1054941475</v>
      </c>
      <c r="G698" s="5">
        <v>0.88360856377600794</v>
      </c>
      <c r="H698" s="5">
        <v>16941.680049462815</v>
      </c>
      <c r="I698" s="5">
        <v>149.69813576458486</v>
      </c>
    </row>
    <row r="699" spans="1:9" x14ac:dyDescent="0.2">
      <c r="A699" s="5" t="s">
        <v>75</v>
      </c>
      <c r="B699" s="5" t="s">
        <v>44</v>
      </c>
      <c r="C699" s="5" t="s">
        <v>58</v>
      </c>
      <c r="D699" s="5">
        <v>7121035</v>
      </c>
      <c r="E699" s="5">
        <v>62751</v>
      </c>
      <c r="F699" s="5">
        <v>1078015895</v>
      </c>
      <c r="G699" s="5">
        <v>0.88120617297906834</v>
      </c>
      <c r="H699" s="5">
        <v>17179.262402192795</v>
      </c>
      <c r="I699" s="5">
        <v>151.38472076039508</v>
      </c>
    </row>
    <row r="700" spans="1:9" x14ac:dyDescent="0.2">
      <c r="A700" s="5" t="s">
        <v>75</v>
      </c>
      <c r="B700" s="5" t="s">
        <v>44</v>
      </c>
      <c r="C700" s="5" t="s">
        <v>59</v>
      </c>
      <c r="D700" s="5">
        <v>7194950</v>
      </c>
      <c r="E700" s="5">
        <v>63294</v>
      </c>
      <c r="F700" s="5">
        <v>1087690822</v>
      </c>
      <c r="G700" s="5">
        <v>0.8797003453811354</v>
      </c>
      <c r="H700" s="5">
        <v>17184.738237431669</v>
      </c>
      <c r="I700" s="5">
        <v>151.17420162753041</v>
      </c>
    </row>
    <row r="701" spans="1:9" x14ac:dyDescent="0.2">
      <c r="A701" s="5" t="s">
        <v>75</v>
      </c>
      <c r="B701" s="5" t="s">
        <v>44</v>
      </c>
      <c r="C701" s="5" t="s">
        <v>60</v>
      </c>
      <c r="D701" s="5">
        <v>7267974</v>
      </c>
      <c r="E701" s="5">
        <v>63726</v>
      </c>
      <c r="F701" s="5">
        <v>1107975260</v>
      </c>
      <c r="G701" s="5">
        <v>0.87680555819269579</v>
      </c>
      <c r="H701" s="5">
        <v>17386.54960298779</v>
      </c>
      <c r="I701" s="5">
        <v>152.44623329692703</v>
      </c>
    </row>
    <row r="702" spans="1:9" x14ac:dyDescent="0.2">
      <c r="A702" s="5" t="s">
        <v>75</v>
      </c>
      <c r="B702" s="5" t="s">
        <v>44</v>
      </c>
      <c r="C702" s="5" t="s">
        <v>61</v>
      </c>
      <c r="D702" s="5">
        <v>7343937</v>
      </c>
      <c r="E702" s="5">
        <v>62722</v>
      </c>
      <c r="F702" s="5">
        <v>1085342811</v>
      </c>
      <c r="G702" s="5">
        <v>0.85406506074330435</v>
      </c>
      <c r="H702" s="5">
        <v>17304.02109307739</v>
      </c>
      <c r="I702" s="5">
        <v>147.78759825962558</v>
      </c>
    </row>
    <row r="703" spans="1:9" x14ac:dyDescent="0.2">
      <c r="A703" s="5" t="s">
        <v>75</v>
      </c>
      <c r="B703" s="5" t="s">
        <v>44</v>
      </c>
      <c r="C703" s="5" t="s">
        <v>62</v>
      </c>
      <c r="D703" s="5">
        <v>7423490</v>
      </c>
      <c r="E703" s="5">
        <v>61854</v>
      </c>
      <c r="F703" s="5">
        <v>1069079922</v>
      </c>
      <c r="G703" s="5">
        <v>0.83321995449579644</v>
      </c>
      <c r="H703" s="5">
        <v>17283.925404985934</v>
      </c>
      <c r="I703" s="5">
        <v>144.0131153945112</v>
      </c>
    </row>
    <row r="704" spans="1:9" x14ac:dyDescent="0.2">
      <c r="A704" s="5" t="s">
        <v>75</v>
      </c>
      <c r="B704" s="5" t="s">
        <v>63</v>
      </c>
      <c r="C704" s="5" t="s">
        <v>45</v>
      </c>
      <c r="D704" s="5">
        <v>6482968</v>
      </c>
      <c r="E704" s="5">
        <v>271999</v>
      </c>
      <c r="F704" s="5">
        <v>656710885</v>
      </c>
      <c r="G704" s="5">
        <v>4.1955937465679298</v>
      </c>
      <c r="H704" s="5">
        <v>2414.387130099743</v>
      </c>
      <c r="I704" s="5">
        <v>101.29787544840573</v>
      </c>
    </row>
    <row r="705" spans="1:9" x14ac:dyDescent="0.2">
      <c r="A705" s="5" t="s">
        <v>75</v>
      </c>
      <c r="B705" s="5" t="s">
        <v>63</v>
      </c>
      <c r="C705" s="5" t="s">
        <v>46</v>
      </c>
      <c r="D705" s="5">
        <v>6572541</v>
      </c>
      <c r="E705" s="5">
        <v>273089</v>
      </c>
      <c r="F705" s="5">
        <v>668337552</v>
      </c>
      <c r="G705" s="5">
        <v>4.154998804876227</v>
      </c>
      <c r="H705" s="5">
        <v>2447.3250552017839</v>
      </c>
      <c r="I705" s="5">
        <v>101.68632679507058</v>
      </c>
    </row>
    <row r="706" spans="1:9" x14ac:dyDescent="0.2">
      <c r="A706" s="5" t="s">
        <v>75</v>
      </c>
      <c r="B706" s="5" t="s">
        <v>63</v>
      </c>
      <c r="C706" s="5" t="s">
        <v>47</v>
      </c>
      <c r="D706" s="5">
        <v>6656808</v>
      </c>
      <c r="E706" s="5">
        <v>275811</v>
      </c>
      <c r="F706" s="5">
        <v>681896480</v>
      </c>
      <c r="G706" s="5">
        <v>4.1432921003580097</v>
      </c>
      <c r="H706" s="5">
        <v>2472.3324305412038</v>
      </c>
      <c r="I706" s="5">
        <v>102.43595428920287</v>
      </c>
    </row>
    <row r="707" spans="1:9" x14ac:dyDescent="0.2">
      <c r="A707" s="5" t="s">
        <v>75</v>
      </c>
      <c r="B707" s="5" t="s">
        <v>63</v>
      </c>
      <c r="C707" s="5" t="s">
        <v>48</v>
      </c>
      <c r="D707" s="5">
        <v>6723234</v>
      </c>
      <c r="E707" s="5">
        <v>280274</v>
      </c>
      <c r="F707" s="5">
        <v>698458799</v>
      </c>
      <c r="G707" s="5">
        <v>4.1687378425323294</v>
      </c>
      <c r="H707" s="5">
        <v>2492.0570548820083</v>
      </c>
      <c r="I707" s="5">
        <v>103.88732550436293</v>
      </c>
    </row>
    <row r="708" spans="1:9" x14ac:dyDescent="0.2">
      <c r="A708" s="5" t="s">
        <v>75</v>
      </c>
      <c r="B708" s="5" t="s">
        <v>63</v>
      </c>
      <c r="C708" s="5" t="s">
        <v>49</v>
      </c>
      <c r="D708" s="5">
        <v>6762909</v>
      </c>
      <c r="E708" s="5">
        <v>281985</v>
      </c>
      <c r="F708" s="5">
        <v>706334793</v>
      </c>
      <c r="G708" s="5">
        <v>4.1695814626516485</v>
      </c>
      <c r="H708" s="5">
        <v>2504.8665460928773</v>
      </c>
      <c r="I708" s="5">
        <v>104.44245117005123</v>
      </c>
    </row>
    <row r="709" spans="1:9" x14ac:dyDescent="0.2">
      <c r="A709" s="5" t="s">
        <v>75</v>
      </c>
      <c r="B709" s="5" t="s">
        <v>63</v>
      </c>
      <c r="C709" s="5" t="s">
        <v>50</v>
      </c>
      <c r="D709" s="5">
        <v>6791577</v>
      </c>
      <c r="E709" s="5">
        <v>281132</v>
      </c>
      <c r="F709" s="5">
        <v>708953554</v>
      </c>
      <c r="G709" s="5">
        <v>4.1394215216878205</v>
      </c>
      <c r="H709" s="5">
        <v>2521.7817751092016</v>
      </c>
      <c r="I709" s="5">
        <v>104.38717752887142</v>
      </c>
    </row>
    <row r="710" spans="1:9" x14ac:dyDescent="0.2">
      <c r="A710" s="5" t="s">
        <v>75</v>
      </c>
      <c r="B710" s="5" t="s">
        <v>63</v>
      </c>
      <c r="C710" s="5" t="s">
        <v>51</v>
      </c>
      <c r="D710" s="5">
        <v>6812099</v>
      </c>
      <c r="E710" s="5">
        <v>278723</v>
      </c>
      <c r="F710" s="5">
        <v>709638091</v>
      </c>
      <c r="G710" s="5">
        <v>4.0915876295984539</v>
      </c>
      <c r="H710" s="5">
        <v>2546.0334848577263</v>
      </c>
      <c r="I710" s="5">
        <v>104.17319111187315</v>
      </c>
    </row>
    <row r="711" spans="1:9" x14ac:dyDescent="0.2">
      <c r="A711" s="5" t="s">
        <v>75</v>
      </c>
      <c r="B711" s="5" t="s">
        <v>63</v>
      </c>
      <c r="C711" s="5" t="s">
        <v>52</v>
      </c>
      <c r="D711" s="5">
        <v>6831366</v>
      </c>
      <c r="E711" s="5">
        <v>277371</v>
      </c>
      <c r="F711" s="5">
        <v>713274366</v>
      </c>
      <c r="G711" s="5">
        <v>4.0602567627030961</v>
      </c>
      <c r="H711" s="5">
        <v>2571.5535005461998</v>
      </c>
      <c r="I711" s="5">
        <v>104.41167491245528</v>
      </c>
    </row>
    <row r="712" spans="1:9" x14ac:dyDescent="0.2">
      <c r="A712" s="5" t="s">
        <v>75</v>
      </c>
      <c r="B712" s="5" t="s">
        <v>63</v>
      </c>
      <c r="C712" s="5" t="s">
        <v>53</v>
      </c>
      <c r="D712" s="5">
        <v>6864674</v>
      </c>
      <c r="E712" s="5">
        <v>274934</v>
      </c>
      <c r="F712" s="5">
        <v>712445748</v>
      </c>
      <c r="G712" s="5">
        <v>4.005055447643981</v>
      </c>
      <c r="H712" s="5">
        <v>2591.3337310045322</v>
      </c>
      <c r="I712" s="5">
        <v>103.78435276023305</v>
      </c>
    </row>
    <row r="713" spans="1:9" x14ac:dyDescent="0.2">
      <c r="A713" s="5" t="s">
        <v>75</v>
      </c>
      <c r="B713" s="5" t="s">
        <v>63</v>
      </c>
      <c r="C713" s="5" t="s">
        <v>54</v>
      </c>
      <c r="D713" s="5">
        <v>6904852</v>
      </c>
      <c r="E713" s="5">
        <v>278169</v>
      </c>
      <c r="F713" s="5">
        <v>718951667</v>
      </c>
      <c r="G713" s="5">
        <v>4.0286019164494764</v>
      </c>
      <c r="H713" s="5">
        <v>2584.5858704600441</v>
      </c>
      <c r="I713" s="5">
        <v>104.12267590963572</v>
      </c>
    </row>
    <row r="714" spans="1:9" x14ac:dyDescent="0.2">
      <c r="A714" s="5" t="s">
        <v>75</v>
      </c>
      <c r="B714" s="5" t="s">
        <v>63</v>
      </c>
      <c r="C714" s="5" t="s">
        <v>55</v>
      </c>
      <c r="D714" s="5">
        <v>6956211</v>
      </c>
      <c r="E714" s="5">
        <v>278564</v>
      </c>
      <c r="F714" s="5">
        <v>720861696</v>
      </c>
      <c r="G714" s="5">
        <v>4.0045363776343184</v>
      </c>
      <c r="H714" s="5">
        <v>2587.7776597119514</v>
      </c>
      <c r="I714" s="5">
        <v>103.62849775545911</v>
      </c>
    </row>
    <row r="715" spans="1:9" x14ac:dyDescent="0.2">
      <c r="A715" s="5" t="s">
        <v>75</v>
      </c>
      <c r="B715" s="5" t="s">
        <v>63</v>
      </c>
      <c r="C715" s="5" t="s">
        <v>56</v>
      </c>
      <c r="D715" s="5">
        <v>7023515</v>
      </c>
      <c r="E715" s="5">
        <v>275546</v>
      </c>
      <c r="F715" s="5">
        <v>712609402</v>
      </c>
      <c r="G715" s="5">
        <v>3.9231923047078281</v>
      </c>
      <c r="H715" s="5">
        <v>2586.1721890355875</v>
      </c>
      <c r="I715" s="5">
        <v>101.46050830673815</v>
      </c>
    </row>
    <row r="716" spans="1:9" x14ac:dyDescent="0.2">
      <c r="A716" s="5" t="s">
        <v>75</v>
      </c>
      <c r="B716" s="5" t="s">
        <v>63</v>
      </c>
      <c r="C716" s="5" t="s">
        <v>57</v>
      </c>
      <c r="D716" s="5">
        <v>7098971</v>
      </c>
      <c r="E716" s="5">
        <v>276045</v>
      </c>
      <c r="F716" s="5">
        <v>720801404</v>
      </c>
      <c r="G716" s="5">
        <v>3.8885213082290377</v>
      </c>
      <c r="H716" s="5">
        <v>2611.1735550363164</v>
      </c>
      <c r="I716" s="5">
        <v>101.53604008242885</v>
      </c>
    </row>
    <row r="717" spans="1:9" x14ac:dyDescent="0.2">
      <c r="A717" s="5" t="s">
        <v>75</v>
      </c>
      <c r="B717" s="5" t="s">
        <v>63</v>
      </c>
      <c r="C717" s="5" t="s">
        <v>58</v>
      </c>
      <c r="D717" s="5">
        <v>7171907</v>
      </c>
      <c r="E717" s="5">
        <v>277941</v>
      </c>
      <c r="F717" s="5">
        <v>734910053</v>
      </c>
      <c r="G717" s="5">
        <v>3.8754127737573842</v>
      </c>
      <c r="H717" s="5">
        <v>2644.1225044164048</v>
      </c>
      <c r="I717" s="5">
        <v>102.47066128994702</v>
      </c>
    </row>
    <row r="718" spans="1:9" x14ac:dyDescent="0.2">
      <c r="A718" s="5" t="s">
        <v>75</v>
      </c>
      <c r="B718" s="5" t="s">
        <v>63</v>
      </c>
      <c r="C718" s="5" t="s">
        <v>59</v>
      </c>
      <c r="D718" s="5">
        <v>7244174</v>
      </c>
      <c r="E718" s="5">
        <v>284003</v>
      </c>
      <c r="F718" s="5">
        <v>760220728</v>
      </c>
      <c r="G718" s="5">
        <v>3.9204331646368518</v>
      </c>
      <c r="H718" s="5">
        <v>2676.8052731837338</v>
      </c>
      <c r="I718" s="5">
        <v>104.94236168264318</v>
      </c>
    </row>
    <row r="719" spans="1:9" x14ac:dyDescent="0.2">
      <c r="A719" s="5" t="s">
        <v>75</v>
      </c>
      <c r="B719" s="5" t="s">
        <v>63</v>
      </c>
      <c r="C719" s="5" t="s">
        <v>60</v>
      </c>
      <c r="D719" s="5">
        <v>7316434</v>
      </c>
      <c r="E719" s="5">
        <v>290756</v>
      </c>
      <c r="F719" s="5">
        <v>789500387</v>
      </c>
      <c r="G719" s="5">
        <v>3.9740124765698699</v>
      </c>
      <c r="H719" s="5">
        <v>2715.3365261593913</v>
      </c>
      <c r="I719" s="5">
        <v>107.9078123304331</v>
      </c>
    </row>
    <row r="720" spans="1:9" x14ac:dyDescent="0.2">
      <c r="A720" s="5" t="s">
        <v>75</v>
      </c>
      <c r="B720" s="5" t="s">
        <v>63</v>
      </c>
      <c r="C720" s="5" t="s">
        <v>61</v>
      </c>
      <c r="D720" s="5">
        <v>7391859</v>
      </c>
      <c r="E720" s="5">
        <v>288434</v>
      </c>
      <c r="F720" s="5">
        <v>791617512</v>
      </c>
      <c r="G720" s="5">
        <v>3.9020495385531571</v>
      </c>
      <c r="H720" s="5">
        <v>2744.5360533085559</v>
      </c>
      <c r="I720" s="5">
        <v>107.09315640355153</v>
      </c>
    </row>
    <row r="721" spans="1:9" x14ac:dyDescent="0.2">
      <c r="A721" s="5" t="s">
        <v>75</v>
      </c>
      <c r="B721" s="5" t="s">
        <v>63</v>
      </c>
      <c r="C721" s="5" t="s">
        <v>62</v>
      </c>
      <c r="D721" s="5">
        <v>7471409</v>
      </c>
      <c r="E721" s="5">
        <v>287640</v>
      </c>
      <c r="F721" s="5">
        <v>805446531</v>
      </c>
      <c r="G721" s="5">
        <v>3.8498762415496195</v>
      </c>
      <c r="H721" s="5">
        <v>2800.1895807259075</v>
      </c>
      <c r="I721" s="5">
        <v>107.8038333867146</v>
      </c>
    </row>
    <row r="722" spans="1:9" x14ac:dyDescent="0.2">
      <c r="A722" s="5" t="s">
        <v>75</v>
      </c>
      <c r="B722" s="5" t="s">
        <v>73</v>
      </c>
      <c r="C722" s="5" t="s">
        <v>45</v>
      </c>
      <c r="D722" s="5">
        <v>6475545</v>
      </c>
      <c r="E722" s="5">
        <v>125063</v>
      </c>
      <c r="F722" s="5">
        <v>714933243</v>
      </c>
      <c r="G722" s="5">
        <v>1.9313123451385172</v>
      </c>
      <c r="H722" s="5">
        <v>5716.5847852682246</v>
      </c>
      <c r="I722" s="5">
        <v>110.40510767819542</v>
      </c>
    </row>
    <row r="723" spans="1:9" x14ac:dyDescent="0.2">
      <c r="A723" s="5" t="s">
        <v>75</v>
      </c>
      <c r="B723" s="5" t="s">
        <v>73</v>
      </c>
      <c r="C723" s="5" t="s">
        <v>46</v>
      </c>
      <c r="D723" s="5">
        <v>6564443</v>
      </c>
      <c r="E723" s="5">
        <v>126691</v>
      </c>
      <c r="F723" s="5">
        <v>732796849</v>
      </c>
      <c r="G723" s="5">
        <v>1.9299581091647837</v>
      </c>
      <c r="H723" s="5">
        <v>5784.1271203163606</v>
      </c>
      <c r="I723" s="5">
        <v>111.63123040294508</v>
      </c>
    </row>
    <row r="724" spans="1:9" x14ac:dyDescent="0.2">
      <c r="A724" s="5" t="s">
        <v>75</v>
      </c>
      <c r="B724" s="5" t="s">
        <v>73</v>
      </c>
      <c r="C724" s="5" t="s">
        <v>47</v>
      </c>
      <c r="D724" s="5">
        <v>6647961</v>
      </c>
      <c r="E724" s="5">
        <v>130562</v>
      </c>
      <c r="F724" s="5">
        <v>762434401</v>
      </c>
      <c r="G724" s="5">
        <v>1.963940522515099</v>
      </c>
      <c r="H724" s="5">
        <v>5839.6348171749823</v>
      </c>
      <c r="I724" s="5">
        <v>114.68695454139998</v>
      </c>
    </row>
    <row r="725" spans="1:9" x14ac:dyDescent="0.2">
      <c r="A725" s="5" t="s">
        <v>75</v>
      </c>
      <c r="B725" s="5" t="s">
        <v>73</v>
      </c>
      <c r="C725" s="5" t="s">
        <v>48</v>
      </c>
      <c r="D725" s="5">
        <v>6713709</v>
      </c>
      <c r="E725" s="5">
        <v>130862</v>
      </c>
      <c r="F725" s="5">
        <v>794678713</v>
      </c>
      <c r="G725" s="5">
        <v>1.9491759324093434</v>
      </c>
      <c r="H725" s="5">
        <v>6072.6468569943909</v>
      </c>
      <c r="I725" s="5">
        <v>118.3665709967471</v>
      </c>
    </row>
    <row r="726" spans="1:9" x14ac:dyDescent="0.2">
      <c r="A726" s="5" t="s">
        <v>75</v>
      </c>
      <c r="B726" s="5" t="s">
        <v>73</v>
      </c>
      <c r="C726" s="5" t="s">
        <v>49</v>
      </c>
      <c r="D726" s="5">
        <v>6752822</v>
      </c>
      <c r="E726" s="5">
        <v>136328</v>
      </c>
      <c r="F726" s="5">
        <v>825243514</v>
      </c>
      <c r="G726" s="5">
        <v>2.0188300535687156</v>
      </c>
      <c r="H726" s="5">
        <v>6053.3677160964735</v>
      </c>
      <c r="I726" s="5">
        <v>122.20720670558175</v>
      </c>
    </row>
    <row r="727" spans="1:9" x14ac:dyDescent="0.2">
      <c r="A727" s="5" t="s">
        <v>75</v>
      </c>
      <c r="B727" s="5" t="s">
        <v>73</v>
      </c>
      <c r="C727" s="5" t="s">
        <v>50</v>
      </c>
      <c r="D727" s="5">
        <v>6781027</v>
      </c>
      <c r="E727" s="5">
        <v>137272</v>
      </c>
      <c r="F727" s="5">
        <v>847283460</v>
      </c>
      <c r="G727" s="5">
        <v>2.0243541280693913</v>
      </c>
      <c r="H727" s="5">
        <v>6172.2963168016786</v>
      </c>
      <c r="I727" s="5">
        <v>124.94913528584976</v>
      </c>
    </row>
    <row r="728" spans="1:9" x14ac:dyDescent="0.2">
      <c r="A728" s="5" t="s">
        <v>75</v>
      </c>
      <c r="B728" s="5" t="s">
        <v>73</v>
      </c>
      <c r="C728" s="5" t="s">
        <v>51</v>
      </c>
      <c r="D728" s="5">
        <v>6801532</v>
      </c>
      <c r="E728" s="5">
        <v>136909</v>
      </c>
      <c r="F728" s="5">
        <v>848043238</v>
      </c>
      <c r="G728" s="5">
        <v>2.0129141493416483</v>
      </c>
      <c r="H728" s="5">
        <v>6194.2110306846153</v>
      </c>
      <c r="I728" s="5">
        <v>124.68415027673177</v>
      </c>
    </row>
    <row r="729" spans="1:9" x14ac:dyDescent="0.2">
      <c r="A729" s="5" t="s">
        <v>75</v>
      </c>
      <c r="B729" s="5" t="s">
        <v>73</v>
      </c>
      <c r="C729" s="5" t="s">
        <v>52</v>
      </c>
      <c r="D729" s="5">
        <v>6820903</v>
      </c>
      <c r="E729" s="5">
        <v>136216</v>
      </c>
      <c r="F729" s="5">
        <v>852779691</v>
      </c>
      <c r="G729" s="5">
        <v>1.9970376356327013</v>
      </c>
      <c r="H729" s="5">
        <v>6260.4957640805778</v>
      </c>
      <c r="I729" s="5">
        <v>125.0244565858802</v>
      </c>
    </row>
    <row r="730" spans="1:9" x14ac:dyDescent="0.2">
      <c r="A730" s="5" t="s">
        <v>75</v>
      </c>
      <c r="B730" s="5" t="s">
        <v>73</v>
      </c>
      <c r="C730" s="5" t="s">
        <v>53</v>
      </c>
      <c r="D730" s="5">
        <v>6853789</v>
      </c>
      <c r="E730" s="5">
        <v>133007</v>
      </c>
      <c r="F730" s="5">
        <v>853071962</v>
      </c>
      <c r="G730" s="5">
        <v>1.9406345891301877</v>
      </c>
      <c r="H730" s="5">
        <v>6413.7373371326321</v>
      </c>
      <c r="I730" s="5">
        <v>124.46720522035329</v>
      </c>
    </row>
    <row r="731" spans="1:9" x14ac:dyDescent="0.2">
      <c r="A731" s="5" t="s">
        <v>75</v>
      </c>
      <c r="B731" s="5" t="s">
        <v>73</v>
      </c>
      <c r="C731" s="5" t="s">
        <v>54</v>
      </c>
      <c r="D731" s="5">
        <v>6893295</v>
      </c>
      <c r="E731" s="5">
        <v>133818</v>
      </c>
      <c r="F731" s="5">
        <v>869544667</v>
      </c>
      <c r="G731" s="5">
        <v>1.9412777198712663</v>
      </c>
      <c r="H731" s="5">
        <v>6497.9649000881791</v>
      </c>
      <c r="I731" s="5">
        <v>126.14354485046701</v>
      </c>
    </row>
    <row r="732" spans="1:9" x14ac:dyDescent="0.2">
      <c r="A732" s="5" t="s">
        <v>75</v>
      </c>
      <c r="B732" s="5" t="s">
        <v>73</v>
      </c>
      <c r="C732" s="5" t="s">
        <v>55</v>
      </c>
      <c r="D732" s="5">
        <v>6943407</v>
      </c>
      <c r="E732" s="5">
        <v>133364</v>
      </c>
      <c r="F732" s="5">
        <v>886157888</v>
      </c>
      <c r="G732" s="5">
        <v>1.9207285414782684</v>
      </c>
      <c r="H732" s="5">
        <v>6644.655889145497</v>
      </c>
      <c r="I732" s="5">
        <v>127.62580214583417</v>
      </c>
    </row>
    <row r="733" spans="1:9" x14ac:dyDescent="0.2">
      <c r="A733" s="5" t="s">
        <v>75</v>
      </c>
      <c r="B733" s="5" t="s">
        <v>73</v>
      </c>
      <c r="C733" s="5" t="s">
        <v>56</v>
      </c>
      <c r="D733" s="5">
        <v>7009192</v>
      </c>
      <c r="E733" s="5">
        <v>136953</v>
      </c>
      <c r="F733" s="5">
        <v>890648854</v>
      </c>
      <c r="G733" s="5">
        <v>1.9539056712956357</v>
      </c>
      <c r="H733" s="5">
        <v>6503.3175907063005</v>
      </c>
      <c r="I733" s="5">
        <v>127.06869122717711</v>
      </c>
    </row>
    <row r="734" spans="1:9" x14ac:dyDescent="0.2">
      <c r="A734" s="5" t="s">
        <v>75</v>
      </c>
      <c r="B734" s="5" t="s">
        <v>73</v>
      </c>
      <c r="C734" s="5" t="s">
        <v>57</v>
      </c>
      <c r="D734" s="5">
        <v>7083430</v>
      </c>
      <c r="E734" s="5">
        <v>135659</v>
      </c>
      <c r="F734" s="5">
        <v>888730599</v>
      </c>
      <c r="G734" s="5">
        <v>1.9151597460552303</v>
      </c>
      <c r="H734" s="5">
        <v>6551.2100118679928</v>
      </c>
      <c r="I734" s="5">
        <v>125.46613702683587</v>
      </c>
    </row>
    <row r="735" spans="1:9" x14ac:dyDescent="0.2">
      <c r="A735" s="5" t="s">
        <v>75</v>
      </c>
      <c r="B735" s="5" t="s">
        <v>73</v>
      </c>
      <c r="C735" s="5" t="s">
        <v>58</v>
      </c>
      <c r="D735" s="5">
        <v>7155200</v>
      </c>
      <c r="E735" s="5">
        <v>133030</v>
      </c>
      <c r="F735" s="5">
        <v>902036007</v>
      </c>
      <c r="G735" s="5">
        <v>1.8592072898032201</v>
      </c>
      <c r="H735" s="5">
        <v>6780.6961362098773</v>
      </c>
      <c r="I735" s="5">
        <v>126.06719686381932</v>
      </c>
    </row>
    <row r="736" spans="1:9" x14ac:dyDescent="0.2">
      <c r="A736" s="5" t="s">
        <v>75</v>
      </c>
      <c r="B736" s="5" t="s">
        <v>73</v>
      </c>
      <c r="C736" s="5" t="s">
        <v>59</v>
      </c>
      <c r="D736" s="5">
        <v>7226173</v>
      </c>
      <c r="E736" s="5">
        <v>131880</v>
      </c>
      <c r="F736" s="5">
        <v>924389779</v>
      </c>
      <c r="G736" s="5">
        <v>1.8250324203419985</v>
      </c>
      <c r="H736" s="5">
        <v>7009.3249848346986</v>
      </c>
      <c r="I736" s="5">
        <v>127.9224534203651</v>
      </c>
    </row>
    <row r="737" spans="1:9" x14ac:dyDescent="0.2">
      <c r="A737" s="5" t="s">
        <v>75</v>
      </c>
      <c r="B737" s="5" t="s">
        <v>73</v>
      </c>
      <c r="C737" s="5" t="s">
        <v>60</v>
      </c>
      <c r="D737" s="5">
        <v>7296852</v>
      </c>
      <c r="E737" s="5">
        <v>134934</v>
      </c>
      <c r="F737" s="5">
        <v>937218220</v>
      </c>
      <c r="G737" s="5">
        <v>1.8492083983613756</v>
      </c>
      <c r="H737" s="5">
        <v>6945.7528865964105</v>
      </c>
      <c r="I737" s="5">
        <v>128.44144570836849</v>
      </c>
    </row>
    <row r="738" spans="1:9" x14ac:dyDescent="0.2">
      <c r="A738" s="5" t="s">
        <v>75</v>
      </c>
      <c r="B738" s="5" t="s">
        <v>73</v>
      </c>
      <c r="C738" s="5" t="s">
        <v>61</v>
      </c>
      <c r="D738" s="5">
        <v>7370234</v>
      </c>
      <c r="E738" s="5">
        <v>139064</v>
      </c>
      <c r="F738" s="5">
        <v>936897776</v>
      </c>
      <c r="G738" s="5">
        <v>1.8868329010992053</v>
      </c>
      <c r="H738" s="5">
        <v>6737.1697635621013</v>
      </c>
      <c r="I738" s="5">
        <v>127.11913570179726</v>
      </c>
    </row>
    <row r="739" spans="1:9" x14ac:dyDescent="0.2">
      <c r="A739" s="5" t="s">
        <v>75</v>
      </c>
      <c r="B739" s="5" t="s">
        <v>73</v>
      </c>
      <c r="C739" s="5" t="s">
        <v>62</v>
      </c>
      <c r="D739" s="5">
        <v>7447362</v>
      </c>
      <c r="E739" s="5">
        <v>143063</v>
      </c>
      <c r="F739" s="5">
        <v>917500533</v>
      </c>
      <c r="G739" s="5">
        <v>1.9209889354109548</v>
      </c>
      <c r="H739" s="5">
        <v>6413.2622201407776</v>
      </c>
      <c r="I739" s="5">
        <v>123.19805764779528</v>
      </c>
    </row>
    <row r="740" spans="1:9" x14ac:dyDescent="0.2">
      <c r="A740" s="5" t="s">
        <v>75</v>
      </c>
      <c r="B740" s="5" t="s">
        <v>64</v>
      </c>
      <c r="C740" s="5" t="s">
        <v>45</v>
      </c>
      <c r="D740" s="5">
        <v>5843577</v>
      </c>
      <c r="E740" s="5">
        <v>292644</v>
      </c>
      <c r="F740" s="5">
        <v>308796617</v>
      </c>
      <c r="G740" s="5">
        <v>5.0079600217469542</v>
      </c>
      <c r="H740" s="5">
        <v>1055.1954490780606</v>
      </c>
      <c r="I740" s="5">
        <v>52.843766241122516</v>
      </c>
    </row>
    <row r="741" spans="1:9" x14ac:dyDescent="0.2">
      <c r="A741" s="5" t="s">
        <v>75</v>
      </c>
      <c r="B741" s="5" t="s">
        <v>64</v>
      </c>
      <c r="C741" s="5" t="s">
        <v>46</v>
      </c>
      <c r="D741" s="5">
        <v>5923022</v>
      </c>
      <c r="E741" s="5">
        <v>292485</v>
      </c>
      <c r="F741" s="5">
        <v>314839170</v>
      </c>
      <c r="G741" s="5">
        <v>4.9381042312522219</v>
      </c>
      <c r="H741" s="5">
        <v>1076.4284322272938</v>
      </c>
      <c r="I741" s="5">
        <v>53.155157958217949</v>
      </c>
    </row>
    <row r="742" spans="1:9" x14ac:dyDescent="0.2">
      <c r="A742" s="5" t="s">
        <v>75</v>
      </c>
      <c r="B742" s="5" t="s">
        <v>64</v>
      </c>
      <c r="C742" s="5" t="s">
        <v>47</v>
      </c>
      <c r="D742" s="5">
        <v>5994349</v>
      </c>
      <c r="E742" s="5">
        <v>291702</v>
      </c>
      <c r="F742" s="5">
        <v>317358515</v>
      </c>
      <c r="G742" s="5">
        <v>4.866283227753339</v>
      </c>
      <c r="H742" s="5">
        <v>1087.9545392215343</v>
      </c>
      <c r="I742" s="5">
        <v>52.942949267718646</v>
      </c>
    </row>
    <row r="743" spans="1:9" x14ac:dyDescent="0.2">
      <c r="A743" s="5" t="s">
        <v>75</v>
      </c>
      <c r="B743" s="5" t="s">
        <v>64</v>
      </c>
      <c r="C743" s="5" t="s">
        <v>48</v>
      </c>
      <c r="D743" s="5">
        <v>6048152</v>
      </c>
      <c r="E743" s="5">
        <v>292113</v>
      </c>
      <c r="F743" s="5">
        <v>314015178</v>
      </c>
      <c r="G743" s="5">
        <v>4.8297893306914244</v>
      </c>
      <c r="H743" s="5">
        <v>1074.9784432736647</v>
      </c>
      <c r="I743" s="5">
        <v>51.919194160464222</v>
      </c>
    </row>
    <row r="744" spans="1:9" x14ac:dyDescent="0.2">
      <c r="A744" s="5" t="s">
        <v>75</v>
      </c>
      <c r="B744" s="5" t="s">
        <v>64</v>
      </c>
      <c r="C744" s="5" t="s">
        <v>49</v>
      </c>
      <c r="D744" s="5">
        <v>6080578</v>
      </c>
      <c r="E744" s="5">
        <v>287544</v>
      </c>
      <c r="F744" s="5">
        <v>303440491</v>
      </c>
      <c r="G744" s="5">
        <v>4.7288925493596166</v>
      </c>
      <c r="H744" s="5">
        <v>1055.2836818017417</v>
      </c>
      <c r="I744" s="5">
        <v>49.903231403330409</v>
      </c>
    </row>
    <row r="745" spans="1:9" x14ac:dyDescent="0.2">
      <c r="A745" s="5" t="s">
        <v>75</v>
      </c>
      <c r="B745" s="5" t="s">
        <v>64</v>
      </c>
      <c r="C745" s="5" t="s">
        <v>50</v>
      </c>
      <c r="D745" s="5">
        <v>6097701</v>
      </c>
      <c r="E745" s="5">
        <v>287613</v>
      </c>
      <c r="F745" s="5">
        <v>301546614</v>
      </c>
      <c r="G745" s="5">
        <v>4.7167448846704687</v>
      </c>
      <c r="H745" s="5">
        <v>1048.4457030801807</v>
      </c>
      <c r="I745" s="5">
        <v>49.452509068581747</v>
      </c>
    </row>
    <row r="746" spans="1:9" x14ac:dyDescent="0.2">
      <c r="A746" s="5" t="s">
        <v>75</v>
      </c>
      <c r="B746" s="5" t="s">
        <v>64</v>
      </c>
      <c r="C746" s="5" t="s">
        <v>51</v>
      </c>
      <c r="D746" s="5">
        <v>6108095</v>
      </c>
      <c r="E746" s="5">
        <v>289838</v>
      </c>
      <c r="F746" s="5">
        <v>308239829</v>
      </c>
      <c r="G746" s="5">
        <v>4.7451455813964909</v>
      </c>
      <c r="H746" s="5">
        <v>1063.4900496139223</v>
      </c>
      <c r="I746" s="5">
        <v>50.464151097846383</v>
      </c>
    </row>
    <row r="747" spans="1:9" x14ac:dyDescent="0.2">
      <c r="A747" s="5" t="s">
        <v>75</v>
      </c>
      <c r="B747" s="5" t="s">
        <v>64</v>
      </c>
      <c r="C747" s="5" t="s">
        <v>52</v>
      </c>
      <c r="D747" s="5">
        <v>6118091</v>
      </c>
      <c r="E747" s="5">
        <v>288466</v>
      </c>
      <c r="F747" s="5">
        <v>308891034</v>
      </c>
      <c r="G747" s="5">
        <v>4.7149674628899767</v>
      </c>
      <c r="H747" s="5">
        <v>1070.8056894053373</v>
      </c>
      <c r="I747" s="5">
        <v>50.488139846236351</v>
      </c>
    </row>
    <row r="748" spans="1:9" x14ac:dyDescent="0.2">
      <c r="A748" s="5" t="s">
        <v>75</v>
      </c>
      <c r="B748" s="5" t="s">
        <v>64</v>
      </c>
      <c r="C748" s="5" t="s">
        <v>53</v>
      </c>
      <c r="D748" s="5">
        <v>6140946</v>
      </c>
      <c r="E748" s="5">
        <v>285471</v>
      </c>
      <c r="F748" s="5">
        <v>305441799</v>
      </c>
      <c r="G748" s="5">
        <v>4.6486485958352342</v>
      </c>
      <c r="H748" s="5">
        <v>1069.9573651964647</v>
      </c>
      <c r="I748" s="5">
        <v>49.738558033241134</v>
      </c>
    </row>
    <row r="749" spans="1:9" x14ac:dyDescent="0.2">
      <c r="A749" s="5" t="s">
        <v>75</v>
      </c>
      <c r="B749" s="5" t="s">
        <v>64</v>
      </c>
      <c r="C749" s="5" t="s">
        <v>54</v>
      </c>
      <c r="D749" s="5">
        <v>6170208</v>
      </c>
      <c r="E749" s="5">
        <v>283026</v>
      </c>
      <c r="F749" s="5">
        <v>298210188</v>
      </c>
      <c r="G749" s="5">
        <v>4.5869766464923059</v>
      </c>
      <c r="H749" s="5">
        <v>1053.6494456339701</v>
      </c>
      <c r="I749" s="5">
        <v>48.330654007125851</v>
      </c>
    </row>
    <row r="750" spans="1:9" x14ac:dyDescent="0.2">
      <c r="A750" s="5" t="s">
        <v>75</v>
      </c>
      <c r="B750" s="5" t="s">
        <v>64</v>
      </c>
      <c r="C750" s="5" t="s">
        <v>55</v>
      </c>
      <c r="D750" s="5">
        <v>6209113</v>
      </c>
      <c r="E750" s="5">
        <v>278044</v>
      </c>
      <c r="F750" s="5">
        <v>281218894</v>
      </c>
      <c r="G750" s="5">
        <v>4.4779987093164513</v>
      </c>
      <c r="H750" s="5">
        <v>1011.4186747421271</v>
      </c>
      <c r="I750" s="5">
        <v>45.291315200738012</v>
      </c>
    </row>
    <row r="751" spans="1:9" x14ac:dyDescent="0.2">
      <c r="A751" s="5" t="s">
        <v>75</v>
      </c>
      <c r="B751" s="5" t="s">
        <v>64</v>
      </c>
      <c r="C751" s="5" t="s">
        <v>56</v>
      </c>
      <c r="D751" s="5">
        <v>6261664</v>
      </c>
      <c r="E751" s="5">
        <v>334636</v>
      </c>
      <c r="F751" s="5">
        <v>427851251</v>
      </c>
      <c r="G751" s="5">
        <v>5.3442024356464994</v>
      </c>
      <c r="H751" s="5">
        <v>1278.5571516513464</v>
      </c>
      <c r="I751" s="5">
        <v>68.32868243968376</v>
      </c>
    </row>
    <row r="752" spans="1:9" x14ac:dyDescent="0.2">
      <c r="A752" s="5" t="s">
        <v>75</v>
      </c>
      <c r="B752" s="5" t="s">
        <v>64</v>
      </c>
      <c r="C752" s="5" t="s">
        <v>57</v>
      </c>
      <c r="D752" s="5">
        <v>6321971</v>
      </c>
      <c r="E752" s="5">
        <v>386421</v>
      </c>
      <c r="F752" s="5">
        <v>555124504</v>
      </c>
      <c r="G752" s="5">
        <v>6.1123500882873394</v>
      </c>
      <c r="H752" s="5">
        <v>1436.5795440723978</v>
      </c>
      <c r="I752" s="5">
        <v>87.808771030427067</v>
      </c>
    </row>
    <row r="753" spans="1:9" x14ac:dyDescent="0.2">
      <c r="A753" s="5" t="s">
        <v>75</v>
      </c>
      <c r="B753" s="5" t="s">
        <v>64</v>
      </c>
      <c r="C753" s="5" t="s">
        <v>58</v>
      </c>
      <c r="D753" s="5">
        <v>6383430</v>
      </c>
      <c r="E753" s="5">
        <v>391558</v>
      </c>
      <c r="F753" s="5">
        <v>564770033</v>
      </c>
      <c r="G753" s="5">
        <v>6.1339749946345457</v>
      </c>
      <c r="H753" s="5">
        <v>1442.3662216070161</v>
      </c>
      <c r="I753" s="5">
        <v>88.474383364429471</v>
      </c>
    </row>
    <row r="754" spans="1:9" x14ac:dyDescent="0.2">
      <c r="A754" s="5" t="s">
        <v>75</v>
      </c>
      <c r="B754" s="5" t="s">
        <v>64</v>
      </c>
      <c r="C754" s="5" t="s">
        <v>59</v>
      </c>
      <c r="D754" s="5">
        <v>6447146</v>
      </c>
      <c r="E754" s="5">
        <v>406545</v>
      </c>
      <c r="F754" s="5">
        <v>593711340</v>
      </c>
      <c r="G754" s="5">
        <v>6.305813456062574</v>
      </c>
      <c r="H754" s="5">
        <v>1460.38283584843</v>
      </c>
      <c r="I754" s="5">
        <v>92.089017372958509</v>
      </c>
    </row>
    <row r="755" spans="1:9" x14ac:dyDescent="0.2">
      <c r="A755" s="5" t="s">
        <v>75</v>
      </c>
      <c r="B755" s="5" t="s">
        <v>64</v>
      </c>
      <c r="C755" s="5" t="s">
        <v>60</v>
      </c>
      <c r="D755" s="5">
        <v>6512839</v>
      </c>
      <c r="E755" s="5">
        <v>363526</v>
      </c>
      <c r="F755" s="5">
        <v>486582525</v>
      </c>
      <c r="G755" s="5">
        <v>5.5816825811293658</v>
      </c>
      <c r="H755" s="5">
        <v>1338.5081809829283</v>
      </c>
      <c r="I755" s="5">
        <v>74.71127798491564</v>
      </c>
    </row>
    <row r="756" spans="1:9" x14ac:dyDescent="0.2">
      <c r="A756" s="5" t="s">
        <v>75</v>
      </c>
      <c r="B756" s="5" t="s">
        <v>64</v>
      </c>
      <c r="C756" s="5" t="s">
        <v>61</v>
      </c>
      <c r="D756" s="5">
        <v>6580457</v>
      </c>
      <c r="E756" s="5">
        <v>455797</v>
      </c>
      <c r="F756" s="5">
        <v>758849738</v>
      </c>
      <c r="G756" s="5">
        <v>6.9265250118646771</v>
      </c>
      <c r="H756" s="5">
        <v>1664.8853283369569</v>
      </c>
      <c r="I756" s="5">
        <v>115.31869868612469</v>
      </c>
    </row>
    <row r="757" spans="1:9" x14ac:dyDescent="0.2">
      <c r="A757" s="5" t="s">
        <v>75</v>
      </c>
      <c r="B757" s="5" t="s">
        <v>64</v>
      </c>
      <c r="C757" s="5" t="s">
        <v>62</v>
      </c>
      <c r="D757" s="5">
        <v>6651356</v>
      </c>
      <c r="E757" s="5">
        <v>476258</v>
      </c>
      <c r="F757" s="5">
        <v>790756825</v>
      </c>
      <c r="G757" s="5">
        <v>7.1603143780005158</v>
      </c>
      <c r="H757" s="5">
        <v>1660.3538943177857</v>
      </c>
      <c r="I757" s="5">
        <v>118.88655862052791</v>
      </c>
    </row>
    <row r="758" spans="1:9" x14ac:dyDescent="0.2">
      <c r="A758" s="5" t="s">
        <v>75</v>
      </c>
      <c r="B758" s="5" t="s">
        <v>65</v>
      </c>
      <c r="C758" s="5" t="s">
        <v>45</v>
      </c>
      <c r="D758" s="5">
        <v>5654947</v>
      </c>
      <c r="E758" s="5">
        <v>361720</v>
      </c>
      <c r="F758" s="5">
        <v>906193265</v>
      </c>
      <c r="G758" s="5">
        <v>6.3965232565398047</v>
      </c>
      <c r="H758" s="5">
        <v>2505.2340622581</v>
      </c>
      <c r="I758" s="5">
        <v>160.24787942309626</v>
      </c>
    </row>
    <row r="759" spans="1:9" x14ac:dyDescent="0.2">
      <c r="A759" s="5" t="s">
        <v>75</v>
      </c>
      <c r="B759" s="5" t="s">
        <v>65</v>
      </c>
      <c r="C759" s="5" t="s">
        <v>46</v>
      </c>
      <c r="D759" s="5">
        <v>5732422</v>
      </c>
      <c r="E759" s="5">
        <v>363193</v>
      </c>
      <c r="F759" s="5">
        <v>918425098</v>
      </c>
      <c r="G759" s="5">
        <v>6.3357687204466107</v>
      </c>
      <c r="H759" s="5">
        <v>2528.7522006206068</v>
      </c>
      <c r="I759" s="5">
        <v>160.21589094452571</v>
      </c>
    </row>
    <row r="760" spans="1:9" x14ac:dyDescent="0.2">
      <c r="A760" s="5" t="s">
        <v>75</v>
      </c>
      <c r="B760" s="5" t="s">
        <v>65</v>
      </c>
      <c r="C760" s="5" t="s">
        <v>47</v>
      </c>
      <c r="D760" s="5">
        <v>5800966</v>
      </c>
      <c r="E760" s="5">
        <v>366861</v>
      </c>
      <c r="F760" s="5">
        <v>941127499</v>
      </c>
      <c r="G760" s="5">
        <v>6.3241363593580795</v>
      </c>
      <c r="H760" s="5">
        <v>2565.3517244951086</v>
      </c>
      <c r="I760" s="5">
        <v>162.23634115421467</v>
      </c>
    </row>
    <row r="761" spans="1:9" x14ac:dyDescent="0.2">
      <c r="A761" s="5" t="s">
        <v>75</v>
      </c>
      <c r="B761" s="5" t="s">
        <v>65</v>
      </c>
      <c r="C761" s="5" t="s">
        <v>48</v>
      </c>
      <c r="D761" s="5">
        <v>5852803</v>
      </c>
      <c r="E761" s="5">
        <v>370568</v>
      </c>
      <c r="F761" s="5">
        <v>959117534</v>
      </c>
      <c r="G761" s="5">
        <v>6.3314620362243526</v>
      </c>
      <c r="H761" s="5">
        <v>2588.2362589322338</v>
      </c>
      <c r="I761" s="5">
        <v>163.87319614208781</v>
      </c>
    </row>
    <row r="762" spans="1:9" x14ac:dyDescent="0.2">
      <c r="A762" s="5" t="s">
        <v>75</v>
      </c>
      <c r="B762" s="5" t="s">
        <v>65</v>
      </c>
      <c r="C762" s="5" t="s">
        <v>49</v>
      </c>
      <c r="D762" s="5">
        <v>5883401</v>
      </c>
      <c r="E762" s="5">
        <v>368612</v>
      </c>
      <c r="F762" s="5">
        <v>964625220</v>
      </c>
      <c r="G762" s="5">
        <v>6.2652877136880525</v>
      </c>
      <c r="H762" s="5">
        <v>2616.9121461048476</v>
      </c>
      <c r="I762" s="5">
        <v>163.95707516791734</v>
      </c>
    </row>
    <row r="763" spans="1:9" x14ac:dyDescent="0.2">
      <c r="A763" s="5" t="s">
        <v>75</v>
      </c>
      <c r="B763" s="5" t="s">
        <v>65</v>
      </c>
      <c r="C763" s="5" t="s">
        <v>50</v>
      </c>
      <c r="D763" s="5">
        <v>5898221</v>
      </c>
      <c r="E763" s="5">
        <v>363623</v>
      </c>
      <c r="F763" s="5">
        <v>966864514</v>
      </c>
      <c r="G763" s="5">
        <v>6.1649605872686015</v>
      </c>
      <c r="H763" s="5">
        <v>2658.9751308360583</v>
      </c>
      <c r="I763" s="5">
        <v>163.92476884131673</v>
      </c>
    </row>
    <row r="764" spans="1:9" x14ac:dyDescent="0.2">
      <c r="A764" s="5" t="s">
        <v>75</v>
      </c>
      <c r="B764" s="5" t="s">
        <v>65</v>
      </c>
      <c r="C764" s="5" t="s">
        <v>51</v>
      </c>
      <c r="D764" s="5">
        <v>5906102</v>
      </c>
      <c r="E764" s="5">
        <v>357542</v>
      </c>
      <c r="F764" s="5">
        <v>965633158</v>
      </c>
      <c r="G764" s="5">
        <v>6.0537728606786674</v>
      </c>
      <c r="H764" s="5">
        <v>2700.7544791940527</v>
      </c>
      <c r="I764" s="5">
        <v>163.49754169501307</v>
      </c>
    </row>
    <row r="765" spans="1:9" x14ac:dyDescent="0.2">
      <c r="A765" s="5" t="s">
        <v>75</v>
      </c>
      <c r="B765" s="5" t="s">
        <v>65</v>
      </c>
      <c r="C765" s="5" t="s">
        <v>52</v>
      </c>
      <c r="D765" s="5">
        <v>5913285</v>
      </c>
      <c r="E765" s="5">
        <v>351706</v>
      </c>
      <c r="F765" s="5">
        <v>962488166</v>
      </c>
      <c r="G765" s="5">
        <v>5.9477261792726042</v>
      </c>
      <c r="H765" s="5">
        <v>2736.6270862595461</v>
      </c>
      <c r="I765" s="5">
        <v>162.76708563852409</v>
      </c>
    </row>
    <row r="766" spans="1:9" x14ac:dyDescent="0.2">
      <c r="A766" s="5" t="s">
        <v>75</v>
      </c>
      <c r="B766" s="5" t="s">
        <v>65</v>
      </c>
      <c r="C766" s="5" t="s">
        <v>53</v>
      </c>
      <c r="D766" s="5">
        <v>5933510</v>
      </c>
      <c r="E766" s="5">
        <v>346864</v>
      </c>
      <c r="F766" s="5">
        <v>946922202</v>
      </c>
      <c r="G766" s="5">
        <v>5.8458484101316088</v>
      </c>
      <c r="H766" s="5">
        <v>2729.9523790303979</v>
      </c>
      <c r="I766" s="5">
        <v>159.58887774689856</v>
      </c>
    </row>
    <row r="767" spans="1:9" x14ac:dyDescent="0.2">
      <c r="A767" s="5" t="s">
        <v>75</v>
      </c>
      <c r="B767" s="5" t="s">
        <v>65</v>
      </c>
      <c r="C767" s="5" t="s">
        <v>54</v>
      </c>
      <c r="D767" s="5">
        <v>5960675</v>
      </c>
      <c r="E767" s="5">
        <v>348133</v>
      </c>
      <c r="F767" s="5">
        <v>944939320</v>
      </c>
      <c r="G767" s="5">
        <v>5.8404962525217359</v>
      </c>
      <c r="H767" s="5">
        <v>2714.3055096758999</v>
      </c>
      <c r="I767" s="5">
        <v>158.52891157461193</v>
      </c>
    </row>
    <row r="768" spans="1:9" x14ac:dyDescent="0.2">
      <c r="A768" s="5" t="s">
        <v>75</v>
      </c>
      <c r="B768" s="5" t="s">
        <v>65</v>
      </c>
      <c r="C768" s="5" t="s">
        <v>55</v>
      </c>
      <c r="D768" s="5">
        <v>5997758</v>
      </c>
      <c r="E768" s="5">
        <v>347547</v>
      </c>
      <c r="F768" s="5">
        <v>937415512</v>
      </c>
      <c r="G768" s="5">
        <v>5.7946152545667902</v>
      </c>
      <c r="H768" s="5">
        <v>2697.2337899622207</v>
      </c>
      <c r="I768" s="5">
        <v>156.29432064448082</v>
      </c>
    </row>
    <row r="769" spans="1:9" x14ac:dyDescent="0.2">
      <c r="A769" s="5" t="s">
        <v>75</v>
      </c>
      <c r="B769" s="5" t="s">
        <v>65</v>
      </c>
      <c r="C769" s="5" t="s">
        <v>56</v>
      </c>
      <c r="D769" s="5">
        <v>6048303</v>
      </c>
      <c r="E769" s="5">
        <v>343625</v>
      </c>
      <c r="F769" s="5">
        <v>935718612</v>
      </c>
      <c r="G769" s="5">
        <v>5.6813456600967243</v>
      </c>
      <c r="H769" s="5">
        <v>2723.0807188068388</v>
      </c>
      <c r="I769" s="5">
        <v>154.70762823886304</v>
      </c>
    </row>
    <row r="770" spans="1:9" x14ac:dyDescent="0.2">
      <c r="A770" s="5" t="s">
        <v>75</v>
      </c>
      <c r="B770" s="5" t="s">
        <v>65</v>
      </c>
      <c r="C770" s="5" t="s">
        <v>57</v>
      </c>
      <c r="D770" s="5">
        <v>6106752</v>
      </c>
      <c r="E770" s="5">
        <v>347415</v>
      </c>
      <c r="F770" s="5">
        <v>977365915</v>
      </c>
      <c r="G770" s="5">
        <v>5.6890307646356035</v>
      </c>
      <c r="H770" s="5">
        <v>2813.2519177352733</v>
      </c>
      <c r="I770" s="5">
        <v>160.04676708666079</v>
      </c>
    </row>
    <row r="771" spans="1:9" x14ac:dyDescent="0.2">
      <c r="A771" s="5" t="s">
        <v>75</v>
      </c>
      <c r="B771" s="5" t="s">
        <v>65</v>
      </c>
      <c r="C771" s="5" t="s">
        <v>58</v>
      </c>
      <c r="D771" s="5">
        <v>6166915</v>
      </c>
      <c r="E771" s="5">
        <v>352275</v>
      </c>
      <c r="F771" s="5">
        <v>1020146511</v>
      </c>
      <c r="G771" s="5">
        <v>5.7123375301913519</v>
      </c>
      <c r="H771" s="5">
        <v>2895.8810900574836</v>
      </c>
      <c r="I771" s="5">
        <v>165.42250233706804</v>
      </c>
    </row>
    <row r="772" spans="1:9" x14ac:dyDescent="0.2">
      <c r="A772" s="5" t="s">
        <v>75</v>
      </c>
      <c r="B772" s="5" t="s">
        <v>65</v>
      </c>
      <c r="C772" s="5" t="s">
        <v>59</v>
      </c>
      <c r="D772" s="5">
        <v>6229466</v>
      </c>
      <c r="E772" s="5">
        <v>359713</v>
      </c>
      <c r="F772" s="5">
        <v>1063147906</v>
      </c>
      <c r="G772" s="5">
        <v>5.7743793769803062</v>
      </c>
      <c r="H772" s="5">
        <v>2955.5448538140126</v>
      </c>
      <c r="I772" s="5">
        <v>170.66437251603909</v>
      </c>
    </row>
    <row r="773" spans="1:9" x14ac:dyDescent="0.2">
      <c r="A773" s="5" t="s">
        <v>75</v>
      </c>
      <c r="B773" s="5" t="s">
        <v>65</v>
      </c>
      <c r="C773" s="5" t="s">
        <v>60</v>
      </c>
      <c r="D773" s="5">
        <v>6294277</v>
      </c>
      <c r="E773" s="5">
        <v>369181</v>
      </c>
      <c r="F773" s="5">
        <v>1086086793</v>
      </c>
      <c r="G773" s="5">
        <v>5.8653440260096597</v>
      </c>
      <c r="H773" s="5">
        <v>2941.8816054997415</v>
      </c>
      <c r="I773" s="5">
        <v>172.55147700045612</v>
      </c>
    </row>
    <row r="774" spans="1:9" x14ac:dyDescent="0.2">
      <c r="A774" s="5" t="s">
        <v>75</v>
      </c>
      <c r="B774" s="5" t="s">
        <v>65</v>
      </c>
      <c r="C774" s="5" t="s">
        <v>61</v>
      </c>
      <c r="D774" s="5">
        <v>6361116</v>
      </c>
      <c r="E774" s="5">
        <v>367210</v>
      </c>
      <c r="F774" s="5">
        <v>1076467169</v>
      </c>
      <c r="G774" s="5">
        <v>5.7727291877714535</v>
      </c>
      <c r="H774" s="5">
        <v>2931.4756379183573</v>
      </c>
      <c r="I774" s="5">
        <v>169.22614978252244</v>
      </c>
    </row>
    <row r="775" spans="1:9" x14ac:dyDescent="0.2">
      <c r="A775" s="5" t="s">
        <v>75</v>
      </c>
      <c r="B775" s="5" t="s">
        <v>65</v>
      </c>
      <c r="C775" s="5" t="s">
        <v>62</v>
      </c>
      <c r="D775" s="5">
        <v>6431017</v>
      </c>
      <c r="E775" s="5">
        <v>367953</v>
      </c>
      <c r="F775" s="5">
        <v>1098453017</v>
      </c>
      <c r="G775" s="5">
        <v>5.7215367336146059</v>
      </c>
      <c r="H775" s="5">
        <v>2985.3079523743522</v>
      </c>
      <c r="I775" s="5">
        <v>170.80549110661659</v>
      </c>
    </row>
    <row r="776" spans="1:9" x14ac:dyDescent="0.2">
      <c r="A776" s="5" t="s">
        <v>76</v>
      </c>
      <c r="B776" s="5" t="s">
        <v>44</v>
      </c>
      <c r="C776" s="5" t="s">
        <v>45</v>
      </c>
      <c r="D776" s="5">
        <v>3585804</v>
      </c>
      <c r="E776" s="5">
        <v>44457</v>
      </c>
      <c r="F776" s="5">
        <v>340813783</v>
      </c>
      <c r="G776" s="5">
        <v>1.2398056335482921</v>
      </c>
      <c r="H776" s="5">
        <v>7666.1444316980451</v>
      </c>
      <c r="I776" s="5">
        <v>95.045290540141067</v>
      </c>
    </row>
    <row r="777" spans="1:9" x14ac:dyDescent="0.2">
      <c r="A777" s="5" t="s">
        <v>76</v>
      </c>
      <c r="B777" s="5" t="s">
        <v>44</v>
      </c>
      <c r="C777" s="5" t="s">
        <v>46</v>
      </c>
      <c r="D777" s="5">
        <v>3617083</v>
      </c>
      <c r="E777" s="5">
        <v>44326</v>
      </c>
      <c r="F777" s="5">
        <v>346564798</v>
      </c>
      <c r="G777" s="5">
        <v>1.2254626172526315</v>
      </c>
      <c r="H777" s="5">
        <v>7818.5443757614039</v>
      </c>
      <c r="I777" s="5">
        <v>95.813338538264119</v>
      </c>
    </row>
    <row r="778" spans="1:9" x14ac:dyDescent="0.2">
      <c r="A778" s="5" t="s">
        <v>76</v>
      </c>
      <c r="B778" s="5" t="s">
        <v>44</v>
      </c>
      <c r="C778" s="5" t="s">
        <v>47</v>
      </c>
      <c r="D778" s="5">
        <v>3648707</v>
      </c>
      <c r="E778" s="5">
        <v>43912</v>
      </c>
      <c r="F778" s="5">
        <v>347570203</v>
      </c>
      <c r="G778" s="5">
        <v>1.2034948270716175</v>
      </c>
      <c r="H778" s="5">
        <v>7915.153101657861</v>
      </c>
      <c r="I778" s="5">
        <v>95.25845813325104</v>
      </c>
    </row>
    <row r="779" spans="1:9" x14ac:dyDescent="0.2">
      <c r="A779" s="5" t="s">
        <v>76</v>
      </c>
      <c r="B779" s="5" t="s">
        <v>44</v>
      </c>
      <c r="C779" s="5" t="s">
        <v>48</v>
      </c>
      <c r="D779" s="5">
        <v>3678367</v>
      </c>
      <c r="E779" s="5">
        <v>44023</v>
      </c>
      <c r="F779" s="5">
        <v>355787900</v>
      </c>
      <c r="G779" s="5">
        <v>1.1968082575773433</v>
      </c>
      <c r="H779" s="5">
        <v>8081.8640256229701</v>
      </c>
      <c r="I779" s="5">
        <v>96.724416024828415</v>
      </c>
    </row>
    <row r="780" spans="1:9" x14ac:dyDescent="0.2">
      <c r="A780" s="5" t="s">
        <v>76</v>
      </c>
      <c r="B780" s="5" t="s">
        <v>44</v>
      </c>
      <c r="C780" s="5" t="s">
        <v>49</v>
      </c>
      <c r="D780" s="5">
        <v>3701625</v>
      </c>
      <c r="E780" s="5">
        <v>43644</v>
      </c>
      <c r="F780" s="5">
        <v>356751856</v>
      </c>
      <c r="G780" s="5">
        <v>1.179049741667511</v>
      </c>
      <c r="H780" s="5">
        <v>8174.1328934103194</v>
      </c>
      <c r="I780" s="5">
        <v>96.377092763313414</v>
      </c>
    </row>
    <row r="781" spans="1:9" x14ac:dyDescent="0.2">
      <c r="A781" s="5" t="s">
        <v>76</v>
      </c>
      <c r="B781" s="5" t="s">
        <v>44</v>
      </c>
      <c r="C781" s="5" t="s">
        <v>50</v>
      </c>
      <c r="D781" s="5">
        <v>3723188</v>
      </c>
      <c r="E781" s="5">
        <v>43899</v>
      </c>
      <c r="F781" s="5">
        <v>366491425</v>
      </c>
      <c r="G781" s="5">
        <v>1.1790701946826214</v>
      </c>
      <c r="H781" s="5">
        <v>8348.5142030570169</v>
      </c>
      <c r="I781" s="5">
        <v>98.434842667090678</v>
      </c>
    </row>
    <row r="782" spans="1:9" x14ac:dyDescent="0.2">
      <c r="A782" s="5" t="s">
        <v>76</v>
      </c>
      <c r="B782" s="5" t="s">
        <v>44</v>
      </c>
      <c r="C782" s="5" t="s">
        <v>51</v>
      </c>
      <c r="D782" s="5">
        <v>3747176</v>
      </c>
      <c r="E782" s="5">
        <v>44137</v>
      </c>
      <c r="F782" s="5">
        <v>372914757</v>
      </c>
      <c r="G782" s="5">
        <v>1.1778736840756878</v>
      </c>
      <c r="H782" s="5">
        <v>8449.0281849695275</v>
      </c>
      <c r="I782" s="5">
        <v>99.5188795508938</v>
      </c>
    </row>
    <row r="783" spans="1:9" x14ac:dyDescent="0.2">
      <c r="A783" s="5" t="s">
        <v>76</v>
      </c>
      <c r="B783" s="5" t="s">
        <v>44</v>
      </c>
      <c r="C783" s="5" t="s">
        <v>52</v>
      </c>
      <c r="D783" s="5">
        <v>3771125</v>
      </c>
      <c r="E783" s="5">
        <v>44320</v>
      </c>
      <c r="F783" s="5">
        <v>372566207</v>
      </c>
      <c r="G783" s="5">
        <v>1.1752461135602772</v>
      </c>
      <c r="H783" s="5">
        <v>8406.2772337545121</v>
      </c>
      <c r="I783" s="5">
        <v>98.794446484802279</v>
      </c>
    </row>
    <row r="784" spans="1:9" x14ac:dyDescent="0.2">
      <c r="A784" s="5" t="s">
        <v>76</v>
      </c>
      <c r="B784" s="5" t="s">
        <v>44</v>
      </c>
      <c r="C784" s="5" t="s">
        <v>53</v>
      </c>
      <c r="D784" s="5">
        <v>3798047</v>
      </c>
      <c r="E784" s="5">
        <v>44575</v>
      </c>
      <c r="F784" s="5">
        <v>381266638</v>
      </c>
      <c r="G784" s="5">
        <v>1.1736294995822854</v>
      </c>
      <c r="H784" s="5">
        <v>8553.3738194054968</v>
      </c>
      <c r="I784" s="5">
        <v>100.38491835409093</v>
      </c>
    </row>
    <row r="785" spans="1:9" x14ac:dyDescent="0.2">
      <c r="A785" s="5" t="s">
        <v>76</v>
      </c>
      <c r="B785" s="5" t="s">
        <v>44</v>
      </c>
      <c r="C785" s="5" t="s">
        <v>54</v>
      </c>
      <c r="D785" s="5">
        <v>3821163</v>
      </c>
      <c r="E785" s="5">
        <v>44738</v>
      </c>
      <c r="F785" s="5">
        <v>382769310</v>
      </c>
      <c r="G785" s="5">
        <v>1.1707953834997356</v>
      </c>
      <c r="H785" s="5">
        <v>8555.7984263936705</v>
      </c>
      <c r="I785" s="5">
        <v>100.17089299776011</v>
      </c>
    </row>
    <row r="786" spans="1:9" x14ac:dyDescent="0.2">
      <c r="A786" s="5" t="s">
        <v>76</v>
      </c>
      <c r="B786" s="5" t="s">
        <v>44</v>
      </c>
      <c r="C786" s="5" t="s">
        <v>55</v>
      </c>
      <c r="D786" s="5">
        <v>3848894</v>
      </c>
      <c r="E786" s="5">
        <v>44860</v>
      </c>
      <c r="F786" s="5">
        <v>389513257</v>
      </c>
      <c r="G786" s="5">
        <v>1.1655296300703526</v>
      </c>
      <c r="H786" s="5">
        <v>8682.8635086937138</v>
      </c>
      <c r="I786" s="5">
        <v>101.20134693239149</v>
      </c>
    </row>
    <row r="787" spans="1:9" x14ac:dyDescent="0.2">
      <c r="A787" s="5" t="s">
        <v>76</v>
      </c>
      <c r="B787" s="5" t="s">
        <v>44</v>
      </c>
      <c r="C787" s="5" t="s">
        <v>56</v>
      </c>
      <c r="D787" s="5">
        <v>3878136</v>
      </c>
      <c r="E787" s="5">
        <v>45255</v>
      </c>
      <c r="F787" s="5">
        <v>395057643</v>
      </c>
      <c r="G787" s="5">
        <v>1.1669265853492503</v>
      </c>
      <c r="H787" s="5">
        <v>8729.5910507126282</v>
      </c>
      <c r="I787" s="5">
        <v>101.86791876303461</v>
      </c>
    </row>
    <row r="788" spans="1:9" x14ac:dyDescent="0.2">
      <c r="A788" s="5" t="s">
        <v>76</v>
      </c>
      <c r="B788" s="5" t="s">
        <v>44</v>
      </c>
      <c r="C788" s="5" t="s">
        <v>57</v>
      </c>
      <c r="D788" s="5">
        <v>3909093</v>
      </c>
      <c r="E788" s="5">
        <v>45880</v>
      </c>
      <c r="F788" s="5">
        <v>402003507</v>
      </c>
      <c r="G788" s="5">
        <v>1.1736737908256467</v>
      </c>
      <c r="H788" s="5">
        <v>8762.0642327811674</v>
      </c>
      <c r="I788" s="5">
        <v>102.83805143546086</v>
      </c>
    </row>
    <row r="789" spans="1:9" x14ac:dyDescent="0.2">
      <c r="A789" s="5" t="s">
        <v>76</v>
      </c>
      <c r="B789" s="5" t="s">
        <v>44</v>
      </c>
      <c r="C789" s="5" t="s">
        <v>58</v>
      </c>
      <c r="D789" s="5">
        <v>3941446</v>
      </c>
      <c r="E789" s="5">
        <v>46953</v>
      </c>
      <c r="F789" s="5">
        <v>404826020</v>
      </c>
      <c r="G789" s="5">
        <v>1.1912633079331798</v>
      </c>
      <c r="H789" s="5">
        <v>8621.9415159840701</v>
      </c>
      <c r="I789" s="5">
        <v>102.71002571137598</v>
      </c>
    </row>
    <row r="790" spans="1:9" x14ac:dyDescent="0.2">
      <c r="A790" s="5" t="s">
        <v>76</v>
      </c>
      <c r="B790" s="5" t="s">
        <v>44</v>
      </c>
      <c r="C790" s="5" t="s">
        <v>59</v>
      </c>
      <c r="D790" s="5">
        <v>3970412</v>
      </c>
      <c r="E790" s="5">
        <v>47852</v>
      </c>
      <c r="F790" s="5">
        <v>409913268</v>
      </c>
      <c r="G790" s="5">
        <v>1.2052149751713424</v>
      </c>
      <c r="H790" s="5">
        <v>8566.2724233051904</v>
      </c>
      <c r="I790" s="5">
        <v>103.24199805964722</v>
      </c>
    </row>
    <row r="791" spans="1:9" x14ac:dyDescent="0.2">
      <c r="A791" s="5" t="s">
        <v>76</v>
      </c>
      <c r="B791" s="5" t="s">
        <v>44</v>
      </c>
      <c r="C791" s="5" t="s">
        <v>60</v>
      </c>
      <c r="D791" s="5">
        <v>4001711</v>
      </c>
      <c r="E791" s="5">
        <v>48753</v>
      </c>
      <c r="F791" s="5">
        <v>428105158</v>
      </c>
      <c r="G791" s="5">
        <v>1.2183038705193854</v>
      </c>
      <c r="H791" s="5">
        <v>8781.1038910426032</v>
      </c>
      <c r="I791" s="5">
        <v>106.98052857890038</v>
      </c>
    </row>
    <row r="792" spans="1:9" x14ac:dyDescent="0.2">
      <c r="A792" s="5" t="s">
        <v>76</v>
      </c>
      <c r="B792" s="5" t="s">
        <v>44</v>
      </c>
      <c r="C792" s="5" t="s">
        <v>61</v>
      </c>
      <c r="D792" s="5">
        <v>4039197</v>
      </c>
      <c r="E792" s="5">
        <v>49320</v>
      </c>
      <c r="F792" s="5">
        <v>433160757</v>
      </c>
      <c r="G792" s="5">
        <v>1.2210347749812649</v>
      </c>
      <c r="H792" s="5">
        <v>8782.6593065693432</v>
      </c>
      <c r="I792" s="5">
        <v>107.23932430134009</v>
      </c>
    </row>
    <row r="793" spans="1:9" x14ac:dyDescent="0.2">
      <c r="A793" s="5" t="s">
        <v>76</v>
      </c>
      <c r="B793" s="5" t="s">
        <v>44</v>
      </c>
      <c r="C793" s="5" t="s">
        <v>62</v>
      </c>
      <c r="D793" s="5">
        <v>4073531</v>
      </c>
      <c r="E793" s="5">
        <v>49329</v>
      </c>
      <c r="F793" s="5">
        <v>444390108</v>
      </c>
      <c r="G793" s="5">
        <v>1.2109641487937615</v>
      </c>
      <c r="H793" s="5">
        <v>9008.6988992276347</v>
      </c>
      <c r="I793" s="5">
        <v>109.09211394242489</v>
      </c>
    </row>
    <row r="794" spans="1:9" x14ac:dyDescent="0.2">
      <c r="A794" s="5" t="s">
        <v>76</v>
      </c>
      <c r="B794" s="5" t="s">
        <v>63</v>
      </c>
      <c r="C794" s="5" t="s">
        <v>45</v>
      </c>
      <c r="D794" s="5">
        <v>3585804</v>
      </c>
      <c r="E794" s="5">
        <v>163465</v>
      </c>
      <c r="F794" s="5">
        <v>390710291</v>
      </c>
      <c r="G794" s="5">
        <v>4.5586708029775194</v>
      </c>
      <c r="H794" s="5">
        <v>2390.1770470742972</v>
      </c>
      <c r="I794" s="5">
        <v>108.96030318444622</v>
      </c>
    </row>
    <row r="795" spans="1:9" x14ac:dyDescent="0.2">
      <c r="A795" s="5" t="s">
        <v>76</v>
      </c>
      <c r="B795" s="5" t="s">
        <v>63</v>
      </c>
      <c r="C795" s="5" t="s">
        <v>46</v>
      </c>
      <c r="D795" s="5">
        <v>3617083</v>
      </c>
      <c r="E795" s="5">
        <v>164959</v>
      </c>
      <c r="F795" s="5">
        <v>395062063</v>
      </c>
      <c r="G795" s="5">
        <v>4.5605533519689763</v>
      </c>
      <c r="H795" s="5">
        <v>2394.9106323389447</v>
      </c>
      <c r="I795" s="5">
        <v>109.22117711979514</v>
      </c>
    </row>
    <row r="796" spans="1:9" x14ac:dyDescent="0.2">
      <c r="A796" s="5" t="s">
        <v>76</v>
      </c>
      <c r="B796" s="5" t="s">
        <v>63</v>
      </c>
      <c r="C796" s="5" t="s">
        <v>47</v>
      </c>
      <c r="D796" s="5">
        <v>3648707</v>
      </c>
      <c r="E796" s="5">
        <v>167177</v>
      </c>
      <c r="F796" s="5">
        <v>403146756</v>
      </c>
      <c r="G796" s="5">
        <v>4.5818148730495487</v>
      </c>
      <c r="H796" s="5">
        <v>2411.4965336140735</v>
      </c>
      <c r="I796" s="5">
        <v>110.49030684020394</v>
      </c>
    </row>
    <row r="797" spans="1:9" x14ac:dyDescent="0.2">
      <c r="A797" s="5" t="s">
        <v>76</v>
      </c>
      <c r="B797" s="5" t="s">
        <v>63</v>
      </c>
      <c r="C797" s="5" t="s">
        <v>48</v>
      </c>
      <c r="D797" s="5">
        <v>3678367</v>
      </c>
      <c r="E797" s="5">
        <v>167971</v>
      </c>
      <c r="F797" s="5">
        <v>409209434</v>
      </c>
      <c r="G797" s="5">
        <v>4.5664557125485308</v>
      </c>
      <c r="H797" s="5">
        <v>2436.1909734418441</v>
      </c>
      <c r="I797" s="5">
        <v>111.24758187532674</v>
      </c>
    </row>
    <row r="798" spans="1:9" x14ac:dyDescent="0.2">
      <c r="A798" s="5" t="s">
        <v>76</v>
      </c>
      <c r="B798" s="5" t="s">
        <v>63</v>
      </c>
      <c r="C798" s="5" t="s">
        <v>49</v>
      </c>
      <c r="D798" s="5">
        <v>3701625</v>
      </c>
      <c r="E798" s="5">
        <v>168106</v>
      </c>
      <c r="F798" s="5">
        <v>415668369</v>
      </c>
      <c r="G798" s="5">
        <v>4.5414108668490192</v>
      </c>
      <c r="H798" s="5">
        <v>2472.6563537291945</v>
      </c>
      <c r="I798" s="5">
        <v>112.29348434809036</v>
      </c>
    </row>
    <row r="799" spans="1:9" x14ac:dyDescent="0.2">
      <c r="A799" s="5" t="s">
        <v>76</v>
      </c>
      <c r="B799" s="5" t="s">
        <v>63</v>
      </c>
      <c r="C799" s="5" t="s">
        <v>50</v>
      </c>
      <c r="D799" s="5">
        <v>3723188</v>
      </c>
      <c r="E799" s="5">
        <v>167158</v>
      </c>
      <c r="F799" s="5">
        <v>418653405</v>
      </c>
      <c r="G799" s="5">
        <v>4.4896470444146255</v>
      </c>
      <c r="H799" s="5">
        <v>2504.5370547625598</v>
      </c>
      <c r="I799" s="5">
        <v>112.44487385541638</v>
      </c>
    </row>
    <row r="800" spans="1:9" x14ac:dyDescent="0.2">
      <c r="A800" s="5" t="s">
        <v>76</v>
      </c>
      <c r="B800" s="5" t="s">
        <v>63</v>
      </c>
      <c r="C800" s="5" t="s">
        <v>51</v>
      </c>
      <c r="D800" s="5">
        <v>3747176</v>
      </c>
      <c r="E800" s="5">
        <v>167270</v>
      </c>
      <c r="F800" s="5">
        <v>421921271</v>
      </c>
      <c r="G800" s="5">
        <v>4.4638949438190254</v>
      </c>
      <c r="H800" s="5">
        <v>2522.3965504872363</v>
      </c>
      <c r="I800" s="5">
        <v>112.59713208026524</v>
      </c>
    </row>
    <row r="801" spans="1:9" x14ac:dyDescent="0.2">
      <c r="A801" s="5" t="s">
        <v>76</v>
      </c>
      <c r="B801" s="5" t="s">
        <v>63</v>
      </c>
      <c r="C801" s="5" t="s">
        <v>52</v>
      </c>
      <c r="D801" s="5">
        <v>3771125</v>
      </c>
      <c r="E801" s="5">
        <v>169309</v>
      </c>
      <c r="F801" s="5">
        <v>427859713</v>
      </c>
      <c r="G801" s="5">
        <v>4.4896151678875666</v>
      </c>
      <c r="H801" s="5">
        <v>2527.0937339420821</v>
      </c>
      <c r="I801" s="5">
        <v>113.4567835858</v>
      </c>
    </row>
    <row r="802" spans="1:9" x14ac:dyDescent="0.2">
      <c r="A802" s="5" t="s">
        <v>76</v>
      </c>
      <c r="B802" s="5" t="s">
        <v>63</v>
      </c>
      <c r="C802" s="5" t="s">
        <v>53</v>
      </c>
      <c r="D802" s="5">
        <v>3798047</v>
      </c>
      <c r="E802" s="5">
        <v>171386</v>
      </c>
      <c r="F802" s="5">
        <v>430429364</v>
      </c>
      <c r="G802" s="5">
        <v>4.5124770704522614</v>
      </c>
      <c r="H802" s="5">
        <v>2511.4616363063492</v>
      </c>
      <c r="I802" s="5">
        <v>113.32913047152918</v>
      </c>
    </row>
    <row r="803" spans="1:9" x14ac:dyDescent="0.2">
      <c r="A803" s="5" t="s">
        <v>76</v>
      </c>
      <c r="B803" s="5" t="s">
        <v>63</v>
      </c>
      <c r="C803" s="5" t="s">
        <v>54</v>
      </c>
      <c r="D803" s="5">
        <v>3821163</v>
      </c>
      <c r="E803" s="5">
        <v>174775</v>
      </c>
      <c r="F803" s="5">
        <v>432827946</v>
      </c>
      <c r="G803" s="5">
        <v>4.5738692644098142</v>
      </c>
      <c r="H803" s="5">
        <v>2476.4866027749963</v>
      </c>
      <c r="I803" s="5">
        <v>113.27125956155233</v>
      </c>
    </row>
    <row r="804" spans="1:9" x14ac:dyDescent="0.2">
      <c r="A804" s="5" t="s">
        <v>76</v>
      </c>
      <c r="B804" s="5" t="s">
        <v>63</v>
      </c>
      <c r="C804" s="5" t="s">
        <v>55</v>
      </c>
      <c r="D804" s="5">
        <v>3848894</v>
      </c>
      <c r="E804" s="5">
        <v>176365</v>
      </c>
      <c r="F804" s="5">
        <v>433485351</v>
      </c>
      <c r="G804" s="5">
        <v>4.5822254393080195</v>
      </c>
      <c r="H804" s="5">
        <v>2457.8876250956823</v>
      </c>
      <c r="I804" s="5">
        <v>112.62595202673808</v>
      </c>
    </row>
    <row r="805" spans="1:9" x14ac:dyDescent="0.2">
      <c r="A805" s="5" t="s">
        <v>76</v>
      </c>
      <c r="B805" s="5" t="s">
        <v>63</v>
      </c>
      <c r="C805" s="5" t="s">
        <v>56</v>
      </c>
      <c r="D805" s="5">
        <v>3878136</v>
      </c>
      <c r="E805" s="5">
        <v>177250</v>
      </c>
      <c r="F805" s="5">
        <v>432277156</v>
      </c>
      <c r="G805" s="5">
        <v>4.5704946912640505</v>
      </c>
      <c r="H805" s="5">
        <v>2438.7991875881521</v>
      </c>
      <c r="I805" s="5">
        <v>111.4651873993073</v>
      </c>
    </row>
    <row r="806" spans="1:9" x14ac:dyDescent="0.2">
      <c r="A806" s="5" t="s">
        <v>76</v>
      </c>
      <c r="B806" s="5" t="s">
        <v>63</v>
      </c>
      <c r="C806" s="5" t="s">
        <v>57</v>
      </c>
      <c r="D806" s="5">
        <v>3909093</v>
      </c>
      <c r="E806" s="5">
        <v>177625</v>
      </c>
      <c r="F806" s="5">
        <v>434050470</v>
      </c>
      <c r="G806" s="5">
        <v>4.5438929183828574</v>
      </c>
      <c r="H806" s="5">
        <v>2443.6338916256159</v>
      </c>
      <c r="I806" s="5">
        <v>111.03610735277979</v>
      </c>
    </row>
    <row r="807" spans="1:9" x14ac:dyDescent="0.2">
      <c r="A807" s="5" t="s">
        <v>76</v>
      </c>
      <c r="B807" s="5" t="s">
        <v>63</v>
      </c>
      <c r="C807" s="5" t="s">
        <v>58</v>
      </c>
      <c r="D807" s="5">
        <v>3941446</v>
      </c>
      <c r="E807" s="5">
        <v>177893</v>
      </c>
      <c r="F807" s="5">
        <v>440751861</v>
      </c>
      <c r="G807" s="5">
        <v>4.5133943227942233</v>
      </c>
      <c r="H807" s="5">
        <v>2477.6234084533962</v>
      </c>
      <c r="I807" s="5">
        <v>111.82491425735631</v>
      </c>
    </row>
    <row r="808" spans="1:9" x14ac:dyDescent="0.2">
      <c r="A808" s="5" t="s">
        <v>76</v>
      </c>
      <c r="B808" s="5" t="s">
        <v>63</v>
      </c>
      <c r="C808" s="5" t="s">
        <v>59</v>
      </c>
      <c r="D808" s="5">
        <v>3970412</v>
      </c>
      <c r="E808" s="5">
        <v>179582</v>
      </c>
      <c r="F808" s="5">
        <v>451018033</v>
      </c>
      <c r="G808" s="5">
        <v>4.5230066804150297</v>
      </c>
      <c r="H808" s="5">
        <v>2511.4879720684703</v>
      </c>
      <c r="I808" s="5">
        <v>113.59476875447686</v>
      </c>
    </row>
    <row r="809" spans="1:9" x14ac:dyDescent="0.2">
      <c r="A809" s="5" t="s">
        <v>76</v>
      </c>
      <c r="B809" s="5" t="s">
        <v>63</v>
      </c>
      <c r="C809" s="5" t="s">
        <v>60</v>
      </c>
      <c r="D809" s="5">
        <v>4001711</v>
      </c>
      <c r="E809" s="5">
        <v>181549</v>
      </c>
      <c r="F809" s="5">
        <v>461572701</v>
      </c>
      <c r="G809" s="5">
        <v>4.5367843904769733</v>
      </c>
      <c r="H809" s="5">
        <v>2542.4138992778808</v>
      </c>
      <c r="I809" s="5">
        <v>115.34383692375586</v>
      </c>
    </row>
    <row r="810" spans="1:9" x14ac:dyDescent="0.2">
      <c r="A810" s="5" t="s">
        <v>76</v>
      </c>
      <c r="B810" s="5" t="s">
        <v>63</v>
      </c>
      <c r="C810" s="5" t="s">
        <v>61</v>
      </c>
      <c r="D810" s="5">
        <v>4039197</v>
      </c>
      <c r="E810" s="5">
        <v>180591</v>
      </c>
      <c r="F810" s="5">
        <v>464561768</v>
      </c>
      <c r="G810" s="5">
        <v>4.4709629166391238</v>
      </c>
      <c r="H810" s="5">
        <v>2572.4524920953977</v>
      </c>
      <c r="I810" s="5">
        <v>115.01339696974424</v>
      </c>
    </row>
    <row r="811" spans="1:9" x14ac:dyDescent="0.2">
      <c r="A811" s="5" t="s">
        <v>76</v>
      </c>
      <c r="B811" s="5" t="s">
        <v>63</v>
      </c>
      <c r="C811" s="5" t="s">
        <v>62</v>
      </c>
      <c r="D811" s="5">
        <v>4073531</v>
      </c>
      <c r="E811" s="5">
        <v>181868</v>
      </c>
      <c r="F811" s="5">
        <v>472361654</v>
      </c>
      <c r="G811" s="5">
        <v>4.4646278621667541</v>
      </c>
      <c r="H811" s="5">
        <v>2597.2774429806232</v>
      </c>
      <c r="I811" s="5">
        <v>115.95877237708514</v>
      </c>
    </row>
    <row r="812" spans="1:9" x14ac:dyDescent="0.2">
      <c r="A812" s="5" t="s">
        <v>76</v>
      </c>
      <c r="B812" s="5" t="s">
        <v>64</v>
      </c>
      <c r="C812" s="5" t="s">
        <v>45</v>
      </c>
      <c r="D812" s="5">
        <v>2869521</v>
      </c>
      <c r="E812" s="5">
        <v>163647</v>
      </c>
      <c r="F812" s="5">
        <v>176414626</v>
      </c>
      <c r="G812" s="5">
        <v>5.7029378770881971</v>
      </c>
      <c r="H812" s="5">
        <v>1078.0193098559705</v>
      </c>
      <c r="I812" s="5">
        <v>61.478771544100915</v>
      </c>
    </row>
    <row r="813" spans="1:9" x14ac:dyDescent="0.2">
      <c r="A813" s="5" t="s">
        <v>76</v>
      </c>
      <c r="B813" s="5" t="s">
        <v>64</v>
      </c>
      <c r="C813" s="5" t="s">
        <v>46</v>
      </c>
      <c r="D813" s="5">
        <v>2892055</v>
      </c>
      <c r="E813" s="5">
        <v>162048</v>
      </c>
      <c r="F813" s="5">
        <v>175514477</v>
      </c>
      <c r="G813" s="5">
        <v>5.6032129402794899</v>
      </c>
      <c r="H813" s="5">
        <v>1083.1017784853871</v>
      </c>
      <c r="I813" s="5">
        <v>60.688499008490503</v>
      </c>
    </row>
    <row r="814" spans="1:9" x14ac:dyDescent="0.2">
      <c r="A814" s="5" t="s">
        <v>76</v>
      </c>
      <c r="B814" s="5" t="s">
        <v>64</v>
      </c>
      <c r="C814" s="5" t="s">
        <v>47</v>
      </c>
      <c r="D814" s="5">
        <v>2914603</v>
      </c>
      <c r="E814" s="5">
        <v>166203</v>
      </c>
      <c r="F814" s="5">
        <v>185230119</v>
      </c>
      <c r="G814" s="5">
        <v>5.7024232802889454</v>
      </c>
      <c r="H814" s="5">
        <v>1114.4812007003484</v>
      </c>
      <c r="I814" s="5">
        <v>63.552435443180428</v>
      </c>
    </row>
    <row r="815" spans="1:9" x14ac:dyDescent="0.2">
      <c r="A815" s="5" t="s">
        <v>76</v>
      </c>
      <c r="B815" s="5" t="s">
        <v>64</v>
      </c>
      <c r="C815" s="5" t="s">
        <v>48</v>
      </c>
      <c r="D815" s="5">
        <v>2935412</v>
      </c>
      <c r="E815" s="5">
        <v>168686</v>
      </c>
      <c r="F815" s="5">
        <v>190338782</v>
      </c>
      <c r="G815" s="5">
        <v>5.7465868505000319</v>
      </c>
      <c r="H815" s="5">
        <v>1128.3614644961644</v>
      </c>
      <c r="I815" s="5">
        <v>64.84227154484617</v>
      </c>
    </row>
    <row r="816" spans="1:9" x14ac:dyDescent="0.2">
      <c r="A816" s="5" t="s">
        <v>76</v>
      </c>
      <c r="B816" s="5" t="s">
        <v>64</v>
      </c>
      <c r="C816" s="5" t="s">
        <v>49</v>
      </c>
      <c r="D816" s="5">
        <v>2950796</v>
      </c>
      <c r="E816" s="5">
        <v>167530</v>
      </c>
      <c r="F816" s="5">
        <v>203607407</v>
      </c>
      <c r="G816" s="5">
        <v>5.6774511013299458</v>
      </c>
      <c r="H816" s="5">
        <v>1215.3489345191906</v>
      </c>
      <c r="I816" s="5">
        <v>69.000841467861548</v>
      </c>
    </row>
    <row r="817" spans="1:9" x14ac:dyDescent="0.2">
      <c r="A817" s="5" t="s">
        <v>76</v>
      </c>
      <c r="B817" s="5" t="s">
        <v>64</v>
      </c>
      <c r="C817" s="5" t="s">
        <v>50</v>
      </c>
      <c r="D817" s="5">
        <v>2962407</v>
      </c>
      <c r="E817" s="5">
        <v>167052</v>
      </c>
      <c r="F817" s="5">
        <v>215123322</v>
      </c>
      <c r="G817" s="5">
        <v>5.6390630997023701</v>
      </c>
      <c r="H817" s="5">
        <v>1287.7626248114359</v>
      </c>
      <c r="I817" s="5">
        <v>72.617746987500368</v>
      </c>
    </row>
    <row r="818" spans="1:9" x14ac:dyDescent="0.2">
      <c r="A818" s="5" t="s">
        <v>76</v>
      </c>
      <c r="B818" s="5" t="s">
        <v>64</v>
      </c>
      <c r="C818" s="5" t="s">
        <v>51</v>
      </c>
      <c r="D818" s="5">
        <v>2973664</v>
      </c>
      <c r="E818" s="5">
        <v>165693</v>
      </c>
      <c r="F818" s="5">
        <v>224770842</v>
      </c>
      <c r="G818" s="5">
        <v>5.5720148611275517</v>
      </c>
      <c r="H818" s="5">
        <v>1356.5500172004852</v>
      </c>
      <c r="I818" s="5">
        <v>75.587168557039391</v>
      </c>
    </row>
    <row r="819" spans="1:9" x14ac:dyDescent="0.2">
      <c r="A819" s="5" t="s">
        <v>76</v>
      </c>
      <c r="B819" s="5" t="s">
        <v>64</v>
      </c>
      <c r="C819" s="5" t="s">
        <v>52</v>
      </c>
      <c r="D819" s="5">
        <v>2983731</v>
      </c>
      <c r="E819" s="5">
        <v>164651</v>
      </c>
      <c r="F819" s="5">
        <v>226712439</v>
      </c>
      <c r="G819" s="5">
        <v>5.5182923661683976</v>
      </c>
      <c r="H819" s="5">
        <v>1376.9271914534379</v>
      </c>
      <c r="I819" s="5">
        <v>75.982868093671982</v>
      </c>
    </row>
    <row r="820" spans="1:9" x14ac:dyDescent="0.2">
      <c r="A820" s="5" t="s">
        <v>76</v>
      </c>
      <c r="B820" s="5" t="s">
        <v>64</v>
      </c>
      <c r="C820" s="5" t="s">
        <v>53</v>
      </c>
      <c r="D820" s="5">
        <v>2995001</v>
      </c>
      <c r="E820" s="5">
        <v>164940</v>
      </c>
      <c r="F820" s="5">
        <v>213929621</v>
      </c>
      <c r="G820" s="5">
        <v>5.5071767922615047</v>
      </c>
      <c r="H820" s="5">
        <v>1297.0147993209653</v>
      </c>
      <c r="I820" s="5">
        <v>71.428898020401334</v>
      </c>
    </row>
    <row r="821" spans="1:9" x14ac:dyDescent="0.2">
      <c r="A821" s="5" t="s">
        <v>76</v>
      </c>
      <c r="B821" s="5" t="s">
        <v>64</v>
      </c>
      <c r="C821" s="5" t="s">
        <v>54</v>
      </c>
      <c r="D821" s="5">
        <v>3004132</v>
      </c>
      <c r="E821" s="5">
        <v>165722</v>
      </c>
      <c r="F821" s="5">
        <v>204592251</v>
      </c>
      <c r="G821" s="5">
        <v>5.5164686505120279</v>
      </c>
      <c r="H821" s="5">
        <v>1234.5509407320694</v>
      </c>
      <c r="I821" s="5">
        <v>68.103615620085932</v>
      </c>
    </row>
    <row r="822" spans="1:9" x14ac:dyDescent="0.2">
      <c r="A822" s="5" t="s">
        <v>76</v>
      </c>
      <c r="B822" s="5" t="s">
        <v>64</v>
      </c>
      <c r="C822" s="5" t="s">
        <v>55</v>
      </c>
      <c r="D822" s="5">
        <v>3014716</v>
      </c>
      <c r="E822" s="5">
        <v>159882</v>
      </c>
      <c r="F822" s="5">
        <v>181873950</v>
      </c>
      <c r="G822" s="5">
        <v>5.3033851281513744</v>
      </c>
      <c r="H822" s="5">
        <v>1137.5511314594514</v>
      </c>
      <c r="I822" s="5">
        <v>60.328717530938235</v>
      </c>
    </row>
    <row r="823" spans="1:9" x14ac:dyDescent="0.2">
      <c r="A823" s="5" t="s">
        <v>76</v>
      </c>
      <c r="B823" s="5" t="s">
        <v>64</v>
      </c>
      <c r="C823" s="5" t="s">
        <v>56</v>
      </c>
      <c r="D823" s="5">
        <v>3025920</v>
      </c>
      <c r="E823" s="5">
        <v>157416</v>
      </c>
      <c r="F823" s="5">
        <v>179634543</v>
      </c>
      <c r="G823" s="5">
        <v>5.2022525380710656</v>
      </c>
      <c r="H823" s="5">
        <v>1141.1453918280226</v>
      </c>
      <c r="I823" s="5">
        <v>59.365265109454313</v>
      </c>
    </row>
    <row r="824" spans="1:9" x14ac:dyDescent="0.2">
      <c r="A824" s="5" t="s">
        <v>76</v>
      </c>
      <c r="B824" s="5" t="s">
        <v>64</v>
      </c>
      <c r="C824" s="5" t="s">
        <v>57</v>
      </c>
      <c r="D824" s="5">
        <v>3038967</v>
      </c>
      <c r="E824" s="5">
        <v>156768</v>
      </c>
      <c r="F824" s="5">
        <v>182394168</v>
      </c>
      <c r="G824" s="5">
        <v>5.1585950094226094</v>
      </c>
      <c r="H824" s="5">
        <v>1163.4655541947336</v>
      </c>
      <c r="I824" s="5">
        <v>60.01847601504064</v>
      </c>
    </row>
    <row r="825" spans="1:9" x14ac:dyDescent="0.2">
      <c r="A825" s="5" t="s">
        <v>76</v>
      </c>
      <c r="B825" s="5" t="s">
        <v>64</v>
      </c>
      <c r="C825" s="5" t="s">
        <v>58</v>
      </c>
      <c r="D825" s="5">
        <v>3054009</v>
      </c>
      <c r="E825" s="5">
        <v>168461</v>
      </c>
      <c r="F825" s="5">
        <v>213926249</v>
      </c>
      <c r="G825" s="5">
        <v>5.5160610201214206</v>
      </c>
      <c r="H825" s="5">
        <v>1269.8859023750304</v>
      </c>
      <c r="I825" s="5">
        <v>70.047681260926211</v>
      </c>
    </row>
    <row r="826" spans="1:9" x14ac:dyDescent="0.2">
      <c r="A826" s="5" t="s">
        <v>76</v>
      </c>
      <c r="B826" s="5" t="s">
        <v>64</v>
      </c>
      <c r="C826" s="5" t="s">
        <v>59</v>
      </c>
      <c r="D826" s="5">
        <v>3069943</v>
      </c>
      <c r="E826" s="5">
        <v>175101</v>
      </c>
      <c r="F826" s="5">
        <v>236487918</v>
      </c>
      <c r="G826" s="5">
        <v>5.7037215348949477</v>
      </c>
      <c r="H826" s="5">
        <v>1350.5800537975226</v>
      </c>
      <c r="I826" s="5">
        <v>77.033325374445056</v>
      </c>
    </row>
    <row r="827" spans="1:9" x14ac:dyDescent="0.2">
      <c r="A827" s="5" t="s">
        <v>76</v>
      </c>
      <c r="B827" s="5" t="s">
        <v>64</v>
      </c>
      <c r="C827" s="5" t="s">
        <v>60</v>
      </c>
      <c r="D827" s="5">
        <v>3089577</v>
      </c>
      <c r="E827" s="5">
        <v>175953</v>
      </c>
      <c r="F827" s="5">
        <v>242839185</v>
      </c>
      <c r="G827" s="5">
        <v>5.6950514585006298</v>
      </c>
      <c r="H827" s="5">
        <v>1380.1366558114951</v>
      </c>
      <c r="I827" s="5">
        <v>78.59949274609437</v>
      </c>
    </row>
    <row r="828" spans="1:9" x14ac:dyDescent="0.2">
      <c r="A828" s="5" t="s">
        <v>76</v>
      </c>
      <c r="B828" s="5" t="s">
        <v>64</v>
      </c>
      <c r="C828" s="5" t="s">
        <v>61</v>
      </c>
      <c r="D828" s="5">
        <v>3113936</v>
      </c>
      <c r="E828" s="5">
        <v>175349</v>
      </c>
      <c r="F828" s="5">
        <v>245228795</v>
      </c>
      <c r="G828" s="5">
        <v>5.6311048139717705</v>
      </c>
      <c r="H828" s="5">
        <v>1398.5183548238085</v>
      </c>
      <c r="I828" s="5">
        <v>78.752034402762291</v>
      </c>
    </row>
    <row r="829" spans="1:9" x14ac:dyDescent="0.2">
      <c r="A829" s="5" t="s">
        <v>76</v>
      </c>
      <c r="B829" s="5" t="s">
        <v>64</v>
      </c>
      <c r="C829" s="5" t="s">
        <v>62</v>
      </c>
      <c r="D829" s="5">
        <v>3135878</v>
      </c>
      <c r="E829" s="5">
        <v>167472</v>
      </c>
      <c r="F829" s="5">
        <v>225480912</v>
      </c>
      <c r="G829" s="5">
        <v>5.3405138847876099</v>
      </c>
      <c r="H829" s="5">
        <v>1346.3797649756377</v>
      </c>
      <c r="I829" s="5">
        <v>71.903598290494713</v>
      </c>
    </row>
    <row r="830" spans="1:9" x14ac:dyDescent="0.2">
      <c r="A830" s="5" t="s">
        <v>76</v>
      </c>
      <c r="B830" s="5" t="s">
        <v>65</v>
      </c>
      <c r="C830" s="5" t="s">
        <v>45</v>
      </c>
      <c r="D830" s="5">
        <v>2745407</v>
      </c>
      <c r="E830" s="5">
        <v>177406</v>
      </c>
      <c r="F830" s="5">
        <v>482058305</v>
      </c>
      <c r="G830" s="5">
        <v>6.4619198537776006</v>
      </c>
      <c r="H830" s="5">
        <v>2717.2604365128577</v>
      </c>
      <c r="I830" s="5">
        <v>175.58719162586823</v>
      </c>
    </row>
    <row r="831" spans="1:9" x14ac:dyDescent="0.2">
      <c r="A831" s="5" t="s">
        <v>76</v>
      </c>
      <c r="B831" s="5" t="s">
        <v>65</v>
      </c>
      <c r="C831" s="5" t="s">
        <v>46</v>
      </c>
      <c r="D831" s="5">
        <v>2768064</v>
      </c>
      <c r="E831" s="5">
        <v>177432</v>
      </c>
      <c r="F831" s="5">
        <v>485211284</v>
      </c>
      <c r="G831" s="5">
        <v>6.4099673995976971</v>
      </c>
      <c r="H831" s="5">
        <v>2734.6323323864917</v>
      </c>
      <c r="I831" s="5">
        <v>175.28904100483226</v>
      </c>
    </row>
    <row r="832" spans="1:9" x14ac:dyDescent="0.2">
      <c r="A832" s="5" t="s">
        <v>76</v>
      </c>
      <c r="B832" s="5" t="s">
        <v>65</v>
      </c>
      <c r="C832" s="5" t="s">
        <v>47</v>
      </c>
      <c r="D832" s="5">
        <v>2790428</v>
      </c>
      <c r="E832" s="5">
        <v>180069</v>
      </c>
      <c r="F832" s="5">
        <v>494415737</v>
      </c>
      <c r="G832" s="5">
        <v>6.453096084184935</v>
      </c>
      <c r="H832" s="5">
        <v>2745.7015755071666</v>
      </c>
      <c r="I832" s="5">
        <v>177.18276085245705</v>
      </c>
    </row>
    <row r="833" spans="1:9" x14ac:dyDescent="0.2">
      <c r="A833" s="5" t="s">
        <v>76</v>
      </c>
      <c r="B833" s="5" t="s">
        <v>65</v>
      </c>
      <c r="C833" s="5" t="s">
        <v>48</v>
      </c>
      <c r="D833" s="5">
        <v>2811103</v>
      </c>
      <c r="E833" s="5">
        <v>181460</v>
      </c>
      <c r="F833" s="5">
        <v>502770712</v>
      </c>
      <c r="G833" s="5">
        <v>6.4551174396669211</v>
      </c>
      <c r="H833" s="5">
        <v>2770.6971894632425</v>
      </c>
      <c r="I833" s="5">
        <v>178.851757477403</v>
      </c>
    </row>
    <row r="834" spans="1:9" x14ac:dyDescent="0.2">
      <c r="A834" s="5" t="s">
        <v>76</v>
      </c>
      <c r="B834" s="5" t="s">
        <v>65</v>
      </c>
      <c r="C834" s="5" t="s">
        <v>49</v>
      </c>
      <c r="D834" s="5">
        <v>2826468</v>
      </c>
      <c r="E834" s="5">
        <v>182916</v>
      </c>
      <c r="F834" s="5">
        <v>535541257</v>
      </c>
      <c r="G834" s="5">
        <v>6.4715397450103804</v>
      </c>
      <c r="H834" s="5">
        <v>2927.7988639594132</v>
      </c>
      <c r="I834" s="5">
        <v>189.47366713509581</v>
      </c>
    </row>
    <row r="835" spans="1:9" x14ac:dyDescent="0.2">
      <c r="A835" s="5" t="s">
        <v>76</v>
      </c>
      <c r="B835" s="5" t="s">
        <v>65</v>
      </c>
      <c r="C835" s="5" t="s">
        <v>50</v>
      </c>
      <c r="D835" s="5">
        <v>2837740</v>
      </c>
      <c r="E835" s="5">
        <v>181516</v>
      </c>
      <c r="F835" s="5">
        <v>550637789</v>
      </c>
      <c r="G835" s="5">
        <v>6.3964986221429729</v>
      </c>
      <c r="H835" s="5">
        <v>3033.5495989334272</v>
      </c>
      <c r="I835" s="5">
        <v>194.04095829780036</v>
      </c>
    </row>
    <row r="836" spans="1:9" x14ac:dyDescent="0.2">
      <c r="A836" s="5" t="s">
        <v>76</v>
      </c>
      <c r="B836" s="5" t="s">
        <v>65</v>
      </c>
      <c r="C836" s="5" t="s">
        <v>51</v>
      </c>
      <c r="D836" s="5">
        <v>2848439</v>
      </c>
      <c r="E836" s="5">
        <v>180533</v>
      </c>
      <c r="F836" s="5">
        <v>557701290</v>
      </c>
      <c r="G836" s="5">
        <v>6.3379626525265245</v>
      </c>
      <c r="H836" s="5">
        <v>3089.1930561171644</v>
      </c>
      <c r="I836" s="5">
        <v>195.79190216114861</v>
      </c>
    </row>
    <row r="837" spans="1:9" x14ac:dyDescent="0.2">
      <c r="A837" s="5" t="s">
        <v>76</v>
      </c>
      <c r="B837" s="5" t="s">
        <v>65</v>
      </c>
      <c r="C837" s="5" t="s">
        <v>52</v>
      </c>
      <c r="D837" s="5">
        <v>2857883</v>
      </c>
      <c r="E837" s="5">
        <v>181119</v>
      </c>
      <c r="F837" s="5">
        <v>562167665</v>
      </c>
      <c r="G837" s="5">
        <v>6.3375232645983059</v>
      </c>
      <c r="H837" s="5">
        <v>3103.8580436066895</v>
      </c>
      <c r="I837" s="5">
        <v>196.70772561367977</v>
      </c>
    </row>
    <row r="838" spans="1:9" x14ac:dyDescent="0.2">
      <c r="A838" s="5" t="s">
        <v>76</v>
      </c>
      <c r="B838" s="5" t="s">
        <v>65</v>
      </c>
      <c r="C838" s="5" t="s">
        <v>53</v>
      </c>
      <c r="D838" s="5">
        <v>2868414</v>
      </c>
      <c r="E838" s="5">
        <v>182045</v>
      </c>
      <c r="F838" s="5">
        <v>532121833</v>
      </c>
      <c r="G838" s="5">
        <v>6.3465385401131078</v>
      </c>
      <c r="H838" s="5">
        <v>2923.02360954709</v>
      </c>
      <c r="I838" s="5">
        <v>185.51081991651137</v>
      </c>
    </row>
    <row r="839" spans="1:9" x14ac:dyDescent="0.2">
      <c r="A839" s="5" t="s">
        <v>76</v>
      </c>
      <c r="B839" s="5" t="s">
        <v>65</v>
      </c>
      <c r="C839" s="5" t="s">
        <v>54</v>
      </c>
      <c r="D839" s="5">
        <v>2877138</v>
      </c>
      <c r="E839" s="5">
        <v>183941</v>
      </c>
      <c r="F839" s="5">
        <v>516836477</v>
      </c>
      <c r="G839" s="5">
        <v>6.3931935138321485</v>
      </c>
      <c r="H839" s="5">
        <v>2809.7948635703838</v>
      </c>
      <c r="I839" s="5">
        <v>179.63562296977065</v>
      </c>
    </row>
    <row r="840" spans="1:9" x14ac:dyDescent="0.2">
      <c r="A840" s="5" t="s">
        <v>76</v>
      </c>
      <c r="B840" s="5" t="s">
        <v>65</v>
      </c>
      <c r="C840" s="5" t="s">
        <v>55</v>
      </c>
      <c r="D840" s="5">
        <v>2887313</v>
      </c>
      <c r="E840" s="5">
        <v>182917</v>
      </c>
      <c r="F840" s="5">
        <v>505122192</v>
      </c>
      <c r="G840" s="5">
        <v>6.3351981582876533</v>
      </c>
      <c r="H840" s="5">
        <v>2761.4830332883221</v>
      </c>
      <c r="I840" s="5">
        <v>174.94542226630782</v>
      </c>
    </row>
    <row r="841" spans="1:9" x14ac:dyDescent="0.2">
      <c r="A841" s="5" t="s">
        <v>76</v>
      </c>
      <c r="B841" s="5" t="s">
        <v>65</v>
      </c>
      <c r="C841" s="5" t="s">
        <v>56</v>
      </c>
      <c r="D841" s="5">
        <v>2898019</v>
      </c>
      <c r="E841" s="5">
        <v>181427</v>
      </c>
      <c r="F841" s="5">
        <v>502725669</v>
      </c>
      <c r="G841" s="5">
        <v>6.2603799353972489</v>
      </c>
      <c r="H841" s="5">
        <v>2770.9528846312842</v>
      </c>
      <c r="I841" s="5">
        <v>173.4721784087682</v>
      </c>
    </row>
    <row r="842" spans="1:9" x14ac:dyDescent="0.2">
      <c r="A842" s="5" t="s">
        <v>76</v>
      </c>
      <c r="B842" s="5" t="s">
        <v>65</v>
      </c>
      <c r="C842" s="5" t="s">
        <v>57</v>
      </c>
      <c r="D842" s="5">
        <v>2910397</v>
      </c>
      <c r="E842" s="5">
        <v>179712</v>
      </c>
      <c r="F842" s="5">
        <v>511053256</v>
      </c>
      <c r="G842" s="5">
        <v>6.1748276953281636</v>
      </c>
      <c r="H842" s="5">
        <v>2843.7347311253561</v>
      </c>
      <c r="I842" s="5">
        <v>175.59571975919437</v>
      </c>
    </row>
    <row r="843" spans="1:9" x14ac:dyDescent="0.2">
      <c r="A843" s="5" t="s">
        <v>76</v>
      </c>
      <c r="B843" s="5" t="s">
        <v>65</v>
      </c>
      <c r="C843" s="5" t="s">
        <v>58</v>
      </c>
      <c r="D843" s="5">
        <v>2924461</v>
      </c>
      <c r="E843" s="5">
        <v>180286</v>
      </c>
      <c r="F843" s="5">
        <v>521443809</v>
      </c>
      <c r="G843" s="5">
        <v>6.1647599335398899</v>
      </c>
      <c r="H843" s="5">
        <v>2892.3144836537504</v>
      </c>
      <c r="I843" s="5">
        <v>178.30424444025755</v>
      </c>
    </row>
    <row r="844" spans="1:9" x14ac:dyDescent="0.2">
      <c r="A844" s="5" t="s">
        <v>76</v>
      </c>
      <c r="B844" s="5" t="s">
        <v>65</v>
      </c>
      <c r="C844" s="5" t="s">
        <v>59</v>
      </c>
      <c r="D844" s="5">
        <v>2939416</v>
      </c>
      <c r="E844" s="5">
        <v>183415</v>
      </c>
      <c r="F844" s="5">
        <v>555520442</v>
      </c>
      <c r="G844" s="5">
        <v>6.2398449215762586</v>
      </c>
      <c r="H844" s="5">
        <v>3028.76232587302</v>
      </c>
      <c r="I844" s="5">
        <v>188.99007217760263</v>
      </c>
    </row>
    <row r="845" spans="1:9" x14ac:dyDescent="0.2">
      <c r="A845" s="5" t="s">
        <v>76</v>
      </c>
      <c r="B845" s="5" t="s">
        <v>65</v>
      </c>
      <c r="C845" s="5" t="s">
        <v>60</v>
      </c>
      <c r="D845" s="5">
        <v>2958041</v>
      </c>
      <c r="E845" s="5">
        <v>185635</v>
      </c>
      <c r="F845" s="5">
        <v>561030495</v>
      </c>
      <c r="G845" s="5">
        <v>6.2756060514374212</v>
      </c>
      <c r="H845" s="5">
        <v>3022.223691652975</v>
      </c>
      <c r="I845" s="5">
        <v>189.66285288134952</v>
      </c>
    </row>
    <row r="846" spans="1:9" x14ac:dyDescent="0.2">
      <c r="A846" s="5" t="s">
        <v>76</v>
      </c>
      <c r="B846" s="5" t="s">
        <v>65</v>
      </c>
      <c r="C846" s="5" t="s">
        <v>61</v>
      </c>
      <c r="D846" s="5">
        <v>2981403</v>
      </c>
      <c r="E846" s="5">
        <v>185954</v>
      </c>
      <c r="F846" s="5">
        <v>567822114</v>
      </c>
      <c r="G846" s="5">
        <v>6.2371306395009327</v>
      </c>
      <c r="H846" s="5">
        <v>3053.5622465771103</v>
      </c>
      <c r="I846" s="5">
        <v>190.45466647749399</v>
      </c>
    </row>
    <row r="847" spans="1:9" x14ac:dyDescent="0.2">
      <c r="A847" s="5" t="s">
        <v>76</v>
      </c>
      <c r="B847" s="5" t="s">
        <v>65</v>
      </c>
      <c r="C847" s="5" t="s">
        <v>62</v>
      </c>
      <c r="D847" s="5">
        <v>3002684</v>
      </c>
      <c r="E847" s="5">
        <v>186523</v>
      </c>
      <c r="F847" s="5">
        <v>577497110</v>
      </c>
      <c r="G847" s="5">
        <v>6.2118757751398412</v>
      </c>
      <c r="H847" s="5">
        <v>3096.1174225162581</v>
      </c>
      <c r="I847" s="5">
        <v>192.3269681391715</v>
      </c>
    </row>
    <row r="848" spans="1:9" x14ac:dyDescent="0.2">
      <c r="A848" s="5" t="s">
        <v>77</v>
      </c>
      <c r="B848" s="5" t="s">
        <v>44</v>
      </c>
      <c r="C848" s="5" t="s">
        <v>45</v>
      </c>
      <c r="D848" s="5">
        <v>407280</v>
      </c>
      <c r="E848" s="5">
        <v>1358</v>
      </c>
      <c r="F848" s="5">
        <v>31352870</v>
      </c>
      <c r="G848" s="5">
        <v>0.33343154586525242</v>
      </c>
      <c r="H848" s="5">
        <v>23087.533136966125</v>
      </c>
      <c r="I848" s="5">
        <v>76.981118640738558</v>
      </c>
    </row>
    <row r="849" spans="1:9" x14ac:dyDescent="0.2">
      <c r="A849" s="5" t="s">
        <v>77</v>
      </c>
      <c r="B849" s="5" t="s">
        <v>44</v>
      </c>
      <c r="C849" s="5" t="s">
        <v>46</v>
      </c>
      <c r="D849" s="5">
        <v>412646</v>
      </c>
      <c r="E849" s="5">
        <v>1325</v>
      </c>
      <c r="F849" s="5">
        <v>31648827</v>
      </c>
      <c r="G849" s="5">
        <v>0.32109847181361262</v>
      </c>
      <c r="H849" s="5">
        <v>23885.907169811322</v>
      </c>
      <c r="I849" s="5">
        <v>76.697282901082289</v>
      </c>
    </row>
    <row r="850" spans="1:9" x14ac:dyDescent="0.2">
      <c r="A850" s="5" t="s">
        <v>77</v>
      </c>
      <c r="B850" s="5" t="s">
        <v>44</v>
      </c>
      <c r="C850" s="5" t="s">
        <v>47</v>
      </c>
      <c r="D850" s="5">
        <v>418004</v>
      </c>
      <c r="E850" s="5">
        <v>1289</v>
      </c>
      <c r="F850" s="5">
        <v>31192540</v>
      </c>
      <c r="G850" s="5">
        <v>0.30837025483009733</v>
      </c>
      <c r="H850" s="5">
        <v>24199.022498060513</v>
      </c>
      <c r="I850" s="5">
        <v>74.622587343661777</v>
      </c>
    </row>
    <row r="851" spans="1:9" x14ac:dyDescent="0.2">
      <c r="A851" s="5" t="s">
        <v>77</v>
      </c>
      <c r="B851" s="5" t="s">
        <v>44</v>
      </c>
      <c r="C851" s="5" t="s">
        <v>48</v>
      </c>
      <c r="D851" s="5">
        <v>422526</v>
      </c>
      <c r="E851" s="5">
        <v>1280</v>
      </c>
      <c r="F851" s="5">
        <v>32351851</v>
      </c>
      <c r="G851" s="5">
        <v>0.30293993742396919</v>
      </c>
      <c r="H851" s="5">
        <v>25274.883593750001</v>
      </c>
      <c r="I851" s="5">
        <v>76.567716542887297</v>
      </c>
    </row>
    <row r="852" spans="1:9" x14ac:dyDescent="0.2">
      <c r="A852" s="5" t="s">
        <v>77</v>
      </c>
      <c r="B852" s="5" t="s">
        <v>44</v>
      </c>
      <c r="C852" s="5" t="s">
        <v>49</v>
      </c>
      <c r="D852" s="5">
        <v>426090</v>
      </c>
      <c r="E852" s="5">
        <v>1279</v>
      </c>
      <c r="F852" s="5">
        <v>33460064</v>
      </c>
      <c r="G852" s="5">
        <v>0.30017132530686003</v>
      </c>
      <c r="H852" s="5">
        <v>26161.11336982017</v>
      </c>
      <c r="I852" s="5">
        <v>78.528160717219365</v>
      </c>
    </row>
    <row r="853" spans="1:9" x14ac:dyDescent="0.2">
      <c r="A853" s="5" t="s">
        <v>77</v>
      </c>
      <c r="B853" s="5" t="s">
        <v>44</v>
      </c>
      <c r="C853" s="5" t="s">
        <v>50</v>
      </c>
      <c r="D853" s="5">
        <v>429341</v>
      </c>
      <c r="E853" s="5">
        <v>1289</v>
      </c>
      <c r="F853" s="5">
        <v>34434322</v>
      </c>
      <c r="G853" s="5">
        <v>0.30022755804826468</v>
      </c>
      <c r="H853" s="5">
        <v>26713.981380915437</v>
      </c>
      <c r="I853" s="5">
        <v>80.202733957390507</v>
      </c>
    </row>
    <row r="854" spans="1:9" x14ac:dyDescent="0.2">
      <c r="A854" s="5" t="s">
        <v>77</v>
      </c>
      <c r="B854" s="5" t="s">
        <v>44</v>
      </c>
      <c r="C854" s="5" t="s">
        <v>51</v>
      </c>
      <c r="D854" s="5">
        <v>432443</v>
      </c>
      <c r="E854" s="5">
        <v>1283</v>
      </c>
      <c r="F854" s="5">
        <v>33446740</v>
      </c>
      <c r="G854" s="5">
        <v>0.29668649972366301</v>
      </c>
      <c r="H854" s="5">
        <v>26069.166017147312</v>
      </c>
      <c r="I854" s="5">
        <v>77.343696163425008</v>
      </c>
    </row>
    <row r="855" spans="1:9" x14ac:dyDescent="0.2">
      <c r="A855" s="5" t="s">
        <v>77</v>
      </c>
      <c r="B855" s="5" t="s">
        <v>44</v>
      </c>
      <c r="C855" s="5" t="s">
        <v>52</v>
      </c>
      <c r="D855" s="5">
        <v>435721</v>
      </c>
      <c r="E855" s="5">
        <v>1284</v>
      </c>
      <c r="F855" s="5">
        <v>33060839</v>
      </c>
      <c r="G855" s="5">
        <v>0.29468398355828618</v>
      </c>
      <c r="H855" s="5">
        <v>25748.316978193146</v>
      </c>
      <c r="I855" s="5">
        <v>75.8761661705541</v>
      </c>
    </row>
    <row r="856" spans="1:9" x14ac:dyDescent="0.2">
      <c r="A856" s="5" t="s">
        <v>77</v>
      </c>
      <c r="B856" s="5" t="s">
        <v>44</v>
      </c>
      <c r="C856" s="5" t="s">
        <v>53</v>
      </c>
      <c r="D856" s="5">
        <v>439885</v>
      </c>
      <c r="E856" s="5">
        <v>1294</v>
      </c>
      <c r="F856" s="5">
        <v>31791111</v>
      </c>
      <c r="G856" s="5">
        <v>0.29416779385521213</v>
      </c>
      <c r="H856" s="5">
        <v>24568.091962905717</v>
      </c>
      <c r="I856" s="5">
        <v>72.271414119599442</v>
      </c>
    </row>
    <row r="857" spans="1:9" x14ac:dyDescent="0.2">
      <c r="A857" s="5" t="s">
        <v>77</v>
      </c>
      <c r="B857" s="5" t="s">
        <v>44</v>
      </c>
      <c r="C857" s="5" t="s">
        <v>54</v>
      </c>
      <c r="D857" s="5">
        <v>444557</v>
      </c>
      <c r="E857" s="5">
        <v>1280</v>
      </c>
      <c r="F857" s="5">
        <v>30136830</v>
      </c>
      <c r="G857" s="5">
        <v>0.28792708246636539</v>
      </c>
      <c r="H857" s="5">
        <v>23544.3984375</v>
      </c>
      <c r="I857" s="5">
        <v>67.790699505350275</v>
      </c>
    </row>
    <row r="858" spans="1:9" x14ac:dyDescent="0.2">
      <c r="A858" s="5" t="s">
        <v>77</v>
      </c>
      <c r="B858" s="5" t="s">
        <v>44</v>
      </c>
      <c r="C858" s="5" t="s">
        <v>55</v>
      </c>
      <c r="D858" s="5">
        <v>449085</v>
      </c>
      <c r="E858" s="5">
        <v>1287</v>
      </c>
      <c r="F858" s="5">
        <v>30974759</v>
      </c>
      <c r="G858" s="5">
        <v>0.28658271819366044</v>
      </c>
      <c r="H858" s="5">
        <v>24067.41181041181</v>
      </c>
      <c r="I858" s="5">
        <v>68.973042965140223</v>
      </c>
    </row>
    <row r="859" spans="1:9" x14ac:dyDescent="0.2">
      <c r="A859" s="5" t="s">
        <v>77</v>
      </c>
      <c r="B859" s="5" t="s">
        <v>44</v>
      </c>
      <c r="C859" s="5" t="s">
        <v>56</v>
      </c>
      <c r="D859" s="5">
        <v>454083</v>
      </c>
      <c r="E859" s="5">
        <v>1353</v>
      </c>
      <c r="F859" s="5">
        <v>32103976</v>
      </c>
      <c r="G859" s="5">
        <v>0.29796314770647658</v>
      </c>
      <c r="H859" s="5">
        <v>23727.994087213599</v>
      </c>
      <c r="I859" s="5">
        <v>70.700678069868289</v>
      </c>
    </row>
    <row r="860" spans="1:9" x14ac:dyDescent="0.2">
      <c r="A860" s="5" t="s">
        <v>77</v>
      </c>
      <c r="B860" s="5" t="s">
        <v>44</v>
      </c>
      <c r="C860" s="5" t="s">
        <v>57</v>
      </c>
      <c r="D860" s="5">
        <v>459664</v>
      </c>
      <c r="E860" s="5">
        <v>1320</v>
      </c>
      <c r="F860" s="5">
        <v>31045314</v>
      </c>
      <c r="G860" s="5">
        <v>0.2871662779769571</v>
      </c>
      <c r="H860" s="5">
        <v>23519.177272727273</v>
      </c>
      <c r="I860" s="5">
        <v>67.53914598489331</v>
      </c>
    </row>
    <row r="861" spans="1:9" x14ac:dyDescent="0.2">
      <c r="A861" s="5" t="s">
        <v>77</v>
      </c>
      <c r="B861" s="5" t="s">
        <v>44</v>
      </c>
      <c r="C861" s="5" t="s">
        <v>58</v>
      </c>
      <c r="D861" s="5">
        <v>466365</v>
      </c>
      <c r="E861" s="5">
        <v>1344</v>
      </c>
      <c r="F861" s="5">
        <v>32145918</v>
      </c>
      <c r="G861" s="5">
        <v>0.28818629185294781</v>
      </c>
      <c r="H861" s="5">
        <v>23918.09375</v>
      </c>
      <c r="I861" s="5">
        <v>68.928667460036664</v>
      </c>
    </row>
    <row r="862" spans="1:9" x14ac:dyDescent="0.2">
      <c r="A862" s="5" t="s">
        <v>77</v>
      </c>
      <c r="B862" s="5" t="s">
        <v>44</v>
      </c>
      <c r="C862" s="5" t="s">
        <v>59</v>
      </c>
      <c r="D862" s="5">
        <v>474161</v>
      </c>
      <c r="E862" s="5">
        <v>1373</v>
      </c>
      <c r="F862" s="5">
        <v>33733597</v>
      </c>
      <c r="G862" s="5">
        <v>0.2895640932088468</v>
      </c>
      <c r="H862" s="5">
        <v>24569.262199563</v>
      </c>
      <c r="I862" s="5">
        <v>71.143761296268565</v>
      </c>
    </row>
    <row r="863" spans="1:9" x14ac:dyDescent="0.2">
      <c r="A863" s="5" t="s">
        <v>77</v>
      </c>
      <c r="B863" s="5" t="s">
        <v>44</v>
      </c>
      <c r="C863" s="5" t="s">
        <v>60</v>
      </c>
      <c r="D863" s="5">
        <v>482452</v>
      </c>
      <c r="E863" s="5">
        <v>1351</v>
      </c>
      <c r="F863" s="5">
        <v>34691024</v>
      </c>
      <c r="G863" s="5">
        <v>0.2800278576936151</v>
      </c>
      <c r="H863" s="5">
        <v>25678.0340488527</v>
      </c>
      <c r="I863" s="5">
        <v>71.905648644839275</v>
      </c>
    </row>
    <row r="864" spans="1:9" x14ac:dyDescent="0.2">
      <c r="A864" s="5" t="s">
        <v>77</v>
      </c>
      <c r="B864" s="5" t="s">
        <v>44</v>
      </c>
      <c r="C864" s="5" t="s">
        <v>61</v>
      </c>
      <c r="D864" s="5">
        <v>490549</v>
      </c>
      <c r="E864" s="5">
        <v>1342</v>
      </c>
      <c r="F864" s="5">
        <v>34689988</v>
      </c>
      <c r="G864" s="5">
        <v>0.27357103979418979</v>
      </c>
      <c r="H864" s="5">
        <v>25849.469448584201</v>
      </c>
      <c r="I864" s="5">
        <v>70.716662351773223</v>
      </c>
    </row>
    <row r="865" spans="1:9" x14ac:dyDescent="0.2">
      <c r="A865" s="5" t="s">
        <v>77</v>
      </c>
      <c r="B865" s="5" t="s">
        <v>44</v>
      </c>
      <c r="C865" s="5" t="s">
        <v>62</v>
      </c>
      <c r="D865" s="5">
        <v>497793</v>
      </c>
      <c r="E865" s="5">
        <v>1364</v>
      </c>
      <c r="F865" s="5">
        <v>34756283</v>
      </c>
      <c r="G865" s="5">
        <v>0.27400947783516444</v>
      </c>
      <c r="H865" s="5">
        <v>25481.145894428151</v>
      </c>
      <c r="I865" s="5">
        <v>69.820754811739022</v>
      </c>
    </row>
    <row r="866" spans="1:9" x14ac:dyDescent="0.2">
      <c r="A866" s="5" t="s">
        <v>77</v>
      </c>
      <c r="B866" s="5" t="s">
        <v>63</v>
      </c>
      <c r="C866" s="5" t="s">
        <v>45</v>
      </c>
      <c r="D866" s="5">
        <v>407280</v>
      </c>
      <c r="E866" s="5">
        <v>14927</v>
      </c>
      <c r="F866" s="5">
        <v>30156342</v>
      </c>
      <c r="G866" s="5">
        <v>3.6650461598900019</v>
      </c>
      <c r="H866" s="5">
        <v>2020.2547062370202</v>
      </c>
      <c r="I866" s="5">
        <v>74.043267530936944</v>
      </c>
    </row>
    <row r="867" spans="1:9" x14ac:dyDescent="0.2">
      <c r="A867" s="5" t="s">
        <v>77</v>
      </c>
      <c r="B867" s="5" t="s">
        <v>63</v>
      </c>
      <c r="C867" s="5" t="s">
        <v>46</v>
      </c>
      <c r="D867" s="5">
        <v>412646</v>
      </c>
      <c r="E867" s="5">
        <v>14712</v>
      </c>
      <c r="F867" s="5">
        <v>29693710</v>
      </c>
      <c r="G867" s="5">
        <v>3.56528356024292</v>
      </c>
      <c r="H867" s="5">
        <v>2018.3326536160957</v>
      </c>
      <c r="I867" s="5">
        <v>71.959282290389339</v>
      </c>
    </row>
    <row r="868" spans="1:9" x14ac:dyDescent="0.2">
      <c r="A868" s="5" t="s">
        <v>77</v>
      </c>
      <c r="B868" s="5" t="s">
        <v>63</v>
      </c>
      <c r="C868" s="5" t="s">
        <v>47</v>
      </c>
      <c r="D868" s="5">
        <v>418004</v>
      </c>
      <c r="E868" s="5">
        <v>14785</v>
      </c>
      <c r="F868" s="5">
        <v>30118246</v>
      </c>
      <c r="G868" s="5">
        <v>3.5370474923684943</v>
      </c>
      <c r="H868" s="5">
        <v>2037.0812309773419</v>
      </c>
      <c r="I868" s="5">
        <v>72.052530597793321</v>
      </c>
    </row>
    <row r="869" spans="1:9" x14ac:dyDescent="0.2">
      <c r="A869" s="5" t="s">
        <v>77</v>
      </c>
      <c r="B869" s="5" t="s">
        <v>63</v>
      </c>
      <c r="C869" s="5" t="s">
        <v>48</v>
      </c>
      <c r="D869" s="5">
        <v>422526</v>
      </c>
      <c r="E869" s="5">
        <v>14903</v>
      </c>
      <c r="F869" s="5">
        <v>30554992</v>
      </c>
      <c r="G869" s="5">
        <v>3.5271202245542286</v>
      </c>
      <c r="H869" s="5">
        <v>2050.2578004428638</v>
      </c>
      <c r="I869" s="5">
        <v>72.315057534920925</v>
      </c>
    </row>
    <row r="870" spans="1:9" x14ac:dyDescent="0.2">
      <c r="A870" s="5" t="s">
        <v>77</v>
      </c>
      <c r="B870" s="5" t="s">
        <v>63</v>
      </c>
      <c r="C870" s="5" t="s">
        <v>49</v>
      </c>
      <c r="D870" s="5">
        <v>426090</v>
      </c>
      <c r="E870" s="5">
        <v>15345</v>
      </c>
      <c r="F870" s="5">
        <v>31828584</v>
      </c>
      <c r="G870" s="5">
        <v>3.6013518270787861</v>
      </c>
      <c r="H870" s="5">
        <v>2074.1990224828933</v>
      </c>
      <c r="I870" s="5">
        <v>74.699204393438009</v>
      </c>
    </row>
    <row r="871" spans="1:9" x14ac:dyDescent="0.2">
      <c r="A871" s="5" t="s">
        <v>77</v>
      </c>
      <c r="B871" s="5" t="s">
        <v>63</v>
      </c>
      <c r="C871" s="5" t="s">
        <v>50</v>
      </c>
      <c r="D871" s="5">
        <v>429341</v>
      </c>
      <c r="E871" s="5">
        <v>15888</v>
      </c>
      <c r="F871" s="5">
        <v>33657109</v>
      </c>
      <c r="G871" s="5">
        <v>3.700555036672482</v>
      </c>
      <c r="H871" s="5">
        <v>2118.3980991943604</v>
      </c>
      <c r="I871" s="5">
        <v>78.392487556511028</v>
      </c>
    </row>
    <row r="872" spans="1:9" x14ac:dyDescent="0.2">
      <c r="A872" s="5" t="s">
        <v>77</v>
      </c>
      <c r="B872" s="5" t="s">
        <v>63</v>
      </c>
      <c r="C872" s="5" t="s">
        <v>51</v>
      </c>
      <c r="D872" s="5">
        <v>432443</v>
      </c>
      <c r="E872" s="5">
        <v>16191</v>
      </c>
      <c r="F872" s="5">
        <v>34414171</v>
      </c>
      <c r="G872" s="5">
        <v>3.7440772541121028</v>
      </c>
      <c r="H872" s="5">
        <v>2125.5123834228893</v>
      </c>
      <c r="I872" s="5">
        <v>79.580825681072412</v>
      </c>
    </row>
    <row r="873" spans="1:9" x14ac:dyDescent="0.2">
      <c r="A873" s="5" t="s">
        <v>77</v>
      </c>
      <c r="B873" s="5" t="s">
        <v>63</v>
      </c>
      <c r="C873" s="5" t="s">
        <v>52</v>
      </c>
      <c r="D873" s="5">
        <v>435721</v>
      </c>
      <c r="E873" s="5">
        <v>16486</v>
      </c>
      <c r="F873" s="5">
        <v>35620567</v>
      </c>
      <c r="G873" s="5">
        <v>3.7836138262787427</v>
      </c>
      <c r="H873" s="5">
        <v>2160.6555259007641</v>
      </c>
      <c r="I873" s="5">
        <v>81.750861216236999</v>
      </c>
    </row>
    <row r="874" spans="1:9" x14ac:dyDescent="0.2">
      <c r="A874" s="5" t="s">
        <v>77</v>
      </c>
      <c r="B874" s="5" t="s">
        <v>63</v>
      </c>
      <c r="C874" s="5" t="s">
        <v>53</v>
      </c>
      <c r="D874" s="5">
        <v>439885</v>
      </c>
      <c r="E874" s="5">
        <v>16623</v>
      </c>
      <c r="F874" s="5">
        <v>36350389</v>
      </c>
      <c r="G874" s="5">
        <v>3.7789422235356969</v>
      </c>
      <c r="H874" s="5">
        <v>2186.7526318955665</v>
      </c>
      <c r="I874" s="5">
        <v>82.636118530979687</v>
      </c>
    </row>
    <row r="875" spans="1:9" x14ac:dyDescent="0.2">
      <c r="A875" s="5" t="s">
        <v>77</v>
      </c>
      <c r="B875" s="5" t="s">
        <v>63</v>
      </c>
      <c r="C875" s="5" t="s">
        <v>54</v>
      </c>
      <c r="D875" s="5">
        <v>444557</v>
      </c>
      <c r="E875" s="5">
        <v>16905</v>
      </c>
      <c r="F875" s="5">
        <v>37249804</v>
      </c>
      <c r="G875" s="5">
        <v>3.802661975854615</v>
      </c>
      <c r="H875" s="5">
        <v>2203.4784974859508</v>
      </c>
      <c r="I875" s="5">
        <v>83.790838970030833</v>
      </c>
    </row>
    <row r="876" spans="1:9" x14ac:dyDescent="0.2">
      <c r="A876" s="5" t="s">
        <v>77</v>
      </c>
      <c r="B876" s="5" t="s">
        <v>63</v>
      </c>
      <c r="C876" s="5" t="s">
        <v>55</v>
      </c>
      <c r="D876" s="5">
        <v>449085</v>
      </c>
      <c r="E876" s="5">
        <v>17338</v>
      </c>
      <c r="F876" s="5">
        <v>38930782</v>
      </c>
      <c r="G876" s="5">
        <v>3.8607390583074475</v>
      </c>
      <c r="H876" s="5">
        <v>2245.4021225054794</v>
      </c>
      <c r="I876" s="5">
        <v>86.689116759633478</v>
      </c>
    </row>
    <row r="877" spans="1:9" x14ac:dyDescent="0.2">
      <c r="A877" s="5" t="s">
        <v>77</v>
      </c>
      <c r="B877" s="5" t="s">
        <v>63</v>
      </c>
      <c r="C877" s="5" t="s">
        <v>56</v>
      </c>
      <c r="D877" s="5">
        <v>454083</v>
      </c>
      <c r="E877" s="5">
        <v>17515</v>
      </c>
      <c r="F877" s="5">
        <v>39802820</v>
      </c>
      <c r="G877" s="5">
        <v>3.8572243400435604</v>
      </c>
      <c r="H877" s="5">
        <v>2272.4990008564087</v>
      </c>
      <c r="I877" s="5">
        <v>87.655384588280114</v>
      </c>
    </row>
    <row r="878" spans="1:9" x14ac:dyDescent="0.2">
      <c r="A878" s="5" t="s">
        <v>77</v>
      </c>
      <c r="B878" s="5" t="s">
        <v>63</v>
      </c>
      <c r="C878" s="5" t="s">
        <v>57</v>
      </c>
      <c r="D878" s="5">
        <v>459664</v>
      </c>
      <c r="E878" s="5">
        <v>17731</v>
      </c>
      <c r="F878" s="5">
        <v>40448473</v>
      </c>
      <c r="G878" s="5">
        <v>3.8573827839465347</v>
      </c>
      <c r="H878" s="5">
        <v>2281.2290902938357</v>
      </c>
      <c r="I878" s="5">
        <v>87.995738191374571</v>
      </c>
    </row>
    <row r="879" spans="1:9" x14ac:dyDescent="0.2">
      <c r="A879" s="5" t="s">
        <v>77</v>
      </c>
      <c r="B879" s="5" t="s">
        <v>63</v>
      </c>
      <c r="C879" s="5" t="s">
        <v>58</v>
      </c>
      <c r="D879" s="5">
        <v>466365</v>
      </c>
      <c r="E879" s="5">
        <v>18029</v>
      </c>
      <c r="F879" s="5">
        <v>41504030</v>
      </c>
      <c r="G879" s="5">
        <v>3.8658561427208302</v>
      </c>
      <c r="H879" s="5">
        <v>2302.0705529979477</v>
      </c>
      <c r="I879" s="5">
        <v>88.994735882838555</v>
      </c>
    </row>
    <row r="880" spans="1:9" x14ac:dyDescent="0.2">
      <c r="A880" s="5" t="s">
        <v>77</v>
      </c>
      <c r="B880" s="5" t="s">
        <v>63</v>
      </c>
      <c r="C880" s="5" t="s">
        <v>59</v>
      </c>
      <c r="D880" s="5">
        <v>474161</v>
      </c>
      <c r="E880" s="5">
        <v>18387</v>
      </c>
      <c r="F880" s="5">
        <v>43243745</v>
      </c>
      <c r="G880" s="5">
        <v>3.8777967821056563</v>
      </c>
      <c r="H880" s="5">
        <v>2351.8651764833849</v>
      </c>
      <c r="I880" s="5">
        <v>91.200552133136213</v>
      </c>
    </row>
    <row r="881" spans="1:9" x14ac:dyDescent="0.2">
      <c r="A881" s="5" t="s">
        <v>77</v>
      </c>
      <c r="B881" s="5" t="s">
        <v>63</v>
      </c>
      <c r="C881" s="5" t="s">
        <v>60</v>
      </c>
      <c r="D881" s="5">
        <v>482452</v>
      </c>
      <c r="E881" s="5">
        <v>19020</v>
      </c>
      <c r="F881" s="5">
        <v>45067657</v>
      </c>
      <c r="G881" s="5">
        <v>3.9423611053534859</v>
      </c>
      <c r="H881" s="5">
        <v>2369.487749737119</v>
      </c>
      <c r="I881" s="5">
        <v>93.413763441751712</v>
      </c>
    </row>
    <row r="882" spans="1:9" x14ac:dyDescent="0.2">
      <c r="A882" s="5" t="s">
        <v>77</v>
      </c>
      <c r="B882" s="5" t="s">
        <v>63</v>
      </c>
      <c r="C882" s="5" t="s">
        <v>61</v>
      </c>
      <c r="D882" s="5">
        <v>490549</v>
      </c>
      <c r="E882" s="5">
        <v>19312</v>
      </c>
      <c r="F882" s="5">
        <v>46544213</v>
      </c>
      <c r="G882" s="5">
        <v>3.9368136516433627</v>
      </c>
      <c r="H882" s="5">
        <v>2410.1187344656173</v>
      </c>
      <c r="I882" s="5">
        <v>94.881883359256676</v>
      </c>
    </row>
    <row r="883" spans="1:9" x14ac:dyDescent="0.2">
      <c r="A883" s="5" t="s">
        <v>77</v>
      </c>
      <c r="B883" s="5" t="s">
        <v>63</v>
      </c>
      <c r="C883" s="5" t="s">
        <v>62</v>
      </c>
      <c r="D883" s="5">
        <v>497793</v>
      </c>
      <c r="E883" s="5">
        <v>19648</v>
      </c>
      <c r="F883" s="5">
        <v>48195589</v>
      </c>
      <c r="G883" s="5">
        <v>3.9470221557956822</v>
      </c>
      <c r="H883" s="5">
        <v>2452.9513945439739</v>
      </c>
      <c r="I883" s="5">
        <v>96.818535013549806</v>
      </c>
    </row>
    <row r="884" spans="1:9" x14ac:dyDescent="0.2">
      <c r="A884" s="5" t="s">
        <v>77</v>
      </c>
      <c r="B884" s="5" t="s">
        <v>73</v>
      </c>
      <c r="C884" s="5" t="s">
        <v>45</v>
      </c>
      <c r="D884" s="5">
        <v>407280</v>
      </c>
      <c r="E884" s="5">
        <v>6213</v>
      </c>
      <c r="F884" s="5">
        <v>23708888</v>
      </c>
      <c r="G884" s="5">
        <v>1.5254861520329994</v>
      </c>
      <c r="H884" s="5">
        <v>3816.0128762272652</v>
      </c>
      <c r="I884" s="5">
        <v>58.212747986643095</v>
      </c>
    </row>
    <row r="885" spans="1:9" x14ac:dyDescent="0.2">
      <c r="A885" s="5" t="s">
        <v>77</v>
      </c>
      <c r="B885" s="5" t="s">
        <v>73</v>
      </c>
      <c r="C885" s="5" t="s">
        <v>46</v>
      </c>
      <c r="D885" s="5">
        <v>412646</v>
      </c>
      <c r="E885" s="5">
        <v>5932</v>
      </c>
      <c r="F885" s="5">
        <v>23105632</v>
      </c>
      <c r="G885" s="5">
        <v>1.4375517998478113</v>
      </c>
      <c r="H885" s="5">
        <v>3895.0829399865138</v>
      </c>
      <c r="I885" s="5">
        <v>55.993834909341182</v>
      </c>
    </row>
    <row r="886" spans="1:9" x14ac:dyDescent="0.2">
      <c r="A886" s="5" t="s">
        <v>77</v>
      </c>
      <c r="B886" s="5" t="s">
        <v>73</v>
      </c>
      <c r="C886" s="5" t="s">
        <v>47</v>
      </c>
      <c r="D886" s="5">
        <v>418004</v>
      </c>
      <c r="E886" s="5">
        <v>5812</v>
      </c>
      <c r="F886" s="5">
        <v>22913481</v>
      </c>
      <c r="G886" s="5">
        <v>1.3904173165807026</v>
      </c>
      <c r="H886" s="5">
        <v>3942.4433929800412</v>
      </c>
      <c r="I886" s="5">
        <v>54.816415632386295</v>
      </c>
    </row>
    <row r="887" spans="1:9" x14ac:dyDescent="0.2">
      <c r="A887" s="5" t="s">
        <v>77</v>
      </c>
      <c r="B887" s="5" t="s">
        <v>73</v>
      </c>
      <c r="C887" s="5" t="s">
        <v>48</v>
      </c>
      <c r="D887" s="5">
        <v>422526</v>
      </c>
      <c r="E887" s="5">
        <v>5879</v>
      </c>
      <c r="F887" s="5">
        <v>23454995</v>
      </c>
      <c r="G887" s="5">
        <v>1.3913936657152459</v>
      </c>
      <c r="H887" s="5">
        <v>3989.6232352440893</v>
      </c>
      <c r="I887" s="5">
        <v>55.511364981089919</v>
      </c>
    </row>
    <row r="888" spans="1:9" x14ac:dyDescent="0.2">
      <c r="A888" s="5" t="s">
        <v>77</v>
      </c>
      <c r="B888" s="5" t="s">
        <v>73</v>
      </c>
      <c r="C888" s="5" t="s">
        <v>49</v>
      </c>
      <c r="D888" s="5">
        <v>426090</v>
      </c>
      <c r="E888" s="5">
        <v>6174</v>
      </c>
      <c r="F888" s="5">
        <v>24824022</v>
      </c>
      <c r="G888" s="5">
        <v>1.4489896500739281</v>
      </c>
      <c r="H888" s="5">
        <v>4020.7356656948496</v>
      </c>
      <c r="I888" s="5">
        <v>58.260043652749417</v>
      </c>
    </row>
    <row r="889" spans="1:9" x14ac:dyDescent="0.2">
      <c r="A889" s="5" t="s">
        <v>77</v>
      </c>
      <c r="B889" s="5" t="s">
        <v>73</v>
      </c>
      <c r="C889" s="5" t="s">
        <v>50</v>
      </c>
      <c r="D889" s="5">
        <v>429341</v>
      </c>
      <c r="E889" s="5">
        <v>6449</v>
      </c>
      <c r="F889" s="5">
        <v>25582579</v>
      </c>
      <c r="G889" s="5">
        <v>1.5020694506231644</v>
      </c>
      <c r="H889" s="5">
        <v>3966.9063420685379</v>
      </c>
      <c r="I889" s="5">
        <v>59.585688299044349</v>
      </c>
    </row>
    <row r="890" spans="1:9" x14ac:dyDescent="0.2">
      <c r="A890" s="5" t="s">
        <v>77</v>
      </c>
      <c r="B890" s="5" t="s">
        <v>73</v>
      </c>
      <c r="C890" s="5" t="s">
        <v>51</v>
      </c>
      <c r="D890" s="5">
        <v>432443</v>
      </c>
      <c r="E890" s="5">
        <v>6850</v>
      </c>
      <c r="F890" s="5">
        <v>25611773</v>
      </c>
      <c r="G890" s="5">
        <v>1.5840237904186216</v>
      </c>
      <c r="H890" s="5">
        <v>3738.9449635036494</v>
      </c>
      <c r="I890" s="5">
        <v>59.225777732556658</v>
      </c>
    </row>
    <row r="891" spans="1:9" x14ac:dyDescent="0.2">
      <c r="A891" s="5" t="s">
        <v>77</v>
      </c>
      <c r="B891" s="5" t="s">
        <v>73</v>
      </c>
      <c r="C891" s="5" t="s">
        <v>52</v>
      </c>
      <c r="D891" s="5">
        <v>435721</v>
      </c>
      <c r="E891" s="5">
        <v>6978</v>
      </c>
      <c r="F891" s="5">
        <v>25510709</v>
      </c>
      <c r="G891" s="5">
        <v>1.6014835181228355</v>
      </c>
      <c r="H891" s="5">
        <v>3655.876898824878</v>
      </c>
      <c r="I891" s="5">
        <v>58.548265977540673</v>
      </c>
    </row>
    <row r="892" spans="1:9" x14ac:dyDescent="0.2">
      <c r="A892" s="5" t="s">
        <v>77</v>
      </c>
      <c r="B892" s="5" t="s">
        <v>73</v>
      </c>
      <c r="C892" s="5" t="s">
        <v>53</v>
      </c>
      <c r="D892" s="5">
        <v>439885</v>
      </c>
      <c r="E892" s="5">
        <v>6763</v>
      </c>
      <c r="F892" s="5">
        <v>25178397</v>
      </c>
      <c r="G892" s="5">
        <v>1.5374472873591962</v>
      </c>
      <c r="H892" s="5">
        <v>3722.9627384296909</v>
      </c>
      <c r="I892" s="5">
        <v>57.238589631380933</v>
      </c>
    </row>
    <row r="893" spans="1:9" x14ac:dyDescent="0.2">
      <c r="A893" s="5" t="s">
        <v>77</v>
      </c>
      <c r="B893" s="5" t="s">
        <v>73</v>
      </c>
      <c r="C893" s="5" t="s">
        <v>54</v>
      </c>
      <c r="D893" s="5">
        <v>444557</v>
      </c>
      <c r="E893" s="5">
        <v>6700</v>
      </c>
      <c r="F893" s="5">
        <v>25048224</v>
      </c>
      <c r="G893" s="5">
        <v>1.5071183222848814</v>
      </c>
      <c r="H893" s="5">
        <v>3738.5408955223879</v>
      </c>
      <c r="I893" s="5">
        <v>56.344234822531192</v>
      </c>
    </row>
    <row r="894" spans="1:9" x14ac:dyDescent="0.2">
      <c r="A894" s="5" t="s">
        <v>77</v>
      </c>
      <c r="B894" s="5" t="s">
        <v>73</v>
      </c>
      <c r="C894" s="5" t="s">
        <v>55</v>
      </c>
      <c r="D894" s="5">
        <v>449085</v>
      </c>
      <c r="E894" s="5">
        <v>6904</v>
      </c>
      <c r="F894" s="5">
        <v>25482681</v>
      </c>
      <c r="G894" s="5">
        <v>1.5373481634879811</v>
      </c>
      <c r="H894" s="5">
        <v>3691.0024623406721</v>
      </c>
      <c r="I894" s="5">
        <v>56.743558569090482</v>
      </c>
    </row>
    <row r="895" spans="1:9" x14ac:dyDescent="0.2">
      <c r="A895" s="5" t="s">
        <v>77</v>
      </c>
      <c r="B895" s="5" t="s">
        <v>73</v>
      </c>
      <c r="C895" s="5" t="s">
        <v>56</v>
      </c>
      <c r="D895" s="5">
        <v>454083</v>
      </c>
      <c r="E895" s="5">
        <v>6980</v>
      </c>
      <c r="F895" s="5">
        <v>25795265</v>
      </c>
      <c r="G895" s="5">
        <v>1.5371639105626065</v>
      </c>
      <c r="H895" s="5">
        <v>3695.59670487106</v>
      </c>
      <c r="I895" s="5">
        <v>56.807378827218812</v>
      </c>
    </row>
    <row r="896" spans="1:9" x14ac:dyDescent="0.2">
      <c r="A896" s="5" t="s">
        <v>77</v>
      </c>
      <c r="B896" s="5" t="s">
        <v>73</v>
      </c>
      <c r="C896" s="5" t="s">
        <v>57</v>
      </c>
      <c r="D896" s="5">
        <v>459664</v>
      </c>
      <c r="E896" s="5">
        <v>7119</v>
      </c>
      <c r="F896" s="5">
        <v>25630846</v>
      </c>
      <c r="G896" s="5">
        <v>1.5487399491802709</v>
      </c>
      <c r="H896" s="5">
        <v>3600.3435875825257</v>
      </c>
      <c r="I896" s="5">
        <v>55.75995944864075</v>
      </c>
    </row>
    <row r="897" spans="1:9" x14ac:dyDescent="0.2">
      <c r="A897" s="5" t="s">
        <v>77</v>
      </c>
      <c r="B897" s="5" t="s">
        <v>73</v>
      </c>
      <c r="C897" s="5" t="s">
        <v>58</v>
      </c>
      <c r="D897" s="5">
        <v>466365</v>
      </c>
      <c r="E897" s="5">
        <v>7047</v>
      </c>
      <c r="F897" s="5">
        <v>26080905</v>
      </c>
      <c r="G897" s="5">
        <v>1.5110482133093177</v>
      </c>
      <c r="H897" s="5">
        <v>3700.9940400170285</v>
      </c>
      <c r="I897" s="5">
        <v>55.923804316361647</v>
      </c>
    </row>
    <row r="898" spans="1:9" x14ac:dyDescent="0.2">
      <c r="A898" s="5" t="s">
        <v>77</v>
      </c>
      <c r="B898" s="5" t="s">
        <v>73</v>
      </c>
      <c r="C898" s="5" t="s">
        <v>59</v>
      </c>
      <c r="D898" s="5">
        <v>474161</v>
      </c>
      <c r="E898" s="5">
        <v>6706</v>
      </c>
      <c r="F898" s="5">
        <v>26307500</v>
      </c>
      <c r="G898" s="5">
        <v>1.4142875521183733</v>
      </c>
      <c r="H898" s="5">
        <v>3922.9794214136596</v>
      </c>
      <c r="I898" s="5">
        <v>55.482209629218765</v>
      </c>
    </row>
    <row r="899" spans="1:9" x14ac:dyDescent="0.2">
      <c r="A899" s="5" t="s">
        <v>77</v>
      </c>
      <c r="B899" s="5" t="s">
        <v>73</v>
      </c>
      <c r="C899" s="5" t="s">
        <v>60</v>
      </c>
      <c r="D899" s="5">
        <v>482452</v>
      </c>
      <c r="E899" s="5">
        <v>6753</v>
      </c>
      <c r="F899" s="5">
        <v>26774747</v>
      </c>
      <c r="G899" s="5">
        <v>1.3997247394559458</v>
      </c>
      <c r="H899" s="5">
        <v>3964.8670220642675</v>
      </c>
      <c r="I899" s="5">
        <v>55.497224594363793</v>
      </c>
    </row>
    <row r="900" spans="1:9" x14ac:dyDescent="0.2">
      <c r="A900" s="5" t="s">
        <v>77</v>
      </c>
      <c r="B900" s="5" t="s">
        <v>73</v>
      </c>
      <c r="C900" s="5" t="s">
        <v>61</v>
      </c>
      <c r="D900" s="5">
        <v>490549</v>
      </c>
      <c r="E900" s="5">
        <v>6630</v>
      </c>
      <c r="F900" s="5">
        <v>27114320</v>
      </c>
      <c r="G900" s="5">
        <v>1.351546940264887</v>
      </c>
      <c r="H900" s="5">
        <v>4089.6410256410259</v>
      </c>
      <c r="I900" s="5">
        <v>55.273418149868817</v>
      </c>
    </row>
    <row r="901" spans="1:9" x14ac:dyDescent="0.2">
      <c r="A901" s="5" t="s">
        <v>77</v>
      </c>
      <c r="B901" s="5" t="s">
        <v>73</v>
      </c>
      <c r="C901" s="5" t="s">
        <v>62</v>
      </c>
      <c r="D901" s="5">
        <v>497793</v>
      </c>
      <c r="E901" s="5">
        <v>6900</v>
      </c>
      <c r="F901" s="5">
        <v>27525352</v>
      </c>
      <c r="G901" s="5">
        <v>1.3861183262922541</v>
      </c>
      <c r="H901" s="5">
        <v>3989.1814492753624</v>
      </c>
      <c r="I901" s="5">
        <v>55.294775137456732</v>
      </c>
    </row>
    <row r="902" spans="1:9" x14ac:dyDescent="0.2">
      <c r="A902" s="5" t="s">
        <v>77</v>
      </c>
      <c r="B902" s="5" t="s">
        <v>64</v>
      </c>
      <c r="C902" s="5" t="s">
        <v>45</v>
      </c>
      <c r="D902" s="5">
        <v>292988</v>
      </c>
      <c r="E902" s="5">
        <v>8413</v>
      </c>
      <c r="F902" s="5">
        <v>11556579</v>
      </c>
      <c r="G902" s="5">
        <v>2.8714486600133795</v>
      </c>
      <c r="H902" s="5">
        <v>1373.657316058481</v>
      </c>
      <c r="I902" s="5">
        <v>39.443864595137001</v>
      </c>
    </row>
    <row r="903" spans="1:9" x14ac:dyDescent="0.2">
      <c r="A903" s="5" t="s">
        <v>77</v>
      </c>
      <c r="B903" s="5" t="s">
        <v>64</v>
      </c>
      <c r="C903" s="5" t="s">
        <v>46</v>
      </c>
      <c r="D903" s="5">
        <v>298465</v>
      </c>
      <c r="E903" s="5">
        <v>8706</v>
      </c>
      <c r="F903" s="5">
        <v>12333779</v>
      </c>
      <c r="G903" s="5">
        <v>2.9169249325716584</v>
      </c>
      <c r="H903" s="5">
        <v>1416.6987135308982</v>
      </c>
      <c r="I903" s="5">
        <v>41.324037994404705</v>
      </c>
    </row>
    <row r="904" spans="1:9" x14ac:dyDescent="0.2">
      <c r="A904" s="5" t="s">
        <v>77</v>
      </c>
      <c r="B904" s="5" t="s">
        <v>64</v>
      </c>
      <c r="C904" s="5" t="s">
        <v>47</v>
      </c>
      <c r="D904" s="5">
        <v>303920</v>
      </c>
      <c r="E904" s="5">
        <v>9045</v>
      </c>
      <c r="F904" s="5">
        <v>14002436</v>
      </c>
      <c r="G904" s="5">
        <v>2.9761121347723085</v>
      </c>
      <c r="H904" s="5">
        <v>1548.0857932559425</v>
      </c>
      <c r="I904" s="5">
        <v>46.072769149776256</v>
      </c>
    </row>
    <row r="905" spans="1:9" x14ac:dyDescent="0.2">
      <c r="A905" s="5" t="s">
        <v>77</v>
      </c>
      <c r="B905" s="5" t="s">
        <v>64</v>
      </c>
      <c r="C905" s="5" t="s">
        <v>48</v>
      </c>
      <c r="D905" s="5">
        <v>308674</v>
      </c>
      <c r="E905" s="5">
        <v>9900</v>
      </c>
      <c r="F905" s="5">
        <v>15534390</v>
      </c>
      <c r="G905" s="5">
        <v>3.2072672139538803</v>
      </c>
      <c r="H905" s="5">
        <v>1569.1303030303031</v>
      </c>
      <c r="I905" s="5">
        <v>50.32620175330608</v>
      </c>
    </row>
    <row r="906" spans="1:9" x14ac:dyDescent="0.2">
      <c r="A906" s="5" t="s">
        <v>77</v>
      </c>
      <c r="B906" s="5" t="s">
        <v>64</v>
      </c>
      <c r="C906" s="5" t="s">
        <v>49</v>
      </c>
      <c r="D906" s="5">
        <v>312739</v>
      </c>
      <c r="E906" s="5">
        <v>10269</v>
      </c>
      <c r="F906" s="5">
        <v>16307818</v>
      </c>
      <c r="G906" s="5">
        <v>3.2835687266378675</v>
      </c>
      <c r="H906" s="5">
        <v>1588.0629077806991</v>
      </c>
      <c r="I906" s="5">
        <v>52.145136999222991</v>
      </c>
    </row>
    <row r="907" spans="1:9" x14ac:dyDescent="0.2">
      <c r="A907" s="5" t="s">
        <v>77</v>
      </c>
      <c r="B907" s="5" t="s">
        <v>64</v>
      </c>
      <c r="C907" s="5" t="s">
        <v>50</v>
      </c>
      <c r="D907" s="5">
        <v>316519</v>
      </c>
      <c r="E907" s="5">
        <v>10588</v>
      </c>
      <c r="F907" s="5">
        <v>16508612</v>
      </c>
      <c r="G907" s="5">
        <v>3.3451388384267613</v>
      </c>
      <c r="H907" s="5">
        <v>1559.1813373630525</v>
      </c>
      <c r="I907" s="5">
        <v>52.156780477633255</v>
      </c>
    </row>
    <row r="908" spans="1:9" x14ac:dyDescent="0.2">
      <c r="A908" s="5" t="s">
        <v>77</v>
      </c>
      <c r="B908" s="5" t="s">
        <v>64</v>
      </c>
      <c r="C908" s="5" t="s">
        <v>51</v>
      </c>
      <c r="D908" s="5">
        <v>320170</v>
      </c>
      <c r="E908" s="5">
        <v>10616</v>
      </c>
      <c r="F908" s="5">
        <v>15956354</v>
      </c>
      <c r="G908" s="5">
        <v>3.315738513914483</v>
      </c>
      <c r="H908" s="5">
        <v>1503.0476639035419</v>
      </c>
      <c r="I908" s="5">
        <v>49.83713027454165</v>
      </c>
    </row>
    <row r="909" spans="1:9" x14ac:dyDescent="0.2">
      <c r="A909" s="5" t="s">
        <v>77</v>
      </c>
      <c r="B909" s="5" t="s">
        <v>64</v>
      </c>
      <c r="C909" s="5" t="s">
        <v>52</v>
      </c>
      <c r="D909" s="5">
        <v>323836</v>
      </c>
      <c r="E909" s="5">
        <v>10284</v>
      </c>
      <c r="F909" s="5">
        <v>15384754</v>
      </c>
      <c r="G909" s="5">
        <v>3.1756815178053088</v>
      </c>
      <c r="H909" s="5">
        <v>1495.9893037728511</v>
      </c>
      <c r="I909" s="5">
        <v>47.507855828258748</v>
      </c>
    </row>
    <row r="910" spans="1:9" x14ac:dyDescent="0.2">
      <c r="A910" s="5" t="s">
        <v>77</v>
      </c>
      <c r="B910" s="5" t="s">
        <v>64</v>
      </c>
      <c r="C910" s="5" t="s">
        <v>53</v>
      </c>
      <c r="D910" s="5">
        <v>327932</v>
      </c>
      <c r="E910" s="5">
        <v>10115</v>
      </c>
      <c r="F910" s="5">
        <v>15625616</v>
      </c>
      <c r="G910" s="5">
        <v>3.0844809289730799</v>
      </c>
      <c r="H910" s="5">
        <v>1544.7964409293129</v>
      </c>
      <c r="I910" s="5">
        <v>47.648951611919543</v>
      </c>
    </row>
    <row r="911" spans="1:9" x14ac:dyDescent="0.2">
      <c r="A911" s="5" t="s">
        <v>77</v>
      </c>
      <c r="B911" s="5" t="s">
        <v>64</v>
      </c>
      <c r="C911" s="5" t="s">
        <v>54</v>
      </c>
      <c r="D911" s="5">
        <v>332373</v>
      </c>
      <c r="E911" s="5">
        <v>10344</v>
      </c>
      <c r="F911" s="5">
        <v>17005684</v>
      </c>
      <c r="G911" s="5">
        <v>3.1121661506801095</v>
      </c>
      <c r="H911" s="5">
        <v>1644.0143078112915</v>
      </c>
      <c r="I911" s="5">
        <v>51.164456800040917</v>
      </c>
    </row>
    <row r="912" spans="1:9" x14ac:dyDescent="0.2">
      <c r="A912" s="5" t="s">
        <v>77</v>
      </c>
      <c r="B912" s="5" t="s">
        <v>64</v>
      </c>
      <c r="C912" s="5" t="s">
        <v>55</v>
      </c>
      <c r="D912" s="5">
        <v>336615</v>
      </c>
      <c r="E912" s="5">
        <v>10324</v>
      </c>
      <c r="F912" s="5">
        <v>17050984</v>
      </c>
      <c r="G912" s="5">
        <v>3.0670053325015223</v>
      </c>
      <c r="H912" s="5">
        <v>1651.5869817900038</v>
      </c>
      <c r="I912" s="5">
        <v>50.654260802400366</v>
      </c>
    </row>
    <row r="913" spans="1:9" x14ac:dyDescent="0.2">
      <c r="A913" s="5" t="s">
        <v>77</v>
      </c>
      <c r="B913" s="5" t="s">
        <v>64</v>
      </c>
      <c r="C913" s="5" t="s">
        <v>56</v>
      </c>
      <c r="D913" s="5">
        <v>341178</v>
      </c>
      <c r="E913" s="5">
        <v>10123</v>
      </c>
      <c r="F913" s="5">
        <v>17098504</v>
      </c>
      <c r="G913" s="5">
        <v>2.9670729062249031</v>
      </c>
      <c r="H913" s="5">
        <v>1689.0747802034971</v>
      </c>
      <c r="I913" s="5">
        <v>50.116080169295792</v>
      </c>
    </row>
    <row r="914" spans="1:9" x14ac:dyDescent="0.2">
      <c r="A914" s="5" t="s">
        <v>77</v>
      </c>
      <c r="B914" s="5" t="s">
        <v>64</v>
      </c>
      <c r="C914" s="5" t="s">
        <v>57</v>
      </c>
      <c r="D914" s="5">
        <v>346082</v>
      </c>
      <c r="E914" s="5">
        <v>10070</v>
      </c>
      <c r="F914" s="5">
        <v>16491138</v>
      </c>
      <c r="G914" s="5">
        <v>2.9097150386324628</v>
      </c>
      <c r="H914" s="5">
        <v>1637.650248262165</v>
      </c>
      <c r="I914" s="5">
        <v>47.650955553886071</v>
      </c>
    </row>
    <row r="915" spans="1:9" x14ac:dyDescent="0.2">
      <c r="A915" s="5" t="s">
        <v>77</v>
      </c>
      <c r="B915" s="5" t="s">
        <v>64</v>
      </c>
      <c r="C915" s="5" t="s">
        <v>58</v>
      </c>
      <c r="D915" s="5">
        <v>351573</v>
      </c>
      <c r="E915" s="5">
        <v>9766</v>
      </c>
      <c r="F915" s="5">
        <v>15037943</v>
      </c>
      <c r="G915" s="5">
        <v>2.7778014807735518</v>
      </c>
      <c r="H915" s="5">
        <v>1539.8262338726192</v>
      </c>
      <c r="I915" s="5">
        <v>42.77331592585324</v>
      </c>
    </row>
    <row r="916" spans="1:9" x14ac:dyDescent="0.2">
      <c r="A916" s="5" t="s">
        <v>77</v>
      </c>
      <c r="B916" s="5" t="s">
        <v>64</v>
      </c>
      <c r="C916" s="5" t="s">
        <v>59</v>
      </c>
      <c r="D916" s="5">
        <v>357707</v>
      </c>
      <c r="E916" s="5">
        <v>9564</v>
      </c>
      <c r="F916" s="5">
        <v>14662332</v>
      </c>
      <c r="G916" s="5">
        <v>2.6736966288051396</v>
      </c>
      <c r="H916" s="5">
        <v>1533.0752823086575</v>
      </c>
      <c r="I916" s="5">
        <v>40.989782140131446</v>
      </c>
    </row>
    <row r="917" spans="1:9" x14ac:dyDescent="0.2">
      <c r="A917" s="5" t="s">
        <v>77</v>
      </c>
      <c r="B917" s="5" t="s">
        <v>64</v>
      </c>
      <c r="C917" s="5" t="s">
        <v>60</v>
      </c>
      <c r="D917" s="5">
        <v>364155</v>
      </c>
      <c r="E917" s="5">
        <v>9775</v>
      </c>
      <c r="F917" s="5">
        <v>14913234</v>
      </c>
      <c r="G917" s="5">
        <v>2.6842965220853756</v>
      </c>
      <c r="H917" s="5">
        <v>1525.650537084399</v>
      </c>
      <c r="I917" s="5">
        <v>40.952984306133381</v>
      </c>
    </row>
    <row r="918" spans="1:9" x14ac:dyDescent="0.2">
      <c r="A918" s="5" t="s">
        <v>77</v>
      </c>
      <c r="B918" s="5" t="s">
        <v>64</v>
      </c>
      <c r="C918" s="5" t="s">
        <v>61</v>
      </c>
      <c r="D918" s="5">
        <v>370491</v>
      </c>
      <c r="E918" s="5">
        <v>9891</v>
      </c>
      <c r="F918" s="5">
        <v>15731299</v>
      </c>
      <c r="G918" s="5">
        <v>2.6697004785541347</v>
      </c>
      <c r="H918" s="5">
        <v>1590.4659791729855</v>
      </c>
      <c r="I918" s="5">
        <v>42.460677857221903</v>
      </c>
    </row>
    <row r="919" spans="1:9" x14ac:dyDescent="0.2">
      <c r="A919" s="5" t="s">
        <v>77</v>
      </c>
      <c r="B919" s="5" t="s">
        <v>64</v>
      </c>
      <c r="C919" s="5" t="s">
        <v>62</v>
      </c>
      <c r="D919" s="5">
        <v>376270</v>
      </c>
      <c r="E919" s="5">
        <v>9849</v>
      </c>
      <c r="F919" s="5">
        <v>16591095</v>
      </c>
      <c r="G919" s="5">
        <v>2.6175352805166501</v>
      </c>
      <c r="H919" s="5">
        <v>1684.5461468169358</v>
      </c>
      <c r="I919" s="5">
        <v>44.093589709517104</v>
      </c>
    </row>
    <row r="920" spans="1:9" x14ac:dyDescent="0.2">
      <c r="A920" s="5" t="s">
        <v>77</v>
      </c>
      <c r="B920" s="5" t="s">
        <v>65</v>
      </c>
      <c r="C920" s="5" t="s">
        <v>45</v>
      </c>
      <c r="D920" s="5">
        <v>281006</v>
      </c>
      <c r="E920" s="5">
        <v>17284</v>
      </c>
      <c r="F920" s="5">
        <v>37174529</v>
      </c>
      <c r="G920" s="5">
        <v>6.1507583467968656</v>
      </c>
      <c r="H920" s="5">
        <v>2150.8058898403146</v>
      </c>
      <c r="I920" s="5">
        <v>132.29087279275177</v>
      </c>
    </row>
    <row r="921" spans="1:9" x14ac:dyDescent="0.2">
      <c r="A921" s="5" t="s">
        <v>77</v>
      </c>
      <c r="B921" s="5" t="s">
        <v>65</v>
      </c>
      <c r="C921" s="5" t="s">
        <v>46</v>
      </c>
      <c r="D921" s="5">
        <v>286575</v>
      </c>
      <c r="E921" s="5">
        <v>17291</v>
      </c>
      <c r="F921" s="5">
        <v>36851195</v>
      </c>
      <c r="G921" s="5">
        <v>6.0336735584053036</v>
      </c>
      <c r="H921" s="5">
        <v>2131.2356139031867</v>
      </c>
      <c r="I921" s="5">
        <v>128.59179970339352</v>
      </c>
    </row>
    <row r="922" spans="1:9" x14ac:dyDescent="0.2">
      <c r="A922" s="5" t="s">
        <v>77</v>
      </c>
      <c r="B922" s="5" t="s">
        <v>65</v>
      </c>
      <c r="C922" s="5" t="s">
        <v>47</v>
      </c>
      <c r="D922" s="5">
        <v>292071</v>
      </c>
      <c r="E922" s="5">
        <v>17461</v>
      </c>
      <c r="F922" s="5">
        <v>37235922</v>
      </c>
      <c r="G922" s="5">
        <v>5.9783408828675215</v>
      </c>
      <c r="H922" s="5">
        <v>2132.5194433308516</v>
      </c>
      <c r="I922" s="5">
        <v>127.4892817157472</v>
      </c>
    </row>
    <row r="923" spans="1:9" x14ac:dyDescent="0.2">
      <c r="A923" s="5" t="s">
        <v>77</v>
      </c>
      <c r="B923" s="5" t="s">
        <v>65</v>
      </c>
      <c r="C923" s="5" t="s">
        <v>48</v>
      </c>
      <c r="D923" s="5">
        <v>296843</v>
      </c>
      <c r="E923" s="5">
        <v>17886</v>
      </c>
      <c r="F923" s="5">
        <v>39549039</v>
      </c>
      <c r="G923" s="5">
        <v>6.025407370226012</v>
      </c>
      <c r="H923" s="5">
        <v>2211.1729285474671</v>
      </c>
      <c r="I923" s="5">
        <v>133.23217660514143</v>
      </c>
    </row>
    <row r="924" spans="1:9" x14ac:dyDescent="0.2">
      <c r="A924" s="5" t="s">
        <v>77</v>
      </c>
      <c r="B924" s="5" t="s">
        <v>65</v>
      </c>
      <c r="C924" s="5" t="s">
        <v>49</v>
      </c>
      <c r="D924" s="5">
        <v>300934</v>
      </c>
      <c r="E924" s="5">
        <v>18546</v>
      </c>
      <c r="F924" s="5">
        <v>41833537</v>
      </c>
      <c r="G924" s="5">
        <v>6.1628131085221343</v>
      </c>
      <c r="H924" s="5">
        <v>2255.6635932276504</v>
      </c>
      <c r="I924" s="5">
        <v>139.01233160759503</v>
      </c>
    </row>
    <row r="925" spans="1:9" x14ac:dyDescent="0.2">
      <c r="A925" s="5" t="s">
        <v>77</v>
      </c>
      <c r="B925" s="5" t="s">
        <v>65</v>
      </c>
      <c r="C925" s="5" t="s">
        <v>50</v>
      </c>
      <c r="D925" s="5">
        <v>304756</v>
      </c>
      <c r="E925" s="5">
        <v>19282</v>
      </c>
      <c r="F925" s="5">
        <v>43591190</v>
      </c>
      <c r="G925" s="5">
        <v>6.3270288361837013</v>
      </c>
      <c r="H925" s="5">
        <v>2260.7193237216056</v>
      </c>
      <c r="I925" s="5">
        <v>143.03636351704316</v>
      </c>
    </row>
    <row r="926" spans="1:9" x14ac:dyDescent="0.2">
      <c r="A926" s="5" t="s">
        <v>77</v>
      </c>
      <c r="B926" s="5" t="s">
        <v>65</v>
      </c>
      <c r="C926" s="5" t="s">
        <v>51</v>
      </c>
      <c r="D926" s="5">
        <v>308459</v>
      </c>
      <c r="E926" s="5">
        <v>19842</v>
      </c>
      <c r="F926" s="5">
        <v>45152743</v>
      </c>
      <c r="G926" s="5">
        <v>6.4326215153391537</v>
      </c>
      <c r="H926" s="5">
        <v>2275.6145045862313</v>
      </c>
      <c r="I926" s="5">
        <v>146.38166822819241</v>
      </c>
    </row>
    <row r="927" spans="1:9" x14ac:dyDescent="0.2">
      <c r="A927" s="5" t="s">
        <v>77</v>
      </c>
      <c r="B927" s="5" t="s">
        <v>65</v>
      </c>
      <c r="C927" s="5" t="s">
        <v>52</v>
      </c>
      <c r="D927" s="5">
        <v>312198</v>
      </c>
      <c r="E927" s="5">
        <v>20113</v>
      </c>
      <c r="F927" s="5">
        <v>45811892</v>
      </c>
      <c r="G927" s="5">
        <v>6.4423859217547834</v>
      </c>
      <c r="H927" s="5">
        <v>2277.7254512007162</v>
      </c>
      <c r="I927" s="5">
        <v>146.73986380438055</v>
      </c>
    </row>
    <row r="928" spans="1:9" x14ac:dyDescent="0.2">
      <c r="A928" s="5" t="s">
        <v>77</v>
      </c>
      <c r="B928" s="5" t="s">
        <v>65</v>
      </c>
      <c r="C928" s="5" t="s">
        <v>53</v>
      </c>
      <c r="D928" s="5">
        <v>316364</v>
      </c>
      <c r="E928" s="5">
        <v>20378</v>
      </c>
      <c r="F928" s="5">
        <v>47430683</v>
      </c>
      <c r="G928" s="5">
        <v>6.4413144352707636</v>
      </c>
      <c r="H928" s="5">
        <v>2327.543576405928</v>
      </c>
      <c r="I928" s="5">
        <v>149.92440037425246</v>
      </c>
    </row>
    <row r="929" spans="1:9" x14ac:dyDescent="0.2">
      <c r="A929" s="5" t="s">
        <v>77</v>
      </c>
      <c r="B929" s="5" t="s">
        <v>65</v>
      </c>
      <c r="C929" s="5" t="s">
        <v>54</v>
      </c>
      <c r="D929" s="5">
        <v>320786</v>
      </c>
      <c r="E929" s="5">
        <v>20532</v>
      </c>
      <c r="F929" s="5">
        <v>48963823</v>
      </c>
      <c r="G929" s="5">
        <v>6.4005287013772421</v>
      </c>
      <c r="H929" s="5">
        <v>2384.7566238067407</v>
      </c>
      <c r="I929" s="5">
        <v>152.63703216474534</v>
      </c>
    </row>
    <row r="930" spans="1:9" x14ac:dyDescent="0.2">
      <c r="A930" s="5" t="s">
        <v>77</v>
      </c>
      <c r="B930" s="5" t="s">
        <v>65</v>
      </c>
      <c r="C930" s="5" t="s">
        <v>55</v>
      </c>
      <c r="D930" s="5">
        <v>324879</v>
      </c>
      <c r="E930" s="5">
        <v>20722</v>
      </c>
      <c r="F930" s="5">
        <v>50663285</v>
      </c>
      <c r="G930" s="5">
        <v>6.3783747179719219</v>
      </c>
      <c r="H930" s="5">
        <v>2444.9032429302192</v>
      </c>
      <c r="I930" s="5">
        <v>155.94509032593675</v>
      </c>
    </row>
    <row r="931" spans="1:9" x14ac:dyDescent="0.2">
      <c r="A931" s="5" t="s">
        <v>77</v>
      </c>
      <c r="B931" s="5" t="s">
        <v>65</v>
      </c>
      <c r="C931" s="5" t="s">
        <v>56</v>
      </c>
      <c r="D931" s="5">
        <v>329216</v>
      </c>
      <c r="E931" s="5">
        <v>21163</v>
      </c>
      <c r="F931" s="5">
        <v>52617431</v>
      </c>
      <c r="G931" s="5">
        <v>6.4283023911353032</v>
      </c>
      <c r="H931" s="5">
        <v>2486.2935784151587</v>
      </c>
      <c r="I931" s="5">
        <v>159.82646955190512</v>
      </c>
    </row>
    <row r="932" spans="1:9" x14ac:dyDescent="0.2">
      <c r="A932" s="5" t="s">
        <v>77</v>
      </c>
      <c r="B932" s="5" t="s">
        <v>65</v>
      </c>
      <c r="C932" s="5" t="s">
        <v>57</v>
      </c>
      <c r="D932" s="5">
        <v>333884</v>
      </c>
      <c r="E932" s="5">
        <v>21293</v>
      </c>
      <c r="F932" s="5">
        <v>53526083</v>
      </c>
      <c r="G932" s="5">
        <v>6.3773645936912224</v>
      </c>
      <c r="H932" s="5">
        <v>2513.787770628845</v>
      </c>
      <c r="I932" s="5">
        <v>160.31341124462389</v>
      </c>
    </row>
    <row r="933" spans="1:9" x14ac:dyDescent="0.2">
      <c r="A933" s="5" t="s">
        <v>77</v>
      </c>
      <c r="B933" s="5" t="s">
        <v>65</v>
      </c>
      <c r="C933" s="5" t="s">
        <v>58</v>
      </c>
      <c r="D933" s="5">
        <v>339253</v>
      </c>
      <c r="E933" s="5">
        <v>21777</v>
      </c>
      <c r="F933" s="5">
        <v>54908884</v>
      </c>
      <c r="G933" s="5">
        <v>6.4191031472087206</v>
      </c>
      <c r="H933" s="5">
        <v>2521.4163567066171</v>
      </c>
      <c r="I933" s="5">
        <v>161.85231670758992</v>
      </c>
    </row>
    <row r="934" spans="1:9" x14ac:dyDescent="0.2">
      <c r="A934" s="5" t="s">
        <v>77</v>
      </c>
      <c r="B934" s="5" t="s">
        <v>65</v>
      </c>
      <c r="C934" s="5" t="s">
        <v>59</v>
      </c>
      <c r="D934" s="5">
        <v>345464</v>
      </c>
      <c r="E934" s="5">
        <v>22355</v>
      </c>
      <c r="F934" s="5">
        <v>57284669</v>
      </c>
      <c r="G934" s="5">
        <v>6.4710071092791148</v>
      </c>
      <c r="H934" s="5">
        <v>2562.4991724446431</v>
      </c>
      <c r="I934" s="5">
        <v>165.81950362411135</v>
      </c>
    </row>
    <row r="935" spans="1:9" x14ac:dyDescent="0.2">
      <c r="A935" s="5" t="s">
        <v>77</v>
      </c>
      <c r="B935" s="5" t="s">
        <v>65</v>
      </c>
      <c r="C935" s="5" t="s">
        <v>60</v>
      </c>
      <c r="D935" s="5">
        <v>352040</v>
      </c>
      <c r="E935" s="5">
        <v>23114</v>
      </c>
      <c r="F935" s="5">
        <v>58789315</v>
      </c>
      <c r="G935" s="5">
        <v>6.5657311669128511</v>
      </c>
      <c r="H935" s="5">
        <v>2543.4505061867267</v>
      </c>
      <c r="I935" s="5">
        <v>166.99612259970459</v>
      </c>
    </row>
    <row r="936" spans="1:9" x14ac:dyDescent="0.2">
      <c r="A936" s="5" t="s">
        <v>77</v>
      </c>
      <c r="B936" s="5" t="s">
        <v>65</v>
      </c>
      <c r="C936" s="5" t="s">
        <v>61</v>
      </c>
      <c r="D936" s="5">
        <v>358450</v>
      </c>
      <c r="E936" s="5">
        <v>23557</v>
      </c>
      <c r="F936" s="5">
        <v>60709419</v>
      </c>
      <c r="G936" s="5">
        <v>6.5719068210350118</v>
      </c>
      <c r="H936" s="5">
        <v>2577.1286241881394</v>
      </c>
      <c r="I936" s="5">
        <v>169.36649183986609</v>
      </c>
    </row>
    <row r="937" spans="1:9" x14ac:dyDescent="0.2">
      <c r="A937" s="5" t="s">
        <v>77</v>
      </c>
      <c r="B937" s="5" t="s">
        <v>65</v>
      </c>
      <c r="C937" s="5" t="s">
        <v>62</v>
      </c>
      <c r="D937" s="5">
        <v>364242</v>
      </c>
      <c r="E937" s="5">
        <v>24323</v>
      </c>
      <c r="F937" s="5">
        <v>64238227</v>
      </c>
      <c r="G937" s="5">
        <v>6.6777032851785352</v>
      </c>
      <c r="H937" s="5">
        <v>2641.0486782058133</v>
      </c>
      <c r="I937" s="5">
        <v>176.36139434771388</v>
      </c>
    </row>
    <row r="938" spans="1:9" x14ac:dyDescent="0.2">
      <c r="A938" s="5" t="s">
        <v>78</v>
      </c>
      <c r="B938" s="5" t="s">
        <v>44</v>
      </c>
      <c r="C938" s="5" t="s">
        <v>45</v>
      </c>
      <c r="D938" s="5">
        <v>837131</v>
      </c>
      <c r="E938" s="5">
        <v>5561</v>
      </c>
      <c r="F938" s="5">
        <v>57905598</v>
      </c>
      <c r="G938" s="5">
        <v>0.6642926853742126</v>
      </c>
      <c r="H938" s="5">
        <v>10412.80309296889</v>
      </c>
      <c r="I938" s="5">
        <v>69.171489289012115</v>
      </c>
    </row>
    <row r="939" spans="1:9" x14ac:dyDescent="0.2">
      <c r="A939" s="5" t="s">
        <v>78</v>
      </c>
      <c r="B939" s="5" t="s">
        <v>44</v>
      </c>
      <c r="C939" s="5" t="s">
        <v>46</v>
      </c>
      <c r="D939" s="5">
        <v>844053</v>
      </c>
      <c r="E939" s="5">
        <v>5415</v>
      </c>
      <c r="F939" s="5">
        <v>57282065</v>
      </c>
      <c r="G939" s="5">
        <v>0.64154739098137203</v>
      </c>
      <c r="H939" s="5">
        <v>10578.405355493998</v>
      </c>
      <c r="I939" s="5">
        <v>67.865483565605473</v>
      </c>
    </row>
    <row r="940" spans="1:9" x14ac:dyDescent="0.2">
      <c r="A940" s="5" t="s">
        <v>78</v>
      </c>
      <c r="B940" s="5" t="s">
        <v>44</v>
      </c>
      <c r="C940" s="5" t="s">
        <v>47</v>
      </c>
      <c r="D940" s="5">
        <v>851875</v>
      </c>
      <c r="E940" s="5">
        <v>5373</v>
      </c>
      <c r="F940" s="5">
        <v>57006636</v>
      </c>
      <c r="G940" s="5">
        <v>0.63072633895818053</v>
      </c>
      <c r="H940" s="5">
        <v>10609.83361250698</v>
      </c>
      <c r="I940" s="5">
        <v>66.919015113719738</v>
      </c>
    </row>
    <row r="941" spans="1:9" x14ac:dyDescent="0.2">
      <c r="A941" s="5" t="s">
        <v>78</v>
      </c>
      <c r="B941" s="5" t="s">
        <v>44</v>
      </c>
      <c r="C941" s="5" t="s">
        <v>48</v>
      </c>
      <c r="D941" s="5">
        <v>858552</v>
      </c>
      <c r="E941" s="5">
        <v>5301</v>
      </c>
      <c r="F941" s="5">
        <v>53955963</v>
      </c>
      <c r="G941" s="5">
        <v>0.61743493696363183</v>
      </c>
      <c r="H941" s="5">
        <v>10178.449915110357</v>
      </c>
      <c r="I941" s="5">
        <v>62.845305817236465</v>
      </c>
    </row>
    <row r="942" spans="1:9" x14ac:dyDescent="0.2">
      <c r="A942" s="5" t="s">
        <v>78</v>
      </c>
      <c r="B942" s="5" t="s">
        <v>44</v>
      </c>
      <c r="C942" s="5" t="s">
        <v>49</v>
      </c>
      <c r="D942" s="5">
        <v>861953</v>
      </c>
      <c r="E942" s="5">
        <v>5324</v>
      </c>
      <c r="F942" s="5">
        <v>53831505</v>
      </c>
      <c r="G942" s="5">
        <v>0.61766708857675534</v>
      </c>
      <c r="H942" s="5">
        <v>10111.101615326821</v>
      </c>
      <c r="I942" s="5">
        <v>62.45294697042646</v>
      </c>
    </row>
    <row r="943" spans="1:9" x14ac:dyDescent="0.2">
      <c r="A943" s="5" t="s">
        <v>78</v>
      </c>
      <c r="B943" s="5" t="s">
        <v>44</v>
      </c>
      <c r="C943" s="5" t="s">
        <v>50</v>
      </c>
      <c r="D943" s="5">
        <v>862418</v>
      </c>
      <c r="E943" s="5">
        <v>5308</v>
      </c>
      <c r="F943" s="5">
        <v>52919222</v>
      </c>
      <c r="G943" s="5">
        <v>0.61547880494145535</v>
      </c>
      <c r="H943" s="5">
        <v>9969.7102486812364</v>
      </c>
      <c r="I943" s="5">
        <v>61.36145349470906</v>
      </c>
    </row>
    <row r="944" spans="1:9" x14ac:dyDescent="0.2">
      <c r="A944" s="5" t="s">
        <v>78</v>
      </c>
      <c r="B944" s="5" t="s">
        <v>44</v>
      </c>
      <c r="C944" s="5" t="s">
        <v>51</v>
      </c>
      <c r="D944" s="5">
        <v>861034</v>
      </c>
      <c r="E944" s="5">
        <v>5388</v>
      </c>
      <c r="F944" s="5">
        <v>53951121</v>
      </c>
      <c r="G944" s="5">
        <v>0.62575926153903327</v>
      </c>
      <c r="H944" s="5">
        <v>10013.199888641426</v>
      </c>
      <c r="I944" s="5">
        <v>62.658525679589886</v>
      </c>
    </row>
    <row r="945" spans="1:9" x14ac:dyDescent="0.2">
      <c r="A945" s="5" t="s">
        <v>78</v>
      </c>
      <c r="B945" s="5" t="s">
        <v>44</v>
      </c>
      <c r="C945" s="5" t="s">
        <v>52</v>
      </c>
      <c r="D945" s="5">
        <v>859762</v>
      </c>
      <c r="E945" s="5">
        <v>5334</v>
      </c>
      <c r="F945" s="5">
        <v>54387466</v>
      </c>
      <c r="G945" s="5">
        <v>0.62040425140911093</v>
      </c>
      <c r="H945" s="5">
        <v>10196.37532808399</v>
      </c>
      <c r="I945" s="5">
        <v>63.258746025062749</v>
      </c>
    </row>
    <row r="946" spans="1:9" x14ac:dyDescent="0.2">
      <c r="A946" s="5" t="s">
        <v>78</v>
      </c>
      <c r="B946" s="5" t="s">
        <v>44</v>
      </c>
      <c r="C946" s="5" t="s">
        <v>53</v>
      </c>
      <c r="D946" s="5">
        <v>859523</v>
      </c>
      <c r="E946" s="5">
        <v>5113</v>
      </c>
      <c r="F946" s="5">
        <v>50325220</v>
      </c>
      <c r="G946" s="5">
        <v>0.59486482618847891</v>
      </c>
      <c r="H946" s="5">
        <v>9842.6012125953457</v>
      </c>
      <c r="I946" s="5">
        <v>58.550172595730423</v>
      </c>
    </row>
    <row r="947" spans="1:9" x14ac:dyDescent="0.2">
      <c r="A947" s="5" t="s">
        <v>78</v>
      </c>
      <c r="B947" s="5" t="s">
        <v>44</v>
      </c>
      <c r="C947" s="5" t="s">
        <v>54</v>
      </c>
      <c r="D947" s="5">
        <v>860311</v>
      </c>
      <c r="E947" s="5">
        <v>5131</v>
      </c>
      <c r="F947" s="5">
        <v>52266403</v>
      </c>
      <c r="G947" s="5">
        <v>0.59641222767115609</v>
      </c>
      <c r="H947" s="5">
        <v>10186.396998635744</v>
      </c>
      <c r="I947" s="5">
        <v>60.752917258991225</v>
      </c>
    </row>
    <row r="948" spans="1:9" x14ac:dyDescent="0.2">
      <c r="A948" s="5" t="s">
        <v>78</v>
      </c>
      <c r="B948" s="5" t="s">
        <v>44</v>
      </c>
      <c r="C948" s="5" t="s">
        <v>55</v>
      </c>
      <c r="D948" s="5">
        <v>861987</v>
      </c>
      <c r="E948" s="5">
        <v>5054</v>
      </c>
      <c r="F948" s="5">
        <v>51237561</v>
      </c>
      <c r="G948" s="5">
        <v>0.58631974728157155</v>
      </c>
      <c r="H948" s="5">
        <v>10138.021567075584</v>
      </c>
      <c r="I948" s="5">
        <v>59.441222431428777</v>
      </c>
    </row>
    <row r="949" spans="1:9" x14ac:dyDescent="0.2">
      <c r="A949" s="5" t="s">
        <v>78</v>
      </c>
      <c r="B949" s="5" t="s">
        <v>44</v>
      </c>
      <c r="C949" s="5" t="s">
        <v>56</v>
      </c>
      <c r="D949" s="5">
        <v>863679</v>
      </c>
      <c r="E949" s="5">
        <v>5173</v>
      </c>
      <c r="F949" s="5">
        <v>51689360</v>
      </c>
      <c r="G949" s="5">
        <v>0.59894937818332972</v>
      </c>
      <c r="H949" s="5">
        <v>9992.1438236999802</v>
      </c>
      <c r="I949" s="5">
        <v>59.847883299235015</v>
      </c>
    </row>
    <row r="950" spans="1:9" x14ac:dyDescent="0.2">
      <c r="A950" s="5" t="s">
        <v>78</v>
      </c>
      <c r="B950" s="5" t="s">
        <v>44</v>
      </c>
      <c r="C950" s="5" t="s">
        <v>57</v>
      </c>
      <c r="D950" s="5">
        <v>865698</v>
      </c>
      <c r="E950" s="5">
        <v>5204</v>
      </c>
      <c r="F950" s="5">
        <v>53091081</v>
      </c>
      <c r="G950" s="5">
        <v>0.60113342066170883</v>
      </c>
      <c r="H950" s="5">
        <v>10201.97559569562</v>
      </c>
      <c r="I950" s="5">
        <v>61.327484873477815</v>
      </c>
    </row>
    <row r="951" spans="1:9" x14ac:dyDescent="0.2">
      <c r="A951" s="5" t="s">
        <v>78</v>
      </c>
      <c r="B951" s="5" t="s">
        <v>44</v>
      </c>
      <c r="C951" s="5" t="s">
        <v>58</v>
      </c>
      <c r="D951" s="5">
        <v>868421</v>
      </c>
      <c r="E951" s="5">
        <v>5113</v>
      </c>
      <c r="F951" s="5">
        <v>51746295</v>
      </c>
      <c r="G951" s="5">
        <v>0.58876973265271104</v>
      </c>
      <c r="H951" s="5">
        <v>10120.534911011147</v>
      </c>
      <c r="I951" s="5">
        <v>59.586646338584629</v>
      </c>
    </row>
    <row r="952" spans="1:9" x14ac:dyDescent="0.2">
      <c r="A952" s="5" t="s">
        <v>78</v>
      </c>
      <c r="B952" s="5" t="s">
        <v>44</v>
      </c>
      <c r="C952" s="5" t="s">
        <v>59</v>
      </c>
      <c r="D952" s="5">
        <v>871975</v>
      </c>
      <c r="E952" s="5">
        <v>5125</v>
      </c>
      <c r="F952" s="5">
        <v>52283486</v>
      </c>
      <c r="G952" s="5">
        <v>0.58774620832019264</v>
      </c>
      <c r="H952" s="5">
        <v>10201.655804878048</v>
      </c>
      <c r="I952" s="5">
        <v>59.959845179047562</v>
      </c>
    </row>
    <row r="953" spans="1:9" x14ac:dyDescent="0.2">
      <c r="A953" s="5" t="s">
        <v>78</v>
      </c>
      <c r="B953" s="5" t="s">
        <v>44</v>
      </c>
      <c r="C953" s="5" t="s">
        <v>60</v>
      </c>
      <c r="D953" s="5">
        <v>876454</v>
      </c>
      <c r="E953" s="5">
        <v>4990</v>
      </c>
      <c r="F953" s="5">
        <v>51626845</v>
      </c>
      <c r="G953" s="5">
        <v>0.56933963448167269</v>
      </c>
      <c r="H953" s="5">
        <v>10346.06112224449</v>
      </c>
      <c r="I953" s="5">
        <v>58.904226576637221</v>
      </c>
    </row>
    <row r="954" spans="1:9" x14ac:dyDescent="0.2">
      <c r="A954" s="5" t="s">
        <v>78</v>
      </c>
      <c r="B954" s="5" t="s">
        <v>44</v>
      </c>
      <c r="C954" s="5" t="s">
        <v>61</v>
      </c>
      <c r="D954" s="5">
        <v>881434</v>
      </c>
      <c r="E954" s="5">
        <v>4952</v>
      </c>
      <c r="F954" s="5">
        <v>50947218</v>
      </c>
      <c r="G954" s="5">
        <v>0.56181177490316914</v>
      </c>
      <c r="H954" s="5">
        <v>10288.21042003231</v>
      </c>
      <c r="I954" s="5">
        <v>57.800377566556314</v>
      </c>
    </row>
    <row r="955" spans="1:9" x14ac:dyDescent="0.2">
      <c r="A955" s="5" t="s">
        <v>78</v>
      </c>
      <c r="B955" s="5" t="s">
        <v>44</v>
      </c>
      <c r="C955" s="5" t="s">
        <v>62</v>
      </c>
      <c r="D955" s="5">
        <v>886512</v>
      </c>
      <c r="E955" s="5">
        <v>4918</v>
      </c>
      <c r="F955" s="5">
        <v>54591036</v>
      </c>
      <c r="G955" s="5">
        <v>0.55475842402584508</v>
      </c>
      <c r="H955" s="5">
        <v>11100.251321675478</v>
      </c>
      <c r="I955" s="5">
        <v>61.579579295034925</v>
      </c>
    </row>
    <row r="956" spans="1:9" x14ac:dyDescent="0.2">
      <c r="A956" s="5" t="s">
        <v>78</v>
      </c>
      <c r="B956" s="5" t="s">
        <v>63</v>
      </c>
      <c r="C956" s="5" t="s">
        <v>45</v>
      </c>
      <c r="D956" s="5">
        <v>837131</v>
      </c>
      <c r="E956" s="5">
        <v>30028</v>
      </c>
      <c r="F956" s="5">
        <v>58908231</v>
      </c>
      <c r="G956" s="5">
        <v>3.5870132631571403</v>
      </c>
      <c r="H956" s="5">
        <v>1961.7767084054883</v>
      </c>
      <c r="I956" s="5">
        <v>70.369190724032435</v>
      </c>
    </row>
    <row r="957" spans="1:9" x14ac:dyDescent="0.2">
      <c r="A957" s="5" t="s">
        <v>78</v>
      </c>
      <c r="B957" s="5" t="s">
        <v>63</v>
      </c>
      <c r="C957" s="5" t="s">
        <v>46</v>
      </c>
      <c r="D957" s="5">
        <v>844053</v>
      </c>
      <c r="E957" s="5">
        <v>27899</v>
      </c>
      <c r="F957" s="5">
        <v>55845476</v>
      </c>
      <c r="G957" s="5">
        <v>3.3053611562307106</v>
      </c>
      <c r="H957" s="5">
        <v>2001.7017097387004</v>
      </c>
      <c r="I957" s="5">
        <v>66.163470777309001</v>
      </c>
    </row>
    <row r="958" spans="1:9" x14ac:dyDescent="0.2">
      <c r="A958" s="5" t="s">
        <v>78</v>
      </c>
      <c r="B958" s="5" t="s">
        <v>63</v>
      </c>
      <c r="C958" s="5" t="s">
        <v>47</v>
      </c>
      <c r="D958" s="5">
        <v>851875</v>
      </c>
      <c r="E958" s="5">
        <v>27603</v>
      </c>
      <c r="F958" s="5">
        <v>56005967</v>
      </c>
      <c r="G958" s="5">
        <v>3.24026412325752</v>
      </c>
      <c r="H958" s="5">
        <v>2028.9811614679563</v>
      </c>
      <c r="I958" s="5">
        <v>65.744348642699933</v>
      </c>
    </row>
    <row r="959" spans="1:9" x14ac:dyDescent="0.2">
      <c r="A959" s="5" t="s">
        <v>78</v>
      </c>
      <c r="B959" s="5" t="s">
        <v>63</v>
      </c>
      <c r="C959" s="5" t="s">
        <v>48</v>
      </c>
      <c r="D959" s="5">
        <v>858552</v>
      </c>
      <c r="E959" s="5">
        <v>27925</v>
      </c>
      <c r="F959" s="5">
        <v>57042100</v>
      </c>
      <c r="G959" s="5">
        <v>3.2525694425031912</v>
      </c>
      <c r="H959" s="5">
        <v>2042.6893464637421</v>
      </c>
      <c r="I959" s="5">
        <v>66.439889488347816</v>
      </c>
    </row>
    <row r="960" spans="1:9" x14ac:dyDescent="0.2">
      <c r="A960" s="5" t="s">
        <v>78</v>
      </c>
      <c r="B960" s="5" t="s">
        <v>63</v>
      </c>
      <c r="C960" s="5" t="s">
        <v>49</v>
      </c>
      <c r="D960" s="5">
        <v>861953</v>
      </c>
      <c r="E960" s="5">
        <v>27516</v>
      </c>
      <c r="F960" s="5">
        <v>56462078</v>
      </c>
      <c r="G960" s="5">
        <v>3.1922854262355371</v>
      </c>
      <c r="H960" s="5">
        <v>2051.9725977613025</v>
      </c>
      <c r="I960" s="5">
        <v>65.504822188680819</v>
      </c>
    </row>
    <row r="961" spans="1:9" x14ac:dyDescent="0.2">
      <c r="A961" s="5" t="s">
        <v>78</v>
      </c>
      <c r="B961" s="5" t="s">
        <v>63</v>
      </c>
      <c r="C961" s="5" t="s">
        <v>50</v>
      </c>
      <c r="D961" s="5">
        <v>862418</v>
      </c>
      <c r="E961" s="5">
        <v>27357</v>
      </c>
      <c r="F961" s="5">
        <v>57254914</v>
      </c>
      <c r="G961" s="5">
        <v>3.1721276689493956</v>
      </c>
      <c r="H961" s="5">
        <v>2092.8798479365428</v>
      </c>
      <c r="I961" s="5">
        <v>66.388820734261117</v>
      </c>
    </row>
    <row r="962" spans="1:9" x14ac:dyDescent="0.2">
      <c r="A962" s="5" t="s">
        <v>78</v>
      </c>
      <c r="B962" s="5" t="s">
        <v>63</v>
      </c>
      <c r="C962" s="5" t="s">
        <v>51</v>
      </c>
      <c r="D962" s="5">
        <v>861034</v>
      </c>
      <c r="E962" s="5">
        <v>27118</v>
      </c>
      <c r="F962" s="5">
        <v>57181303</v>
      </c>
      <c r="G962" s="5">
        <v>3.1494691266546964</v>
      </c>
      <c r="H962" s="5">
        <v>2108.6106276274063</v>
      </c>
      <c r="I962" s="5">
        <v>66.410040718484979</v>
      </c>
    </row>
    <row r="963" spans="1:9" x14ac:dyDescent="0.2">
      <c r="A963" s="5" t="s">
        <v>78</v>
      </c>
      <c r="B963" s="5" t="s">
        <v>63</v>
      </c>
      <c r="C963" s="5" t="s">
        <v>52</v>
      </c>
      <c r="D963" s="5">
        <v>859762</v>
      </c>
      <c r="E963" s="5">
        <v>26511</v>
      </c>
      <c r="F963" s="5">
        <v>56793770</v>
      </c>
      <c r="G963" s="5">
        <v>3.0835277669866779</v>
      </c>
      <c r="H963" s="5">
        <v>2142.2718871411867</v>
      </c>
      <c r="I963" s="5">
        <v>66.05754848434799</v>
      </c>
    </row>
    <row r="964" spans="1:9" x14ac:dyDescent="0.2">
      <c r="A964" s="5" t="s">
        <v>78</v>
      </c>
      <c r="B964" s="5" t="s">
        <v>63</v>
      </c>
      <c r="C964" s="5" t="s">
        <v>53</v>
      </c>
      <c r="D964" s="5">
        <v>859523</v>
      </c>
      <c r="E964" s="5">
        <v>26341</v>
      </c>
      <c r="F964" s="5">
        <v>57119333</v>
      </c>
      <c r="G964" s="5">
        <v>3.0646067644495845</v>
      </c>
      <c r="H964" s="5">
        <v>2168.4572719334878</v>
      </c>
      <c r="I964" s="5">
        <v>66.454688239872581</v>
      </c>
    </row>
    <row r="965" spans="1:9" x14ac:dyDescent="0.2">
      <c r="A965" s="5" t="s">
        <v>78</v>
      </c>
      <c r="B965" s="5" t="s">
        <v>63</v>
      </c>
      <c r="C965" s="5" t="s">
        <v>54</v>
      </c>
      <c r="D965" s="5">
        <v>860311</v>
      </c>
      <c r="E965" s="5">
        <v>26811</v>
      </c>
      <c r="F965" s="5">
        <v>57697583</v>
      </c>
      <c r="G965" s="5">
        <v>3.1164311510604885</v>
      </c>
      <c r="H965" s="5">
        <v>2152.0115997165344</v>
      </c>
      <c r="I965" s="5">
        <v>67.065959868001229</v>
      </c>
    </row>
    <row r="966" spans="1:9" x14ac:dyDescent="0.2">
      <c r="A966" s="5" t="s">
        <v>78</v>
      </c>
      <c r="B966" s="5" t="s">
        <v>63</v>
      </c>
      <c r="C966" s="5" t="s">
        <v>55</v>
      </c>
      <c r="D966" s="5">
        <v>861987</v>
      </c>
      <c r="E966" s="5">
        <v>26747</v>
      </c>
      <c r="F966" s="5">
        <v>57408390</v>
      </c>
      <c r="G966" s="5">
        <v>3.1029470282034417</v>
      </c>
      <c r="H966" s="5">
        <v>2146.3487493924554</v>
      </c>
      <c r="I966" s="5">
        <v>66.600064734154927</v>
      </c>
    </row>
    <row r="967" spans="1:9" x14ac:dyDescent="0.2">
      <c r="A967" s="5" t="s">
        <v>78</v>
      </c>
      <c r="B967" s="5" t="s">
        <v>63</v>
      </c>
      <c r="C967" s="5" t="s">
        <v>56</v>
      </c>
      <c r="D967" s="5">
        <v>863679</v>
      </c>
      <c r="E967" s="5">
        <v>26752</v>
      </c>
      <c r="F967" s="5">
        <v>57153579</v>
      </c>
      <c r="G967" s="5">
        <v>3.0974470839281723</v>
      </c>
      <c r="H967" s="5">
        <v>2136.4226599880385</v>
      </c>
      <c r="I967" s="5">
        <v>66.174561382180187</v>
      </c>
    </row>
    <row r="968" spans="1:9" x14ac:dyDescent="0.2">
      <c r="A968" s="5" t="s">
        <v>78</v>
      </c>
      <c r="B968" s="5" t="s">
        <v>63</v>
      </c>
      <c r="C968" s="5" t="s">
        <v>57</v>
      </c>
      <c r="D968" s="5">
        <v>865698</v>
      </c>
      <c r="E968" s="5">
        <v>26473</v>
      </c>
      <c r="F968" s="5">
        <v>56311600</v>
      </c>
      <c r="G968" s="5">
        <v>3.0579948203646077</v>
      </c>
      <c r="H968" s="5">
        <v>2127.1333056321537</v>
      </c>
      <c r="I968" s="5">
        <v>65.047626308481711</v>
      </c>
    </row>
    <row r="969" spans="1:9" x14ac:dyDescent="0.2">
      <c r="A969" s="5" t="s">
        <v>78</v>
      </c>
      <c r="B969" s="5" t="s">
        <v>63</v>
      </c>
      <c r="C969" s="5" t="s">
        <v>58</v>
      </c>
      <c r="D969" s="5">
        <v>868421</v>
      </c>
      <c r="E969" s="5">
        <v>25958</v>
      </c>
      <c r="F969" s="5">
        <v>55065244</v>
      </c>
      <c r="G969" s="5">
        <v>2.9891032114608005</v>
      </c>
      <c r="H969" s="5">
        <v>2121.3207489020724</v>
      </c>
      <c r="I969" s="5">
        <v>63.408466630816157</v>
      </c>
    </row>
    <row r="970" spans="1:9" x14ac:dyDescent="0.2">
      <c r="A970" s="5" t="s">
        <v>78</v>
      </c>
      <c r="B970" s="5" t="s">
        <v>63</v>
      </c>
      <c r="C970" s="5" t="s">
        <v>59</v>
      </c>
      <c r="D970" s="5">
        <v>871975</v>
      </c>
      <c r="E970" s="5">
        <v>25746</v>
      </c>
      <c r="F970" s="5">
        <v>55300118</v>
      </c>
      <c r="G970" s="5">
        <v>2.9526075862266694</v>
      </c>
      <c r="H970" s="5">
        <v>2147.9110541443333</v>
      </c>
      <c r="I970" s="5">
        <v>63.419384730066803</v>
      </c>
    </row>
    <row r="971" spans="1:9" x14ac:dyDescent="0.2">
      <c r="A971" s="5" t="s">
        <v>78</v>
      </c>
      <c r="B971" s="5" t="s">
        <v>63</v>
      </c>
      <c r="C971" s="5" t="s">
        <v>60</v>
      </c>
      <c r="D971" s="5">
        <v>876454</v>
      </c>
      <c r="E971" s="5">
        <v>25708</v>
      </c>
      <c r="F971" s="5">
        <v>55639747</v>
      </c>
      <c r="G971" s="5">
        <v>2.9331830307123932</v>
      </c>
      <c r="H971" s="5">
        <v>2164.2969892640422</v>
      </c>
      <c r="I971" s="5">
        <v>63.482792023312122</v>
      </c>
    </row>
    <row r="972" spans="1:9" x14ac:dyDescent="0.2">
      <c r="A972" s="5" t="s">
        <v>78</v>
      </c>
      <c r="B972" s="5" t="s">
        <v>63</v>
      </c>
      <c r="C972" s="5" t="s">
        <v>61</v>
      </c>
      <c r="D972" s="5">
        <v>881434</v>
      </c>
      <c r="E972" s="5">
        <v>25661</v>
      </c>
      <c r="F972" s="5">
        <v>55791273</v>
      </c>
      <c r="G972" s="5">
        <v>2.9112786663550532</v>
      </c>
      <c r="H972" s="5">
        <v>2174.1659717080393</v>
      </c>
      <c r="I972" s="5">
        <v>63.296030105487198</v>
      </c>
    </row>
    <row r="973" spans="1:9" x14ac:dyDescent="0.2">
      <c r="A973" s="5" t="s">
        <v>78</v>
      </c>
      <c r="B973" s="5" t="s">
        <v>63</v>
      </c>
      <c r="C973" s="5" t="s">
        <v>62</v>
      </c>
      <c r="D973" s="5">
        <v>886512</v>
      </c>
      <c r="E973" s="5">
        <v>25522</v>
      </c>
      <c r="F973" s="5">
        <v>56584090</v>
      </c>
      <c r="G973" s="5">
        <v>2.8789232407457543</v>
      </c>
      <c r="H973" s="5">
        <v>2217.0711542982526</v>
      </c>
      <c r="I973" s="5">
        <v>63.827776724962547</v>
      </c>
    </row>
    <row r="974" spans="1:9" x14ac:dyDescent="0.2">
      <c r="A974" s="5" t="s">
        <v>78</v>
      </c>
      <c r="B974" s="5" t="s">
        <v>64</v>
      </c>
      <c r="C974" s="5" t="s">
        <v>45</v>
      </c>
      <c r="D974" s="5">
        <v>730757</v>
      </c>
      <c r="E974" s="5">
        <v>93052</v>
      </c>
      <c r="F974" s="5">
        <v>116710925</v>
      </c>
      <c r="G974" s="5">
        <v>12.733644699948137</v>
      </c>
      <c r="H974" s="5">
        <v>1254.2548789923912</v>
      </c>
      <c r="I974" s="5">
        <v>159.71235992265554</v>
      </c>
    </row>
    <row r="975" spans="1:9" x14ac:dyDescent="0.2">
      <c r="A975" s="5" t="s">
        <v>78</v>
      </c>
      <c r="B975" s="5" t="s">
        <v>64</v>
      </c>
      <c r="C975" s="5" t="s">
        <v>46</v>
      </c>
      <c r="D975" s="5">
        <v>736206</v>
      </c>
      <c r="E975" s="5">
        <v>93990</v>
      </c>
      <c r="F975" s="5">
        <v>118962739</v>
      </c>
      <c r="G975" s="5">
        <v>12.766807116486419</v>
      </c>
      <c r="H975" s="5">
        <v>1265.6957016703905</v>
      </c>
      <c r="I975" s="5">
        <v>161.58892891391812</v>
      </c>
    </row>
    <row r="976" spans="1:9" x14ac:dyDescent="0.2">
      <c r="A976" s="5" t="s">
        <v>78</v>
      </c>
      <c r="B976" s="5" t="s">
        <v>64</v>
      </c>
      <c r="C976" s="5" t="s">
        <v>47</v>
      </c>
      <c r="D976" s="5">
        <v>742743</v>
      </c>
      <c r="E976" s="5">
        <v>72705</v>
      </c>
      <c r="F976" s="5">
        <v>72880425</v>
      </c>
      <c r="G976" s="5">
        <v>9.7887156122642693</v>
      </c>
      <c r="H976" s="5">
        <v>1002.4128326800083</v>
      </c>
      <c r="I976" s="5">
        <v>98.123341451888479</v>
      </c>
    </row>
    <row r="977" spans="1:9" x14ac:dyDescent="0.2">
      <c r="A977" s="5" t="s">
        <v>78</v>
      </c>
      <c r="B977" s="5" t="s">
        <v>64</v>
      </c>
      <c r="C977" s="5" t="s">
        <v>48</v>
      </c>
      <c r="D977" s="5">
        <v>749096</v>
      </c>
      <c r="E977" s="5">
        <v>70159</v>
      </c>
      <c r="F977" s="5">
        <v>67566942</v>
      </c>
      <c r="G977" s="5">
        <v>9.3658222711107797</v>
      </c>
      <c r="H977" s="5">
        <v>963.05451902108064</v>
      </c>
      <c r="I977" s="5">
        <v>90.197974625415171</v>
      </c>
    </row>
    <row r="978" spans="1:9" x14ac:dyDescent="0.2">
      <c r="A978" s="5" t="s">
        <v>78</v>
      </c>
      <c r="B978" s="5" t="s">
        <v>64</v>
      </c>
      <c r="C978" s="5" t="s">
        <v>49</v>
      </c>
      <c r="D978" s="5">
        <v>752665</v>
      </c>
      <c r="E978" s="5">
        <v>67528</v>
      </c>
      <c r="F978" s="5">
        <v>64704554</v>
      </c>
      <c r="G978" s="5">
        <v>8.9718533477709208</v>
      </c>
      <c r="H978" s="5">
        <v>958.1885143940292</v>
      </c>
      <c r="I978" s="5">
        <v>85.967268306617157</v>
      </c>
    </row>
    <row r="979" spans="1:9" x14ac:dyDescent="0.2">
      <c r="A979" s="5" t="s">
        <v>78</v>
      </c>
      <c r="B979" s="5" t="s">
        <v>64</v>
      </c>
      <c r="C979" s="5" t="s">
        <v>50</v>
      </c>
      <c r="D979" s="5">
        <v>753452</v>
      </c>
      <c r="E979" s="5">
        <v>65581</v>
      </c>
      <c r="F979" s="5">
        <v>63619284</v>
      </c>
      <c r="G979" s="5">
        <v>8.7040713940635897</v>
      </c>
      <c r="H979" s="5">
        <v>970.08712889403944</v>
      </c>
      <c r="I979" s="5">
        <v>84.437076283558866</v>
      </c>
    </row>
    <row r="980" spans="1:9" x14ac:dyDescent="0.2">
      <c r="A980" s="5" t="s">
        <v>78</v>
      </c>
      <c r="B980" s="5" t="s">
        <v>64</v>
      </c>
      <c r="C980" s="5" t="s">
        <v>51</v>
      </c>
      <c r="D980" s="5">
        <v>752155</v>
      </c>
      <c r="E980" s="5">
        <v>69880</v>
      </c>
      <c r="F980" s="5">
        <v>74194035</v>
      </c>
      <c r="G980" s="5">
        <v>9.2906382328110571</v>
      </c>
      <c r="H980" s="5">
        <v>1061.7349026903262</v>
      </c>
      <c r="I980" s="5">
        <v>98.641948800446713</v>
      </c>
    </row>
    <row r="981" spans="1:9" x14ac:dyDescent="0.2">
      <c r="A981" s="5" t="s">
        <v>78</v>
      </c>
      <c r="B981" s="5" t="s">
        <v>64</v>
      </c>
      <c r="C981" s="5" t="s">
        <v>52</v>
      </c>
      <c r="D981" s="5">
        <v>750055</v>
      </c>
      <c r="E981" s="5">
        <v>68616</v>
      </c>
      <c r="F981" s="5">
        <v>73576518</v>
      </c>
      <c r="G981" s="5">
        <v>9.1481291371966051</v>
      </c>
      <c r="H981" s="5">
        <v>1072.2938964672962</v>
      </c>
      <c r="I981" s="5">
        <v>98.094830379105531</v>
      </c>
    </row>
    <row r="982" spans="1:9" x14ac:dyDescent="0.2">
      <c r="A982" s="5" t="s">
        <v>78</v>
      </c>
      <c r="B982" s="5" t="s">
        <v>64</v>
      </c>
      <c r="C982" s="5" t="s">
        <v>53</v>
      </c>
      <c r="D982" s="5">
        <v>748300</v>
      </c>
      <c r="E982" s="5">
        <v>66368</v>
      </c>
      <c r="F982" s="5">
        <v>70649453</v>
      </c>
      <c r="G982" s="5">
        <v>8.8691701189362551</v>
      </c>
      <c r="H982" s="5">
        <v>1064.5108033992285</v>
      </c>
      <c r="I982" s="5">
        <v>94.413274087932649</v>
      </c>
    </row>
    <row r="983" spans="1:9" x14ac:dyDescent="0.2">
      <c r="A983" s="5" t="s">
        <v>78</v>
      </c>
      <c r="B983" s="5" t="s">
        <v>64</v>
      </c>
      <c r="C983" s="5" t="s">
        <v>54</v>
      </c>
      <c r="D983" s="5">
        <v>747164</v>
      </c>
      <c r="E983" s="5">
        <v>66164</v>
      </c>
      <c r="F983" s="5">
        <v>70251167</v>
      </c>
      <c r="G983" s="5">
        <v>8.8553517032405207</v>
      </c>
      <c r="H983" s="5">
        <v>1061.7732754972492</v>
      </c>
      <c r="I983" s="5">
        <v>94.023757836298316</v>
      </c>
    </row>
    <row r="984" spans="1:9" x14ac:dyDescent="0.2">
      <c r="A984" s="5" t="s">
        <v>78</v>
      </c>
      <c r="B984" s="5" t="s">
        <v>64</v>
      </c>
      <c r="C984" s="5" t="s">
        <v>55</v>
      </c>
      <c r="D984" s="5">
        <v>746426</v>
      </c>
      <c r="E984" s="5">
        <v>63479</v>
      </c>
      <c r="F984" s="5">
        <v>66880216</v>
      </c>
      <c r="G984" s="5">
        <v>8.5043929337938398</v>
      </c>
      <c r="H984" s="5">
        <v>1053.5801761212369</v>
      </c>
      <c r="I984" s="5">
        <v>89.600598049907163</v>
      </c>
    </row>
    <row r="985" spans="1:9" x14ac:dyDescent="0.2">
      <c r="A985" s="5" t="s">
        <v>78</v>
      </c>
      <c r="B985" s="5" t="s">
        <v>64</v>
      </c>
      <c r="C985" s="5" t="s">
        <v>56</v>
      </c>
      <c r="D985" s="5">
        <v>745704</v>
      </c>
      <c r="E985" s="5">
        <v>59492</v>
      </c>
      <c r="F985" s="5">
        <v>61203636</v>
      </c>
      <c r="G985" s="5">
        <v>7.9779644470191924</v>
      </c>
      <c r="H985" s="5">
        <v>1028.7708599475559</v>
      </c>
      <c r="I985" s="5">
        <v>82.074973447909628</v>
      </c>
    </row>
    <row r="986" spans="1:9" x14ac:dyDescent="0.2">
      <c r="A986" s="5" t="s">
        <v>78</v>
      </c>
      <c r="B986" s="5" t="s">
        <v>64</v>
      </c>
      <c r="C986" s="5" t="s">
        <v>57</v>
      </c>
      <c r="D986" s="5">
        <v>745402</v>
      </c>
      <c r="E986" s="5">
        <v>59138</v>
      </c>
      <c r="F986" s="5">
        <v>62336051</v>
      </c>
      <c r="G986" s="5">
        <v>7.9337055709536601</v>
      </c>
      <c r="H986" s="5">
        <v>1054.0777672562481</v>
      </c>
      <c r="I986" s="5">
        <v>83.627426542992907</v>
      </c>
    </row>
    <row r="987" spans="1:9" x14ac:dyDescent="0.2">
      <c r="A987" s="5" t="s">
        <v>78</v>
      </c>
      <c r="B987" s="5" t="s">
        <v>64</v>
      </c>
      <c r="C987" s="5" t="s">
        <v>58</v>
      </c>
      <c r="D987" s="5">
        <v>745902</v>
      </c>
      <c r="E987" s="5">
        <v>59084</v>
      </c>
      <c r="F987" s="5">
        <v>62613626</v>
      </c>
      <c r="G987" s="5">
        <v>7.9211478183461095</v>
      </c>
      <c r="H987" s="5">
        <v>1059.7391171890868</v>
      </c>
      <c r="I987" s="5">
        <v>83.94350196138366</v>
      </c>
    </row>
    <row r="988" spans="1:9" x14ac:dyDescent="0.2">
      <c r="A988" s="5" t="s">
        <v>78</v>
      </c>
      <c r="B988" s="5" t="s">
        <v>64</v>
      </c>
      <c r="C988" s="5" t="s">
        <v>59</v>
      </c>
      <c r="D988" s="5">
        <v>747356</v>
      </c>
      <c r="E988" s="5">
        <v>51171</v>
      </c>
      <c r="F988" s="5">
        <v>48803797</v>
      </c>
      <c r="G988" s="5">
        <v>6.8469377378384602</v>
      </c>
      <c r="H988" s="5">
        <v>953.73936409294322</v>
      </c>
      <c r="I988" s="5">
        <v>65.301940440700278</v>
      </c>
    </row>
    <row r="989" spans="1:9" x14ac:dyDescent="0.2">
      <c r="A989" s="5" t="s">
        <v>78</v>
      </c>
      <c r="B989" s="5" t="s">
        <v>64</v>
      </c>
      <c r="C989" s="5" t="s">
        <v>60</v>
      </c>
      <c r="D989" s="5">
        <v>750007</v>
      </c>
      <c r="E989" s="5">
        <v>49153</v>
      </c>
      <c r="F989" s="5">
        <v>46257810</v>
      </c>
      <c r="G989" s="5">
        <v>6.5536721657264536</v>
      </c>
      <c r="H989" s="5">
        <v>941.0984070148312</v>
      </c>
      <c r="I989" s="5">
        <v>61.67650435262604</v>
      </c>
    </row>
    <row r="990" spans="1:9" x14ac:dyDescent="0.2">
      <c r="A990" s="5" t="s">
        <v>78</v>
      </c>
      <c r="B990" s="5" t="s">
        <v>64</v>
      </c>
      <c r="C990" s="5" t="s">
        <v>61</v>
      </c>
      <c r="D990" s="5">
        <v>753157</v>
      </c>
      <c r="E990" s="5">
        <v>47866</v>
      </c>
      <c r="F990" s="5">
        <v>45268575</v>
      </c>
      <c r="G990" s="5">
        <v>6.3553814144992344</v>
      </c>
      <c r="H990" s="5">
        <v>945.73549074499647</v>
      </c>
      <c r="I990" s="5">
        <v>60.105097609130631</v>
      </c>
    </row>
    <row r="991" spans="1:9" x14ac:dyDescent="0.2">
      <c r="A991" s="5" t="s">
        <v>78</v>
      </c>
      <c r="B991" s="5" t="s">
        <v>64</v>
      </c>
      <c r="C991" s="5" t="s">
        <v>62</v>
      </c>
      <c r="D991" s="5">
        <v>756298</v>
      </c>
      <c r="E991" s="5">
        <v>46297</v>
      </c>
      <c r="F991" s="5">
        <v>46154377</v>
      </c>
      <c r="G991" s="5">
        <v>6.1215288153611409</v>
      </c>
      <c r="H991" s="5">
        <v>996.91939002527158</v>
      </c>
      <c r="I991" s="5">
        <v>61.026707726319522</v>
      </c>
    </row>
    <row r="992" spans="1:9" x14ac:dyDescent="0.2">
      <c r="A992" s="5" t="s">
        <v>78</v>
      </c>
      <c r="B992" s="5" t="s">
        <v>65</v>
      </c>
      <c r="C992" s="5" t="s">
        <v>45</v>
      </c>
      <c r="D992" s="5">
        <v>700829</v>
      </c>
      <c r="E992" s="5">
        <v>42792</v>
      </c>
      <c r="F992" s="5">
        <v>81570285</v>
      </c>
      <c r="G992" s="5">
        <v>6.1059117131283092</v>
      </c>
      <c r="H992" s="5">
        <v>1906.2040802019069</v>
      </c>
      <c r="I992" s="5">
        <v>116.39113820917798</v>
      </c>
    </row>
    <row r="993" spans="1:9" x14ac:dyDescent="0.2">
      <c r="A993" s="5" t="s">
        <v>78</v>
      </c>
      <c r="B993" s="5" t="s">
        <v>65</v>
      </c>
      <c r="C993" s="5" t="s">
        <v>46</v>
      </c>
      <c r="D993" s="5">
        <v>706551</v>
      </c>
      <c r="E993" s="5">
        <v>39447</v>
      </c>
      <c r="F993" s="5">
        <v>75901463</v>
      </c>
      <c r="G993" s="5">
        <v>5.5830364687050196</v>
      </c>
      <c r="H993" s="5">
        <v>1924.1377798058154</v>
      </c>
      <c r="I993" s="5">
        <v>107.42531395468976</v>
      </c>
    </row>
    <row r="994" spans="1:9" x14ac:dyDescent="0.2">
      <c r="A994" s="5" t="s">
        <v>78</v>
      </c>
      <c r="B994" s="5" t="s">
        <v>65</v>
      </c>
      <c r="C994" s="5" t="s">
        <v>47</v>
      </c>
      <c r="D994" s="5">
        <v>713339</v>
      </c>
      <c r="E994" s="5">
        <v>38724</v>
      </c>
      <c r="F994" s="5">
        <v>77190699</v>
      </c>
      <c r="G994" s="5">
        <v>5.4285550068060209</v>
      </c>
      <c r="H994" s="5">
        <v>1993.3555159590951</v>
      </c>
      <c r="I994" s="5">
        <v>108.21040066504145</v>
      </c>
    </row>
    <row r="995" spans="1:9" x14ac:dyDescent="0.2">
      <c r="A995" s="5" t="s">
        <v>78</v>
      </c>
      <c r="B995" s="5" t="s">
        <v>65</v>
      </c>
      <c r="C995" s="5" t="s">
        <v>48</v>
      </c>
      <c r="D995" s="5">
        <v>719956</v>
      </c>
      <c r="E995" s="5">
        <v>38526</v>
      </c>
      <c r="F995" s="5">
        <v>77648028</v>
      </c>
      <c r="G995" s="5">
        <v>5.3511603486879755</v>
      </c>
      <c r="H995" s="5">
        <v>2015.4707989409749</v>
      </c>
      <c r="I995" s="5">
        <v>107.8510742323142</v>
      </c>
    </row>
    <row r="996" spans="1:9" x14ac:dyDescent="0.2">
      <c r="A996" s="5" t="s">
        <v>78</v>
      </c>
      <c r="B996" s="5" t="s">
        <v>65</v>
      </c>
      <c r="C996" s="5" t="s">
        <v>49</v>
      </c>
      <c r="D996" s="5">
        <v>723945</v>
      </c>
      <c r="E996" s="5">
        <v>38272</v>
      </c>
      <c r="F996" s="5">
        <v>80263741</v>
      </c>
      <c r="G996" s="5">
        <v>5.2865894508560736</v>
      </c>
      <c r="H996" s="5">
        <v>2097.1922293060202</v>
      </c>
      <c r="I996" s="5">
        <v>110.86994315866536</v>
      </c>
    </row>
    <row r="997" spans="1:9" x14ac:dyDescent="0.2">
      <c r="A997" s="5" t="s">
        <v>78</v>
      </c>
      <c r="B997" s="5" t="s">
        <v>65</v>
      </c>
      <c r="C997" s="5" t="s">
        <v>50</v>
      </c>
      <c r="D997" s="5">
        <v>725244</v>
      </c>
      <c r="E997" s="5">
        <v>37550</v>
      </c>
      <c r="F997" s="5">
        <v>80661168</v>
      </c>
      <c r="G997" s="5">
        <v>5.1775678254490902</v>
      </c>
      <c r="H997" s="5">
        <v>2148.1003462050599</v>
      </c>
      <c r="I997" s="5">
        <v>111.21935238347371</v>
      </c>
    </row>
    <row r="998" spans="1:9" x14ac:dyDescent="0.2">
      <c r="A998" s="5" t="s">
        <v>78</v>
      </c>
      <c r="B998" s="5" t="s">
        <v>65</v>
      </c>
      <c r="C998" s="5" t="s">
        <v>51</v>
      </c>
      <c r="D998" s="5">
        <v>724481</v>
      </c>
      <c r="E998" s="5">
        <v>36419</v>
      </c>
      <c r="F998" s="5">
        <v>79846999</v>
      </c>
      <c r="G998" s="5">
        <v>5.0269089182463036</v>
      </c>
      <c r="H998" s="5">
        <v>2192.4544605837614</v>
      </c>
      <c r="I998" s="5">
        <v>110.21268880757397</v>
      </c>
    </row>
    <row r="999" spans="1:9" x14ac:dyDescent="0.2">
      <c r="A999" s="5" t="s">
        <v>78</v>
      </c>
      <c r="B999" s="5" t="s">
        <v>65</v>
      </c>
      <c r="C999" s="5" t="s">
        <v>52</v>
      </c>
      <c r="D999" s="5">
        <v>722989</v>
      </c>
      <c r="E999" s="5">
        <v>35360</v>
      </c>
      <c r="F999" s="5">
        <v>78960197</v>
      </c>
      <c r="G999" s="5">
        <v>4.890807467333528</v>
      </c>
      <c r="H999" s="5">
        <v>2233.0372454751132</v>
      </c>
      <c r="I999" s="5">
        <v>109.21355235003576</v>
      </c>
    </row>
    <row r="1000" spans="1:9" x14ac:dyDescent="0.2">
      <c r="A1000" s="5" t="s">
        <v>78</v>
      </c>
      <c r="B1000" s="5" t="s">
        <v>65</v>
      </c>
      <c r="C1000" s="5" t="s">
        <v>53</v>
      </c>
      <c r="D1000" s="5">
        <v>721962</v>
      </c>
      <c r="E1000" s="5">
        <v>34312</v>
      </c>
      <c r="F1000" s="5">
        <v>77291646</v>
      </c>
      <c r="G1000" s="5">
        <v>4.7526047077269995</v>
      </c>
      <c r="H1000" s="5">
        <v>2252.6126719515037</v>
      </c>
      <c r="I1000" s="5">
        <v>107.05777589402213</v>
      </c>
    </row>
    <row r="1001" spans="1:9" x14ac:dyDescent="0.2">
      <c r="A1001" s="5" t="s">
        <v>78</v>
      </c>
      <c r="B1001" s="5" t="s">
        <v>65</v>
      </c>
      <c r="C1001" s="5" t="s">
        <v>54</v>
      </c>
      <c r="D1001" s="5">
        <v>721631</v>
      </c>
      <c r="E1001" s="5">
        <v>34629</v>
      </c>
      <c r="F1001" s="5">
        <v>79405781</v>
      </c>
      <c r="G1001" s="5">
        <v>4.798712915603681</v>
      </c>
      <c r="H1001" s="5">
        <v>2293.042854255104</v>
      </c>
      <c r="I1001" s="5">
        <v>110.03654360746697</v>
      </c>
    </row>
    <row r="1002" spans="1:9" x14ac:dyDescent="0.2">
      <c r="A1002" s="5" t="s">
        <v>78</v>
      </c>
      <c r="B1002" s="5" t="s">
        <v>65</v>
      </c>
      <c r="C1002" s="5" t="s">
        <v>55</v>
      </c>
      <c r="D1002" s="5">
        <v>721783</v>
      </c>
      <c r="E1002" s="5">
        <v>34202</v>
      </c>
      <c r="F1002" s="5">
        <v>77935272</v>
      </c>
      <c r="G1002" s="5">
        <v>4.7385433017956924</v>
      </c>
      <c r="H1002" s="5">
        <v>2278.6758669083679</v>
      </c>
      <c r="I1002" s="5">
        <v>107.97604266102138</v>
      </c>
    </row>
    <row r="1003" spans="1:9" x14ac:dyDescent="0.2">
      <c r="A1003" s="5" t="s">
        <v>78</v>
      </c>
      <c r="B1003" s="5" t="s">
        <v>65</v>
      </c>
      <c r="C1003" s="5" t="s">
        <v>56</v>
      </c>
      <c r="D1003" s="5">
        <v>721982</v>
      </c>
      <c r="E1003" s="5">
        <v>33907</v>
      </c>
      <c r="F1003" s="5">
        <v>77666399</v>
      </c>
      <c r="G1003" s="5">
        <v>4.6963774720145377</v>
      </c>
      <c r="H1003" s="5">
        <v>2290.5712389772025</v>
      </c>
      <c r="I1003" s="5">
        <v>107.57387164776961</v>
      </c>
    </row>
    <row r="1004" spans="1:9" x14ac:dyDescent="0.2">
      <c r="A1004" s="5" t="s">
        <v>78</v>
      </c>
      <c r="B1004" s="5" t="s">
        <v>65</v>
      </c>
      <c r="C1004" s="5" t="s">
        <v>57</v>
      </c>
      <c r="D1004" s="5">
        <v>722560</v>
      </c>
      <c r="E1004" s="5">
        <v>33382</v>
      </c>
      <c r="F1004" s="5">
        <v>76771339</v>
      </c>
      <c r="G1004" s="5">
        <v>4.6199623560673162</v>
      </c>
      <c r="H1004" s="5">
        <v>2299.7824875681504</v>
      </c>
      <c r="I1004" s="5">
        <v>106.24908519707706</v>
      </c>
    </row>
    <row r="1005" spans="1:9" x14ac:dyDescent="0.2">
      <c r="A1005" s="5" t="s">
        <v>78</v>
      </c>
      <c r="B1005" s="5" t="s">
        <v>65</v>
      </c>
      <c r="C1005" s="5" t="s">
        <v>58</v>
      </c>
      <c r="D1005" s="5">
        <v>723885</v>
      </c>
      <c r="E1005" s="5">
        <v>32658</v>
      </c>
      <c r="F1005" s="5">
        <v>74794288</v>
      </c>
      <c r="G1005" s="5">
        <v>4.5114900847510313</v>
      </c>
      <c r="H1005" s="5">
        <v>2290.228672913222</v>
      </c>
      <c r="I1005" s="5">
        <v>103.32343949660512</v>
      </c>
    </row>
    <row r="1006" spans="1:9" x14ac:dyDescent="0.2">
      <c r="A1006" s="5" t="s">
        <v>78</v>
      </c>
      <c r="B1006" s="5" t="s">
        <v>65</v>
      </c>
      <c r="C1006" s="5" t="s">
        <v>59</v>
      </c>
      <c r="D1006" s="5">
        <v>726073</v>
      </c>
      <c r="E1006" s="5">
        <v>32414</v>
      </c>
      <c r="F1006" s="5">
        <v>75188755</v>
      </c>
      <c r="G1006" s="5">
        <v>4.4642894034070952</v>
      </c>
      <c r="H1006" s="5">
        <v>2319.6382735854877</v>
      </c>
      <c r="I1006" s="5">
        <v>103.55536564505222</v>
      </c>
    </row>
    <row r="1007" spans="1:9" x14ac:dyDescent="0.2">
      <c r="A1007" s="5" t="s">
        <v>78</v>
      </c>
      <c r="B1007" s="5" t="s">
        <v>65</v>
      </c>
      <c r="C1007" s="5" t="s">
        <v>60</v>
      </c>
      <c r="D1007" s="5">
        <v>729309</v>
      </c>
      <c r="E1007" s="5">
        <v>32199</v>
      </c>
      <c r="F1007" s="5">
        <v>76268863</v>
      </c>
      <c r="G1007" s="5">
        <v>4.4150010489381044</v>
      </c>
      <c r="H1007" s="5">
        <v>2368.6717910494117</v>
      </c>
      <c r="I1007" s="5">
        <v>104.5768844207325</v>
      </c>
    </row>
    <row r="1008" spans="1:9" x14ac:dyDescent="0.2">
      <c r="A1008" s="5" t="s">
        <v>78</v>
      </c>
      <c r="B1008" s="5" t="s">
        <v>65</v>
      </c>
      <c r="C1008" s="5" t="s">
        <v>61</v>
      </c>
      <c r="D1008" s="5">
        <v>732956</v>
      </c>
      <c r="E1008" s="5">
        <v>32669</v>
      </c>
      <c r="F1008" s="5">
        <v>78067036</v>
      </c>
      <c r="G1008" s="5">
        <v>4.4571570462619858</v>
      </c>
      <c r="H1008" s="5">
        <v>2389.636536165784</v>
      </c>
      <c r="I1008" s="5">
        <v>106.50985325176408</v>
      </c>
    </row>
    <row r="1009" spans="1:9" x14ac:dyDescent="0.2">
      <c r="A1009" s="5" t="s">
        <v>78</v>
      </c>
      <c r="B1009" s="5" t="s">
        <v>65</v>
      </c>
      <c r="C1009" s="5" t="s">
        <v>62</v>
      </c>
      <c r="D1009" s="5">
        <v>736783</v>
      </c>
      <c r="E1009" s="5">
        <v>31964</v>
      </c>
      <c r="F1009" s="5">
        <v>77596972</v>
      </c>
      <c r="G1009" s="5">
        <v>4.3383194237652063</v>
      </c>
      <c r="H1009" s="5">
        <v>2427.6364660242775</v>
      </c>
      <c r="I1009" s="5">
        <v>105.31862434393845</v>
      </c>
    </row>
    <row r="1010" spans="1:9" x14ac:dyDescent="0.2">
      <c r="A1010" s="5" t="s">
        <v>79</v>
      </c>
      <c r="B1010" s="5" t="s">
        <v>44</v>
      </c>
      <c r="C1010" s="5" t="s">
        <v>45</v>
      </c>
      <c r="D1010" s="5">
        <v>577674</v>
      </c>
      <c r="E1010" s="5">
        <v>5161</v>
      </c>
      <c r="F1010" s="5">
        <v>47642133</v>
      </c>
      <c r="G1010" s="5">
        <v>0.89341047026523612</v>
      </c>
      <c r="H1010" s="5">
        <v>9231.1825227669051</v>
      </c>
      <c r="I1010" s="5">
        <v>82.472351187694102</v>
      </c>
    </row>
    <row r="1011" spans="1:9" x14ac:dyDescent="0.2">
      <c r="A1011" s="5" t="s">
        <v>79</v>
      </c>
      <c r="B1011" s="5" t="s">
        <v>44</v>
      </c>
      <c r="C1011" s="5" t="s">
        <v>46</v>
      </c>
      <c r="D1011" s="5">
        <v>579733</v>
      </c>
      <c r="E1011" s="5">
        <v>5047</v>
      </c>
      <c r="F1011" s="5">
        <v>49350362</v>
      </c>
      <c r="G1011" s="5">
        <v>0.870573177652471</v>
      </c>
      <c r="H1011" s="5">
        <v>9778.1577174559152</v>
      </c>
      <c r="I1011" s="5">
        <v>85.126018356726291</v>
      </c>
    </row>
    <row r="1012" spans="1:9" x14ac:dyDescent="0.2">
      <c r="A1012" s="5" t="s">
        <v>79</v>
      </c>
      <c r="B1012" s="5" t="s">
        <v>44</v>
      </c>
      <c r="C1012" s="5" t="s">
        <v>47</v>
      </c>
      <c r="D1012" s="5">
        <v>581621</v>
      </c>
      <c r="E1012" s="5">
        <v>5136</v>
      </c>
      <c r="F1012" s="5">
        <v>49834205</v>
      </c>
      <c r="G1012" s="5">
        <v>0.88304927091697172</v>
      </c>
      <c r="H1012" s="5">
        <v>9702.9215342679126</v>
      </c>
      <c r="I1012" s="5">
        <v>85.681577865998648</v>
      </c>
    </row>
    <row r="1013" spans="1:9" x14ac:dyDescent="0.2">
      <c r="A1013" s="5" t="s">
        <v>79</v>
      </c>
      <c r="B1013" s="5" t="s">
        <v>44</v>
      </c>
      <c r="C1013" s="5" t="s">
        <v>48</v>
      </c>
      <c r="D1013" s="5">
        <v>582410</v>
      </c>
      <c r="E1013" s="5">
        <v>5115</v>
      </c>
      <c r="F1013" s="5">
        <v>49311894</v>
      </c>
      <c r="G1013" s="5">
        <v>0.87824728284198417</v>
      </c>
      <c r="H1013" s="5">
        <v>9640.6439882697941</v>
      </c>
      <c r="I1013" s="5">
        <v>84.668693875448568</v>
      </c>
    </row>
    <row r="1014" spans="1:9" x14ac:dyDescent="0.2">
      <c r="A1014" s="5" t="s">
        <v>79</v>
      </c>
      <c r="B1014" s="5" t="s">
        <v>44</v>
      </c>
      <c r="C1014" s="5" t="s">
        <v>49</v>
      </c>
      <c r="D1014" s="5">
        <v>582231</v>
      </c>
      <c r="E1014" s="5">
        <v>5010</v>
      </c>
      <c r="F1014" s="5">
        <v>47722101</v>
      </c>
      <c r="G1014" s="5">
        <v>0.86048321027221153</v>
      </c>
      <c r="H1014" s="5">
        <v>9525.3694610778439</v>
      </c>
      <c r="I1014" s="5">
        <v>81.964204928971498</v>
      </c>
    </row>
    <row r="1015" spans="1:9" x14ac:dyDescent="0.2">
      <c r="A1015" s="5" t="s">
        <v>79</v>
      </c>
      <c r="B1015" s="5" t="s">
        <v>44</v>
      </c>
      <c r="C1015" s="5" t="s">
        <v>50</v>
      </c>
      <c r="D1015" s="5">
        <v>581301</v>
      </c>
      <c r="E1015" s="5">
        <v>4931</v>
      </c>
      <c r="F1015" s="5">
        <v>44660843</v>
      </c>
      <c r="G1015" s="5">
        <v>0.84826965719997038</v>
      </c>
      <c r="H1015" s="5">
        <v>9057.1573717298725</v>
      </c>
      <c r="I1015" s="5">
        <v>76.829117789234843</v>
      </c>
    </row>
    <row r="1016" spans="1:9" x14ac:dyDescent="0.2">
      <c r="A1016" s="5" t="s">
        <v>79</v>
      </c>
      <c r="B1016" s="5" t="s">
        <v>44</v>
      </c>
      <c r="C1016" s="5" t="s">
        <v>51</v>
      </c>
      <c r="D1016" s="5">
        <v>580107</v>
      </c>
      <c r="E1016" s="5">
        <v>4826</v>
      </c>
      <c r="F1016" s="5">
        <v>44916499</v>
      </c>
      <c r="G1016" s="5">
        <v>0.83191549145243893</v>
      </c>
      <c r="H1016" s="5">
        <v>9307.1900124326567</v>
      </c>
      <c r="I1016" s="5">
        <v>77.427955532341443</v>
      </c>
    </row>
    <row r="1017" spans="1:9" x14ac:dyDescent="0.2">
      <c r="A1017" s="5" t="s">
        <v>79</v>
      </c>
      <c r="B1017" s="5" t="s">
        <v>44</v>
      </c>
      <c r="C1017" s="5" t="s">
        <v>52</v>
      </c>
      <c r="D1017" s="5">
        <v>579567</v>
      </c>
      <c r="E1017" s="5">
        <v>4823</v>
      </c>
      <c r="F1017" s="5">
        <v>44898534</v>
      </c>
      <c r="G1017" s="5">
        <v>0.83217298431415176</v>
      </c>
      <c r="H1017" s="5">
        <v>9309.2544059713873</v>
      </c>
      <c r="I1017" s="5">
        <v>77.469100207568758</v>
      </c>
    </row>
    <row r="1018" spans="1:9" x14ac:dyDescent="0.2">
      <c r="A1018" s="5" t="s">
        <v>79</v>
      </c>
      <c r="B1018" s="5" t="s">
        <v>44</v>
      </c>
      <c r="C1018" s="5" t="s">
        <v>53</v>
      </c>
      <c r="D1018" s="5">
        <v>580468</v>
      </c>
      <c r="E1018" s="5">
        <v>4870</v>
      </c>
      <c r="F1018" s="5">
        <v>43887854</v>
      </c>
      <c r="G1018" s="5">
        <v>0.83897820379417987</v>
      </c>
      <c r="H1018" s="5">
        <v>9011.8796714579057</v>
      </c>
      <c r="I1018" s="5">
        <v>75.607706195690369</v>
      </c>
    </row>
    <row r="1019" spans="1:9" x14ac:dyDescent="0.2">
      <c r="A1019" s="5" t="s">
        <v>79</v>
      </c>
      <c r="B1019" s="5" t="s">
        <v>44</v>
      </c>
      <c r="C1019" s="5" t="s">
        <v>54</v>
      </c>
      <c r="D1019" s="5">
        <v>582581</v>
      </c>
      <c r="E1019" s="5">
        <v>5035</v>
      </c>
      <c r="F1019" s="5">
        <v>46177530</v>
      </c>
      <c r="G1019" s="5">
        <v>0.86425750239022558</v>
      </c>
      <c r="H1019" s="5">
        <v>9171.3068520357501</v>
      </c>
      <c r="I1019" s="5">
        <v>79.263707535947788</v>
      </c>
    </row>
    <row r="1020" spans="1:9" x14ac:dyDescent="0.2">
      <c r="A1020" s="5" t="s">
        <v>79</v>
      </c>
      <c r="B1020" s="5" t="s">
        <v>44</v>
      </c>
      <c r="C1020" s="5" t="s">
        <v>55</v>
      </c>
      <c r="D1020" s="5">
        <v>585696</v>
      </c>
      <c r="E1020" s="5">
        <v>5194</v>
      </c>
      <c r="F1020" s="5">
        <v>48246400</v>
      </c>
      <c r="G1020" s="5">
        <v>0.88680817352346608</v>
      </c>
      <c r="H1020" s="5">
        <v>9288.8717751251443</v>
      </c>
      <c r="I1020" s="5">
        <v>82.374474129924053</v>
      </c>
    </row>
    <row r="1021" spans="1:9" x14ac:dyDescent="0.2">
      <c r="A1021" s="5" t="s">
        <v>79</v>
      </c>
      <c r="B1021" s="5" t="s">
        <v>44</v>
      </c>
      <c r="C1021" s="5" t="s">
        <v>56</v>
      </c>
      <c r="D1021" s="5">
        <v>589303</v>
      </c>
      <c r="E1021" s="5">
        <v>5239</v>
      </c>
      <c r="F1021" s="5">
        <v>49498011</v>
      </c>
      <c r="G1021" s="5">
        <v>0.88901634642959559</v>
      </c>
      <c r="H1021" s="5">
        <v>9447.9883565565942</v>
      </c>
      <c r="I1021" s="5">
        <v>83.994160898553034</v>
      </c>
    </row>
    <row r="1022" spans="1:9" x14ac:dyDescent="0.2">
      <c r="A1022" s="5" t="s">
        <v>79</v>
      </c>
      <c r="B1022" s="5" t="s">
        <v>44</v>
      </c>
      <c r="C1022" s="5" t="s">
        <v>57</v>
      </c>
      <c r="D1022" s="5">
        <v>593443</v>
      </c>
      <c r="E1022" s="5">
        <v>5240</v>
      </c>
      <c r="F1022" s="5">
        <v>49802099</v>
      </c>
      <c r="G1022" s="5">
        <v>0.88298286440315243</v>
      </c>
      <c r="H1022" s="5">
        <v>9504.2173664122129</v>
      </c>
      <c r="I1022" s="5">
        <v>83.920610741048421</v>
      </c>
    </row>
    <row r="1023" spans="1:9" x14ac:dyDescent="0.2">
      <c r="A1023" s="5" t="s">
        <v>79</v>
      </c>
      <c r="B1023" s="5" t="s">
        <v>44</v>
      </c>
      <c r="C1023" s="5" t="s">
        <v>58</v>
      </c>
      <c r="D1023" s="5">
        <v>597933</v>
      </c>
      <c r="E1023" s="5">
        <v>5163</v>
      </c>
      <c r="F1023" s="5">
        <v>50088251</v>
      </c>
      <c r="G1023" s="5">
        <v>0.86347467023897329</v>
      </c>
      <c r="H1023" s="5">
        <v>9701.3850474530318</v>
      </c>
      <c r="I1023" s="5">
        <v>83.769002547108116</v>
      </c>
    </row>
    <row r="1024" spans="1:9" x14ac:dyDescent="0.2">
      <c r="A1024" s="5" t="s">
        <v>79</v>
      </c>
      <c r="B1024" s="5" t="s">
        <v>44</v>
      </c>
      <c r="C1024" s="5" t="s">
        <v>59</v>
      </c>
      <c r="D1024" s="5">
        <v>602305</v>
      </c>
      <c r="E1024" s="5">
        <v>5048</v>
      </c>
      <c r="F1024" s="5">
        <v>48769043</v>
      </c>
      <c r="G1024" s="5">
        <v>0.83811358032890315</v>
      </c>
      <c r="H1024" s="5">
        <v>9661.062400950872</v>
      </c>
      <c r="I1024" s="5">
        <v>80.97067598641884</v>
      </c>
    </row>
    <row r="1025" spans="1:9" x14ac:dyDescent="0.2">
      <c r="A1025" s="5" t="s">
        <v>79</v>
      </c>
      <c r="B1025" s="5" t="s">
        <v>44</v>
      </c>
      <c r="C1025" s="5" t="s">
        <v>60</v>
      </c>
      <c r="D1025" s="5">
        <v>607060</v>
      </c>
      <c r="E1025" s="5">
        <v>4892</v>
      </c>
      <c r="F1025" s="5">
        <v>46774477</v>
      </c>
      <c r="G1025" s="5">
        <v>0.80585115145125685</v>
      </c>
      <c r="H1025" s="5">
        <v>9561.4221177432537</v>
      </c>
      <c r="I1025" s="5">
        <v>77.05083023094916</v>
      </c>
    </row>
    <row r="1026" spans="1:9" x14ac:dyDescent="0.2">
      <c r="A1026" s="5" t="s">
        <v>79</v>
      </c>
      <c r="B1026" s="5" t="s">
        <v>44</v>
      </c>
      <c r="C1026" s="5" t="s">
        <v>61</v>
      </c>
      <c r="D1026" s="5">
        <v>611467</v>
      </c>
      <c r="E1026" s="5">
        <v>4802</v>
      </c>
      <c r="F1026" s="5">
        <v>48215179</v>
      </c>
      <c r="G1026" s="5">
        <v>0.7853244737655507</v>
      </c>
      <c r="H1026" s="5">
        <v>10040.645356101624</v>
      </c>
      <c r="I1026" s="5">
        <v>78.851645305470285</v>
      </c>
    </row>
    <row r="1027" spans="1:9" x14ac:dyDescent="0.2">
      <c r="A1027" s="5" t="s">
        <v>79</v>
      </c>
      <c r="B1027" s="5" t="s">
        <v>44</v>
      </c>
      <c r="C1027" s="5" t="s">
        <v>62</v>
      </c>
      <c r="D1027" s="5">
        <v>615172</v>
      </c>
      <c r="E1027" s="5">
        <v>4754</v>
      </c>
      <c r="F1027" s="5">
        <v>47990964</v>
      </c>
      <c r="G1027" s="5">
        <v>0.77279199963587419</v>
      </c>
      <c r="H1027" s="5">
        <v>10094.859907446362</v>
      </c>
      <c r="I1027" s="5">
        <v>78.012269739194892</v>
      </c>
    </row>
    <row r="1028" spans="1:9" x14ac:dyDescent="0.2">
      <c r="A1028" s="5" t="s">
        <v>79</v>
      </c>
      <c r="B1028" s="5" t="s">
        <v>63</v>
      </c>
      <c r="C1028" s="5" t="s">
        <v>45</v>
      </c>
      <c r="D1028" s="5">
        <v>577674</v>
      </c>
      <c r="E1028" s="5">
        <v>17641</v>
      </c>
      <c r="F1028" s="5">
        <v>36614486</v>
      </c>
      <c r="G1028" s="5">
        <v>3.0537985091937667</v>
      </c>
      <c r="H1028" s="5">
        <v>2075.5334731591179</v>
      </c>
      <c r="I1028" s="5">
        <v>63.382610261150752</v>
      </c>
    </row>
    <row r="1029" spans="1:9" x14ac:dyDescent="0.2">
      <c r="A1029" s="5" t="s">
        <v>79</v>
      </c>
      <c r="B1029" s="5" t="s">
        <v>63</v>
      </c>
      <c r="C1029" s="5" t="s">
        <v>46</v>
      </c>
      <c r="D1029" s="5">
        <v>579733</v>
      </c>
      <c r="E1029" s="5">
        <v>17593</v>
      </c>
      <c r="F1029" s="5">
        <v>37682926</v>
      </c>
      <c r="G1029" s="5">
        <v>3.0346728580225726</v>
      </c>
      <c r="H1029" s="5">
        <v>2141.9272437901436</v>
      </c>
      <c r="I1029" s="5">
        <v>65.000484705890472</v>
      </c>
    </row>
    <row r="1030" spans="1:9" x14ac:dyDescent="0.2">
      <c r="A1030" s="5" t="s">
        <v>79</v>
      </c>
      <c r="B1030" s="5" t="s">
        <v>63</v>
      </c>
      <c r="C1030" s="5" t="s">
        <v>47</v>
      </c>
      <c r="D1030" s="5">
        <v>581621</v>
      </c>
      <c r="E1030" s="5">
        <v>17718</v>
      </c>
      <c r="F1030" s="5">
        <v>37938936</v>
      </c>
      <c r="G1030" s="5">
        <v>3.046313664740441</v>
      </c>
      <c r="H1030" s="5">
        <v>2141.2651540805959</v>
      </c>
      <c r="I1030" s="5">
        <v>65.229652987082659</v>
      </c>
    </row>
    <row r="1031" spans="1:9" x14ac:dyDescent="0.2">
      <c r="A1031" s="5" t="s">
        <v>79</v>
      </c>
      <c r="B1031" s="5" t="s">
        <v>63</v>
      </c>
      <c r="C1031" s="5" t="s">
        <v>48</v>
      </c>
      <c r="D1031" s="5">
        <v>582410</v>
      </c>
      <c r="E1031" s="5">
        <v>17934</v>
      </c>
      <c r="F1031" s="5">
        <v>38470779</v>
      </c>
      <c r="G1031" s="5">
        <v>3.0792740509263234</v>
      </c>
      <c r="H1031" s="5">
        <v>2145.1309802609567</v>
      </c>
      <c r="I1031" s="5">
        <v>66.054461633557111</v>
      </c>
    </row>
    <row r="1032" spans="1:9" x14ac:dyDescent="0.2">
      <c r="A1032" s="5" t="s">
        <v>79</v>
      </c>
      <c r="B1032" s="5" t="s">
        <v>63</v>
      </c>
      <c r="C1032" s="5" t="s">
        <v>49</v>
      </c>
      <c r="D1032" s="5">
        <v>582231</v>
      </c>
      <c r="E1032" s="5">
        <v>18021</v>
      </c>
      <c r="F1032" s="5">
        <v>39037779</v>
      </c>
      <c r="G1032" s="5">
        <v>3.0951632599432184</v>
      </c>
      <c r="H1032" s="5">
        <v>2166.2382220742466</v>
      </c>
      <c r="I1032" s="5">
        <v>67.048609572489269</v>
      </c>
    </row>
    <row r="1033" spans="1:9" x14ac:dyDescent="0.2">
      <c r="A1033" s="5" t="s">
        <v>79</v>
      </c>
      <c r="B1033" s="5" t="s">
        <v>63</v>
      </c>
      <c r="C1033" s="5" t="s">
        <v>50</v>
      </c>
      <c r="D1033" s="5">
        <v>581301</v>
      </c>
      <c r="E1033" s="5">
        <v>17239</v>
      </c>
      <c r="F1033" s="5">
        <v>37520564</v>
      </c>
      <c r="G1033" s="5">
        <v>2.965589255824435</v>
      </c>
      <c r="H1033" s="5">
        <v>2176.4930680433899</v>
      </c>
      <c r="I1033" s="5">
        <v>64.545844579658393</v>
      </c>
    </row>
    <row r="1034" spans="1:9" x14ac:dyDescent="0.2">
      <c r="A1034" s="5" t="s">
        <v>79</v>
      </c>
      <c r="B1034" s="5" t="s">
        <v>63</v>
      </c>
      <c r="C1034" s="5" t="s">
        <v>51</v>
      </c>
      <c r="D1034" s="5">
        <v>580107</v>
      </c>
      <c r="E1034" s="5">
        <v>16767</v>
      </c>
      <c r="F1034" s="5">
        <v>36818675</v>
      </c>
      <c r="G1034" s="5">
        <v>2.8903288531253719</v>
      </c>
      <c r="H1034" s="5">
        <v>2195.9011749269398</v>
      </c>
      <c r="I1034" s="5">
        <v>63.46876524503238</v>
      </c>
    </row>
    <row r="1035" spans="1:9" x14ac:dyDescent="0.2">
      <c r="A1035" s="5" t="s">
        <v>79</v>
      </c>
      <c r="B1035" s="5" t="s">
        <v>63</v>
      </c>
      <c r="C1035" s="5" t="s">
        <v>52</v>
      </c>
      <c r="D1035" s="5">
        <v>579567</v>
      </c>
      <c r="E1035" s="5">
        <v>16545</v>
      </c>
      <c r="F1035" s="5">
        <v>36228594</v>
      </c>
      <c r="G1035" s="5">
        <v>2.8547174010942653</v>
      </c>
      <c r="H1035" s="5">
        <v>2189.7004533091567</v>
      </c>
      <c r="I1035" s="5">
        <v>62.509759872456506</v>
      </c>
    </row>
    <row r="1036" spans="1:9" x14ac:dyDescent="0.2">
      <c r="A1036" s="5" t="s">
        <v>79</v>
      </c>
      <c r="B1036" s="5" t="s">
        <v>63</v>
      </c>
      <c r="C1036" s="5" t="s">
        <v>53</v>
      </c>
      <c r="D1036" s="5">
        <v>580468</v>
      </c>
      <c r="E1036" s="5">
        <v>16204</v>
      </c>
      <c r="F1036" s="5">
        <v>35905855</v>
      </c>
      <c r="G1036" s="5">
        <v>2.7915406189488481</v>
      </c>
      <c r="H1036" s="5">
        <v>2215.8636756356454</v>
      </c>
      <c r="I1036" s="5">
        <v>61.856734565901995</v>
      </c>
    </row>
    <row r="1037" spans="1:9" x14ac:dyDescent="0.2">
      <c r="A1037" s="5" t="s">
        <v>79</v>
      </c>
      <c r="B1037" s="5" t="s">
        <v>63</v>
      </c>
      <c r="C1037" s="5" t="s">
        <v>54</v>
      </c>
      <c r="D1037" s="5">
        <v>582581</v>
      </c>
      <c r="E1037" s="5">
        <v>16738</v>
      </c>
      <c r="F1037" s="5">
        <v>36605921</v>
      </c>
      <c r="G1037" s="5">
        <v>2.8730768768634749</v>
      </c>
      <c r="H1037" s="5">
        <v>2186.9949217349745</v>
      </c>
      <c r="I1037" s="5">
        <v>62.834045394545996</v>
      </c>
    </row>
    <row r="1038" spans="1:9" x14ac:dyDescent="0.2">
      <c r="A1038" s="5" t="s">
        <v>79</v>
      </c>
      <c r="B1038" s="5" t="s">
        <v>63</v>
      </c>
      <c r="C1038" s="5" t="s">
        <v>55</v>
      </c>
      <c r="D1038" s="5">
        <v>585696</v>
      </c>
      <c r="E1038" s="5">
        <v>16934</v>
      </c>
      <c r="F1038" s="5">
        <v>36986955</v>
      </c>
      <c r="G1038" s="5">
        <v>2.8912609954652244</v>
      </c>
      <c r="H1038" s="5">
        <v>2184.1830046061177</v>
      </c>
      <c r="I1038" s="5">
        <v>63.150431281757086</v>
      </c>
    </row>
    <row r="1039" spans="1:9" x14ac:dyDescent="0.2">
      <c r="A1039" s="5" t="s">
        <v>79</v>
      </c>
      <c r="B1039" s="5" t="s">
        <v>63</v>
      </c>
      <c r="C1039" s="5" t="s">
        <v>56</v>
      </c>
      <c r="D1039" s="5">
        <v>589303</v>
      </c>
      <c r="E1039" s="5">
        <v>16930</v>
      </c>
      <c r="F1039" s="5">
        <v>37332006</v>
      </c>
      <c r="G1039" s="5">
        <v>2.8728854256638776</v>
      </c>
      <c r="H1039" s="5">
        <v>2205.0800945067926</v>
      </c>
      <c r="I1039" s="5">
        <v>63.349424659300901</v>
      </c>
    </row>
    <row r="1040" spans="1:9" x14ac:dyDescent="0.2">
      <c r="A1040" s="5" t="s">
        <v>79</v>
      </c>
      <c r="B1040" s="5" t="s">
        <v>63</v>
      </c>
      <c r="C1040" s="5" t="s">
        <v>57</v>
      </c>
      <c r="D1040" s="5">
        <v>593443</v>
      </c>
      <c r="E1040" s="5">
        <v>17055</v>
      </c>
      <c r="F1040" s="5">
        <v>37636712</v>
      </c>
      <c r="G1040" s="5">
        <v>2.8739070138159857</v>
      </c>
      <c r="H1040" s="5">
        <v>2206.784637936089</v>
      </c>
      <c r="I1040" s="5">
        <v>63.420938489458969</v>
      </c>
    </row>
    <row r="1041" spans="1:9" x14ac:dyDescent="0.2">
      <c r="A1041" s="5" t="s">
        <v>79</v>
      </c>
      <c r="B1041" s="5" t="s">
        <v>63</v>
      </c>
      <c r="C1041" s="5" t="s">
        <v>58</v>
      </c>
      <c r="D1041" s="5">
        <v>597933</v>
      </c>
      <c r="E1041" s="5">
        <v>16652</v>
      </c>
      <c r="F1041" s="5">
        <v>37621555</v>
      </c>
      <c r="G1041" s="5">
        <v>2.784927408254771</v>
      </c>
      <c r="H1041" s="5">
        <v>2259.2814676915687</v>
      </c>
      <c r="I1041" s="5">
        <v>62.919348823363151</v>
      </c>
    </row>
    <row r="1042" spans="1:9" x14ac:dyDescent="0.2">
      <c r="A1042" s="5" t="s">
        <v>79</v>
      </c>
      <c r="B1042" s="5" t="s">
        <v>63</v>
      </c>
      <c r="C1042" s="5" t="s">
        <v>59</v>
      </c>
      <c r="D1042" s="5">
        <v>602305</v>
      </c>
      <c r="E1042" s="5">
        <v>16521</v>
      </c>
      <c r="F1042" s="5">
        <v>38141810</v>
      </c>
      <c r="G1042" s="5">
        <v>2.7429624525780127</v>
      </c>
      <c r="H1042" s="5">
        <v>2308.6865201864293</v>
      </c>
      <c r="I1042" s="5">
        <v>63.326404396443664</v>
      </c>
    </row>
    <row r="1043" spans="1:9" x14ac:dyDescent="0.2">
      <c r="A1043" s="5" t="s">
        <v>79</v>
      </c>
      <c r="B1043" s="5" t="s">
        <v>63</v>
      </c>
      <c r="C1043" s="5" t="s">
        <v>60</v>
      </c>
      <c r="D1043" s="5">
        <v>607060</v>
      </c>
      <c r="E1043" s="5">
        <v>16682</v>
      </c>
      <c r="F1043" s="5">
        <v>38854005</v>
      </c>
      <c r="G1043" s="5">
        <v>2.7479985503904061</v>
      </c>
      <c r="H1043" s="5">
        <v>2329.0975302721495</v>
      </c>
      <c r="I1043" s="5">
        <v>64.003566369057424</v>
      </c>
    </row>
    <row r="1044" spans="1:9" x14ac:dyDescent="0.2">
      <c r="A1044" s="5" t="s">
        <v>79</v>
      </c>
      <c r="B1044" s="5" t="s">
        <v>63</v>
      </c>
      <c r="C1044" s="5" t="s">
        <v>61</v>
      </c>
      <c r="D1044" s="5">
        <v>611467</v>
      </c>
      <c r="E1044" s="5">
        <v>16448</v>
      </c>
      <c r="F1044" s="5">
        <v>38572193</v>
      </c>
      <c r="G1044" s="5">
        <v>2.6899243949387293</v>
      </c>
      <c r="H1044" s="5">
        <v>2345.0992825875487</v>
      </c>
      <c r="I1044" s="5">
        <v>63.081397687855599</v>
      </c>
    </row>
    <row r="1045" spans="1:9" x14ac:dyDescent="0.2">
      <c r="A1045" s="5" t="s">
        <v>79</v>
      </c>
      <c r="B1045" s="5" t="s">
        <v>63</v>
      </c>
      <c r="C1045" s="5" t="s">
        <v>62</v>
      </c>
      <c r="D1045" s="5">
        <v>615172</v>
      </c>
      <c r="E1045" s="5">
        <v>16591</v>
      </c>
      <c r="F1045" s="5">
        <v>39128562</v>
      </c>
      <c r="G1045" s="5">
        <v>2.6969693028941499</v>
      </c>
      <c r="H1045" s="5">
        <v>2358.4209511180761</v>
      </c>
      <c r="I1045" s="5">
        <v>63.605889084678758</v>
      </c>
    </row>
    <row r="1046" spans="1:9" x14ac:dyDescent="0.2">
      <c r="A1046" s="5" t="s">
        <v>79</v>
      </c>
      <c r="B1046" s="5" t="s">
        <v>64</v>
      </c>
      <c r="C1046" s="5" t="s">
        <v>45</v>
      </c>
      <c r="D1046" s="5">
        <v>435180</v>
      </c>
      <c r="E1046" s="5">
        <v>70213</v>
      </c>
      <c r="F1046" s="5">
        <v>29526574</v>
      </c>
      <c r="G1046" s="5">
        <v>16.134243301622316</v>
      </c>
      <c r="H1046" s="5">
        <v>420.5285915713614</v>
      </c>
      <c r="I1046" s="5">
        <v>67.849106117009057</v>
      </c>
    </row>
    <row r="1047" spans="1:9" x14ac:dyDescent="0.2">
      <c r="A1047" s="5" t="s">
        <v>79</v>
      </c>
      <c r="B1047" s="5" t="s">
        <v>64</v>
      </c>
      <c r="C1047" s="5" t="s">
        <v>46</v>
      </c>
      <c r="D1047" s="5">
        <v>436994</v>
      </c>
      <c r="E1047" s="5">
        <v>67847</v>
      </c>
      <c r="F1047" s="5">
        <v>29268481</v>
      </c>
      <c r="G1047" s="5">
        <v>15.525842460079543</v>
      </c>
      <c r="H1047" s="5">
        <v>431.38946453048771</v>
      </c>
      <c r="I1047" s="5">
        <v>66.976848652384248</v>
      </c>
    </row>
    <row r="1048" spans="1:9" x14ac:dyDescent="0.2">
      <c r="A1048" s="5" t="s">
        <v>79</v>
      </c>
      <c r="B1048" s="5" t="s">
        <v>64</v>
      </c>
      <c r="C1048" s="5" t="s">
        <v>47</v>
      </c>
      <c r="D1048" s="5">
        <v>438674</v>
      </c>
      <c r="E1048" s="5">
        <v>66178</v>
      </c>
      <c r="F1048" s="5">
        <v>29102088</v>
      </c>
      <c r="G1048" s="5">
        <v>15.085918016568112</v>
      </c>
      <c r="H1048" s="5">
        <v>439.75472211308892</v>
      </c>
      <c r="I1048" s="5">
        <v>66.341036851967516</v>
      </c>
    </row>
    <row r="1049" spans="1:9" x14ac:dyDescent="0.2">
      <c r="A1049" s="5" t="s">
        <v>79</v>
      </c>
      <c r="B1049" s="5" t="s">
        <v>64</v>
      </c>
      <c r="C1049" s="5" t="s">
        <v>48</v>
      </c>
      <c r="D1049" s="5">
        <v>439582</v>
      </c>
      <c r="E1049" s="5">
        <v>66995</v>
      </c>
      <c r="F1049" s="5">
        <v>29150854</v>
      </c>
      <c r="G1049" s="5">
        <v>15.240614947836809</v>
      </c>
      <c r="H1049" s="5">
        <v>435.11984476453466</v>
      </c>
      <c r="I1049" s="5">
        <v>66.31494010218799</v>
      </c>
    </row>
    <row r="1050" spans="1:9" x14ac:dyDescent="0.2">
      <c r="A1050" s="5" t="s">
        <v>79</v>
      </c>
      <c r="B1050" s="5" t="s">
        <v>64</v>
      </c>
      <c r="C1050" s="5" t="s">
        <v>49</v>
      </c>
      <c r="D1050" s="5">
        <v>439860</v>
      </c>
      <c r="E1050" s="5">
        <v>68685</v>
      </c>
      <c r="F1050" s="5">
        <v>28934296</v>
      </c>
      <c r="G1050" s="5">
        <v>15.615195744100395</v>
      </c>
      <c r="H1050" s="5">
        <v>421.2607701827182</v>
      </c>
      <c r="I1050" s="5">
        <v>65.780693857136356</v>
      </c>
    </row>
    <row r="1051" spans="1:9" x14ac:dyDescent="0.2">
      <c r="A1051" s="5" t="s">
        <v>79</v>
      </c>
      <c r="B1051" s="5" t="s">
        <v>64</v>
      </c>
      <c r="C1051" s="5" t="s">
        <v>50</v>
      </c>
      <c r="D1051" s="5">
        <v>439486</v>
      </c>
      <c r="E1051" s="5">
        <v>67969</v>
      </c>
      <c r="F1051" s="5">
        <v>28117216</v>
      </c>
      <c r="G1051" s="5">
        <v>15.465566593702643</v>
      </c>
      <c r="H1051" s="5">
        <v>413.6770586590946</v>
      </c>
      <c r="I1051" s="5">
        <v>63.977500989792624</v>
      </c>
    </row>
    <row r="1052" spans="1:9" x14ac:dyDescent="0.2">
      <c r="A1052" s="5" t="s">
        <v>79</v>
      </c>
      <c r="B1052" s="5" t="s">
        <v>64</v>
      </c>
      <c r="C1052" s="5" t="s">
        <v>51</v>
      </c>
      <c r="D1052" s="5">
        <v>438615</v>
      </c>
      <c r="E1052" s="5">
        <v>65551</v>
      </c>
      <c r="F1052" s="5">
        <v>26619588</v>
      </c>
      <c r="G1052" s="5">
        <v>14.94499732111305</v>
      </c>
      <c r="H1052" s="5">
        <v>406.08973165931872</v>
      </c>
      <c r="I1052" s="5">
        <v>60.690099517800348</v>
      </c>
    </row>
    <row r="1053" spans="1:9" x14ac:dyDescent="0.2">
      <c r="A1053" s="5" t="s">
        <v>79</v>
      </c>
      <c r="B1053" s="5" t="s">
        <v>64</v>
      </c>
      <c r="C1053" s="5" t="s">
        <v>52</v>
      </c>
      <c r="D1053" s="5">
        <v>437955</v>
      </c>
      <c r="E1053" s="5">
        <v>64334</v>
      </c>
      <c r="F1053" s="5">
        <v>25618158</v>
      </c>
      <c r="G1053" s="5">
        <v>14.68963706316859</v>
      </c>
      <c r="H1053" s="5">
        <v>398.20558336183046</v>
      </c>
      <c r="I1053" s="5">
        <v>58.49495496112614</v>
      </c>
    </row>
    <row r="1054" spans="1:9" x14ac:dyDescent="0.2">
      <c r="A1054" s="5" t="s">
        <v>79</v>
      </c>
      <c r="B1054" s="5" t="s">
        <v>64</v>
      </c>
      <c r="C1054" s="5" t="s">
        <v>53</v>
      </c>
      <c r="D1054" s="5">
        <v>437951</v>
      </c>
      <c r="E1054" s="5">
        <v>60751</v>
      </c>
      <c r="F1054" s="5">
        <v>24333823</v>
      </c>
      <c r="G1054" s="5">
        <v>13.871643174693059</v>
      </c>
      <c r="H1054" s="5">
        <v>400.5501637833122</v>
      </c>
      <c r="I1054" s="5">
        <v>55.562889455669698</v>
      </c>
    </row>
    <row r="1055" spans="1:9" x14ac:dyDescent="0.2">
      <c r="A1055" s="5" t="s">
        <v>79</v>
      </c>
      <c r="B1055" s="5" t="s">
        <v>64</v>
      </c>
      <c r="C1055" s="5" t="s">
        <v>54</v>
      </c>
      <c r="D1055" s="5">
        <v>438690</v>
      </c>
      <c r="E1055" s="5">
        <v>59887</v>
      </c>
      <c r="F1055" s="5">
        <v>23892391</v>
      </c>
      <c r="G1055" s="5">
        <v>13.651325537395428</v>
      </c>
      <c r="H1055" s="5">
        <v>398.95788735451765</v>
      </c>
      <c r="I1055" s="5">
        <v>54.463039959880554</v>
      </c>
    </row>
    <row r="1056" spans="1:9" x14ac:dyDescent="0.2">
      <c r="A1056" s="5" t="s">
        <v>79</v>
      </c>
      <c r="B1056" s="5" t="s">
        <v>64</v>
      </c>
      <c r="C1056" s="5" t="s">
        <v>55</v>
      </c>
      <c r="D1056" s="5">
        <v>440024</v>
      </c>
      <c r="E1056" s="5">
        <v>61483</v>
      </c>
      <c r="F1056" s="5">
        <v>23890721</v>
      </c>
      <c r="G1056" s="5">
        <v>13.972646946530189</v>
      </c>
      <c r="H1056" s="5">
        <v>388.57441894507423</v>
      </c>
      <c r="I1056" s="5">
        <v>54.294131683726341</v>
      </c>
    </row>
    <row r="1057" spans="1:9" x14ac:dyDescent="0.2">
      <c r="A1057" s="5" t="s">
        <v>79</v>
      </c>
      <c r="B1057" s="5" t="s">
        <v>64</v>
      </c>
      <c r="C1057" s="5" t="s">
        <v>56</v>
      </c>
      <c r="D1057" s="5">
        <v>441654</v>
      </c>
      <c r="E1057" s="5">
        <v>60334</v>
      </c>
      <c r="F1057" s="5">
        <v>23398206</v>
      </c>
      <c r="G1057" s="5">
        <v>13.660920086764753</v>
      </c>
      <c r="H1057" s="5">
        <v>387.81128385321711</v>
      </c>
      <c r="I1057" s="5">
        <v>52.978589574644403</v>
      </c>
    </row>
    <row r="1058" spans="1:9" x14ac:dyDescent="0.2">
      <c r="A1058" s="5" t="s">
        <v>79</v>
      </c>
      <c r="B1058" s="5" t="s">
        <v>64</v>
      </c>
      <c r="C1058" s="5" t="s">
        <v>57</v>
      </c>
      <c r="D1058" s="5">
        <v>443713</v>
      </c>
      <c r="E1058" s="5">
        <v>60117</v>
      </c>
      <c r="F1058" s="5">
        <v>23266755</v>
      </c>
      <c r="G1058" s="5">
        <v>13.548622645719192</v>
      </c>
      <c r="H1058" s="5">
        <v>387.02455212335946</v>
      </c>
      <c r="I1058" s="5">
        <v>52.436496113478761</v>
      </c>
    </row>
    <row r="1059" spans="1:9" x14ac:dyDescent="0.2">
      <c r="A1059" s="5" t="s">
        <v>79</v>
      </c>
      <c r="B1059" s="5" t="s">
        <v>64</v>
      </c>
      <c r="C1059" s="5" t="s">
        <v>58</v>
      </c>
      <c r="D1059" s="5">
        <v>446156</v>
      </c>
      <c r="E1059" s="5">
        <v>59230</v>
      </c>
      <c r="F1059" s="5">
        <v>23127485</v>
      </c>
      <c r="G1059" s="5">
        <v>13.275625565945544</v>
      </c>
      <c r="H1059" s="5">
        <v>390.46910349485057</v>
      </c>
      <c r="I1059" s="5">
        <v>51.837216130680751</v>
      </c>
    </row>
    <row r="1060" spans="1:9" x14ac:dyDescent="0.2">
      <c r="A1060" s="5" t="s">
        <v>79</v>
      </c>
      <c r="B1060" s="5" t="s">
        <v>64</v>
      </c>
      <c r="C1060" s="5" t="s">
        <v>59</v>
      </c>
      <c r="D1060" s="5">
        <v>448772</v>
      </c>
      <c r="E1060" s="5">
        <v>56389</v>
      </c>
      <c r="F1060" s="5">
        <v>22449405</v>
      </c>
      <c r="G1060" s="5">
        <v>12.565177863146543</v>
      </c>
      <c r="H1060" s="5">
        <v>398.11674262710812</v>
      </c>
      <c r="I1060" s="5">
        <v>50.02407681406148</v>
      </c>
    </row>
    <row r="1061" spans="1:9" x14ac:dyDescent="0.2">
      <c r="A1061" s="5" t="s">
        <v>79</v>
      </c>
      <c r="B1061" s="5" t="s">
        <v>64</v>
      </c>
      <c r="C1061" s="5" t="s">
        <v>60</v>
      </c>
      <c r="D1061" s="5">
        <v>451997</v>
      </c>
      <c r="E1061" s="5">
        <v>56486</v>
      </c>
      <c r="F1061" s="5">
        <v>22687902</v>
      </c>
      <c r="G1061" s="5">
        <v>12.496985599461944</v>
      </c>
      <c r="H1061" s="5">
        <v>401.65531282087596</v>
      </c>
      <c r="I1061" s="5">
        <v>50.194806602698691</v>
      </c>
    </row>
    <row r="1062" spans="1:9" x14ac:dyDescent="0.2">
      <c r="A1062" s="5" t="s">
        <v>79</v>
      </c>
      <c r="B1062" s="5" t="s">
        <v>64</v>
      </c>
      <c r="C1062" s="5" t="s">
        <v>61</v>
      </c>
      <c r="D1062" s="5">
        <v>455169</v>
      </c>
      <c r="E1062" s="5">
        <v>55049</v>
      </c>
      <c r="F1062" s="5">
        <v>22738463</v>
      </c>
      <c r="G1062" s="5">
        <v>12.09418919126742</v>
      </c>
      <c r="H1062" s="5">
        <v>413.05860233610059</v>
      </c>
      <c r="I1062" s="5">
        <v>49.956088837332949</v>
      </c>
    </row>
    <row r="1063" spans="1:9" x14ac:dyDescent="0.2">
      <c r="A1063" s="5" t="s">
        <v>79</v>
      </c>
      <c r="B1063" s="5" t="s">
        <v>64</v>
      </c>
      <c r="C1063" s="5" t="s">
        <v>62</v>
      </c>
      <c r="D1063" s="5">
        <v>458098</v>
      </c>
      <c r="E1063" s="5">
        <v>53287</v>
      </c>
      <c r="F1063" s="5">
        <v>22670366</v>
      </c>
      <c r="G1063" s="5">
        <v>11.632227165366363</v>
      </c>
      <c r="H1063" s="5">
        <v>425.43896259875766</v>
      </c>
      <c r="I1063" s="5">
        <v>49.488026579465526</v>
      </c>
    </row>
    <row r="1064" spans="1:9" x14ac:dyDescent="0.2">
      <c r="A1064" s="5" t="s">
        <v>79</v>
      </c>
      <c r="B1064" s="5" t="s">
        <v>65</v>
      </c>
      <c r="C1064" s="5" t="s">
        <v>45</v>
      </c>
      <c r="D1064" s="5">
        <v>407009</v>
      </c>
      <c r="E1064" s="5">
        <v>18286</v>
      </c>
      <c r="F1064" s="5">
        <v>46569382</v>
      </c>
      <c r="G1064" s="5">
        <v>4.4927753440341611</v>
      </c>
      <c r="H1064" s="5">
        <v>2546.7232855736629</v>
      </c>
      <c r="I1064" s="5">
        <v>114.41855585503023</v>
      </c>
    </row>
    <row r="1065" spans="1:9" x14ac:dyDescent="0.2">
      <c r="A1065" s="5" t="s">
        <v>79</v>
      </c>
      <c r="B1065" s="5" t="s">
        <v>65</v>
      </c>
      <c r="C1065" s="5" t="s">
        <v>46</v>
      </c>
      <c r="D1065" s="5">
        <v>408879</v>
      </c>
      <c r="E1065" s="5">
        <v>18519</v>
      </c>
      <c r="F1065" s="5">
        <v>47697324</v>
      </c>
      <c r="G1065" s="5">
        <v>4.529212798896495</v>
      </c>
      <c r="H1065" s="5">
        <v>2575.5885306982018</v>
      </c>
      <c r="I1065" s="5">
        <v>116.65388537929314</v>
      </c>
    </row>
    <row r="1066" spans="1:9" x14ac:dyDescent="0.2">
      <c r="A1066" s="5" t="s">
        <v>79</v>
      </c>
      <c r="B1066" s="5" t="s">
        <v>65</v>
      </c>
      <c r="C1066" s="5" t="s">
        <v>47</v>
      </c>
      <c r="D1066" s="5">
        <v>410575</v>
      </c>
      <c r="E1066" s="5">
        <v>18733</v>
      </c>
      <c r="F1066" s="5">
        <v>48147708</v>
      </c>
      <c r="G1066" s="5">
        <v>4.5626255860683189</v>
      </c>
      <c r="H1066" s="5">
        <v>2570.2080819943417</v>
      </c>
      <c r="I1066" s="5">
        <v>117.26897156426962</v>
      </c>
    </row>
    <row r="1067" spans="1:9" x14ac:dyDescent="0.2">
      <c r="A1067" s="5" t="s">
        <v>79</v>
      </c>
      <c r="B1067" s="5" t="s">
        <v>65</v>
      </c>
      <c r="C1067" s="5" t="s">
        <v>48</v>
      </c>
      <c r="D1067" s="5">
        <v>411521</v>
      </c>
      <c r="E1067" s="5">
        <v>18916</v>
      </c>
      <c r="F1067" s="5">
        <v>49170363</v>
      </c>
      <c r="G1067" s="5">
        <v>4.5966062485268067</v>
      </c>
      <c r="H1067" s="5">
        <v>2599.4059526326919</v>
      </c>
      <c r="I1067" s="5">
        <v>119.48445644329207</v>
      </c>
    </row>
    <row r="1068" spans="1:9" x14ac:dyDescent="0.2">
      <c r="A1068" s="5" t="s">
        <v>79</v>
      </c>
      <c r="B1068" s="5" t="s">
        <v>65</v>
      </c>
      <c r="C1068" s="5" t="s">
        <v>49</v>
      </c>
      <c r="D1068" s="5">
        <v>411856</v>
      </c>
      <c r="E1068" s="5">
        <v>18916</v>
      </c>
      <c r="F1068" s="5">
        <v>49027419</v>
      </c>
      <c r="G1068" s="5">
        <v>4.5928674099685329</v>
      </c>
      <c r="H1068" s="5">
        <v>2591.8491753013323</v>
      </c>
      <c r="I1068" s="5">
        <v>119.04019608795308</v>
      </c>
    </row>
    <row r="1069" spans="1:9" x14ac:dyDescent="0.2">
      <c r="A1069" s="5" t="s">
        <v>79</v>
      </c>
      <c r="B1069" s="5" t="s">
        <v>65</v>
      </c>
      <c r="C1069" s="5" t="s">
        <v>50</v>
      </c>
      <c r="D1069" s="5">
        <v>411511</v>
      </c>
      <c r="E1069" s="5">
        <v>17689</v>
      </c>
      <c r="F1069" s="5">
        <v>46577037</v>
      </c>
      <c r="G1069" s="5">
        <v>4.2985485199666593</v>
      </c>
      <c r="H1069" s="5">
        <v>2633.1074113856071</v>
      </c>
      <c r="I1069" s="5">
        <v>113.18539966124843</v>
      </c>
    </row>
    <row r="1070" spans="1:9" x14ac:dyDescent="0.2">
      <c r="A1070" s="5" t="s">
        <v>79</v>
      </c>
      <c r="B1070" s="5" t="s">
        <v>65</v>
      </c>
      <c r="C1070" s="5" t="s">
        <v>51</v>
      </c>
      <c r="D1070" s="5">
        <v>410628</v>
      </c>
      <c r="E1070" s="5">
        <v>16952</v>
      </c>
      <c r="F1070" s="5">
        <v>45019103</v>
      </c>
      <c r="G1070" s="5">
        <v>4.1283107825087431</v>
      </c>
      <c r="H1070" s="5">
        <v>2655.6809226050023</v>
      </c>
      <c r="I1070" s="5">
        <v>109.63476187692997</v>
      </c>
    </row>
    <row r="1071" spans="1:9" x14ac:dyDescent="0.2">
      <c r="A1071" s="5" t="s">
        <v>79</v>
      </c>
      <c r="B1071" s="5" t="s">
        <v>65</v>
      </c>
      <c r="C1071" s="5" t="s">
        <v>52</v>
      </c>
      <c r="D1071" s="5">
        <v>409964</v>
      </c>
      <c r="E1071" s="5">
        <v>16743</v>
      </c>
      <c r="F1071" s="5">
        <v>44515316</v>
      </c>
      <c r="G1071" s="5">
        <v>4.084017133211697</v>
      </c>
      <c r="H1071" s="5">
        <v>2658.7419219972526</v>
      </c>
      <c r="I1071" s="5">
        <v>108.58347562224976</v>
      </c>
    </row>
    <row r="1072" spans="1:9" x14ac:dyDescent="0.2">
      <c r="A1072" s="5" t="s">
        <v>79</v>
      </c>
      <c r="B1072" s="5" t="s">
        <v>65</v>
      </c>
      <c r="C1072" s="5" t="s">
        <v>53</v>
      </c>
      <c r="D1072" s="5">
        <v>409880</v>
      </c>
      <c r="E1072" s="5">
        <v>16432</v>
      </c>
      <c r="F1072" s="5">
        <v>44420720</v>
      </c>
      <c r="G1072" s="5">
        <v>4.0089782375329364</v>
      </c>
      <c r="H1072" s="5">
        <v>2703.3057448880236</v>
      </c>
      <c r="I1072" s="5">
        <v>108.3749390065385</v>
      </c>
    </row>
    <row r="1073" spans="1:9" x14ac:dyDescent="0.2">
      <c r="A1073" s="5" t="s">
        <v>79</v>
      </c>
      <c r="B1073" s="5" t="s">
        <v>65</v>
      </c>
      <c r="C1073" s="5" t="s">
        <v>54</v>
      </c>
      <c r="D1073" s="5">
        <v>410544</v>
      </c>
      <c r="E1073" s="5">
        <v>17271</v>
      </c>
      <c r="F1073" s="5">
        <v>46872341</v>
      </c>
      <c r="G1073" s="5">
        <v>4.2068572430726059</v>
      </c>
      <c r="H1073" s="5">
        <v>2713.9332406924905</v>
      </c>
      <c r="I1073" s="5">
        <v>114.17129710822714</v>
      </c>
    </row>
    <row r="1074" spans="1:9" x14ac:dyDescent="0.2">
      <c r="A1074" s="5" t="s">
        <v>79</v>
      </c>
      <c r="B1074" s="5" t="s">
        <v>65</v>
      </c>
      <c r="C1074" s="5" t="s">
        <v>55</v>
      </c>
      <c r="D1074" s="5">
        <v>411896</v>
      </c>
      <c r="E1074" s="5">
        <v>17450</v>
      </c>
      <c r="F1074" s="5">
        <v>46704738</v>
      </c>
      <c r="G1074" s="5">
        <v>4.2365063025618115</v>
      </c>
      <c r="H1074" s="5">
        <v>2676.4892836676217</v>
      </c>
      <c r="I1074" s="5">
        <v>113.38963718997029</v>
      </c>
    </row>
    <row r="1075" spans="1:9" x14ac:dyDescent="0.2">
      <c r="A1075" s="5" t="s">
        <v>79</v>
      </c>
      <c r="B1075" s="5" t="s">
        <v>65</v>
      </c>
      <c r="C1075" s="5" t="s">
        <v>56</v>
      </c>
      <c r="D1075" s="5">
        <v>413501</v>
      </c>
      <c r="E1075" s="5">
        <v>17294</v>
      </c>
      <c r="F1075" s="5">
        <v>46468474</v>
      </c>
      <c r="G1075" s="5">
        <v>4.182335713819314</v>
      </c>
      <c r="H1075" s="5">
        <v>2686.9708569446052</v>
      </c>
      <c r="I1075" s="5">
        <v>112.37814176991108</v>
      </c>
    </row>
    <row r="1076" spans="1:9" x14ac:dyDescent="0.2">
      <c r="A1076" s="5" t="s">
        <v>79</v>
      </c>
      <c r="B1076" s="5" t="s">
        <v>65</v>
      </c>
      <c r="C1076" s="5" t="s">
        <v>57</v>
      </c>
      <c r="D1076" s="5">
        <v>415497</v>
      </c>
      <c r="E1076" s="5">
        <v>17294</v>
      </c>
      <c r="F1076" s="5">
        <v>47055582</v>
      </c>
      <c r="G1076" s="5">
        <v>4.1622442520643954</v>
      </c>
      <c r="H1076" s="5">
        <v>2720.9195096565281</v>
      </c>
      <c r="I1076" s="5">
        <v>113.25131589397758</v>
      </c>
    </row>
    <row r="1077" spans="1:9" x14ac:dyDescent="0.2">
      <c r="A1077" s="5" t="s">
        <v>79</v>
      </c>
      <c r="B1077" s="5" t="s">
        <v>65</v>
      </c>
      <c r="C1077" s="5" t="s">
        <v>58</v>
      </c>
      <c r="D1077" s="5">
        <v>417837</v>
      </c>
      <c r="E1077" s="5">
        <v>16530</v>
      </c>
      <c r="F1077" s="5">
        <v>45439122</v>
      </c>
      <c r="G1077" s="5">
        <v>3.9560881396333976</v>
      </c>
      <c r="H1077" s="5">
        <v>2748.8882032667875</v>
      </c>
      <c r="I1077" s="5">
        <v>108.748440181219</v>
      </c>
    </row>
    <row r="1078" spans="1:9" x14ac:dyDescent="0.2">
      <c r="A1078" s="5" t="s">
        <v>79</v>
      </c>
      <c r="B1078" s="5" t="s">
        <v>65</v>
      </c>
      <c r="C1078" s="5" t="s">
        <v>59</v>
      </c>
      <c r="D1078" s="5">
        <v>420288</v>
      </c>
      <c r="E1078" s="5">
        <v>16448</v>
      </c>
      <c r="F1078" s="5">
        <v>46621981</v>
      </c>
      <c r="G1078" s="5">
        <v>3.9135069285823056</v>
      </c>
      <c r="H1078" s="5">
        <v>2834.5075997081713</v>
      </c>
      <c r="I1078" s="5">
        <v>110.92865130577128</v>
      </c>
    </row>
    <row r="1079" spans="1:9" x14ac:dyDescent="0.2">
      <c r="A1079" s="5" t="s">
        <v>79</v>
      </c>
      <c r="B1079" s="5" t="s">
        <v>65</v>
      </c>
      <c r="C1079" s="5" t="s">
        <v>60</v>
      </c>
      <c r="D1079" s="5">
        <v>423319</v>
      </c>
      <c r="E1079" s="5">
        <v>16495</v>
      </c>
      <c r="F1079" s="5">
        <v>47953635</v>
      </c>
      <c r="G1079" s="5">
        <v>3.8965886246542207</v>
      </c>
      <c r="H1079" s="5">
        <v>2907.1618672324948</v>
      </c>
      <c r="I1079" s="5">
        <v>113.28013861886663</v>
      </c>
    </row>
    <row r="1080" spans="1:9" x14ac:dyDescent="0.2">
      <c r="A1080" s="5" t="s">
        <v>79</v>
      </c>
      <c r="B1080" s="5" t="s">
        <v>65</v>
      </c>
      <c r="C1080" s="5" t="s">
        <v>61</v>
      </c>
      <c r="D1080" s="5">
        <v>426372</v>
      </c>
      <c r="E1080" s="5">
        <v>16425</v>
      </c>
      <c r="F1080" s="5">
        <v>47806997</v>
      </c>
      <c r="G1080" s="5">
        <v>3.8522698488643718</v>
      </c>
      <c r="H1080" s="5">
        <v>2910.6238660578388</v>
      </c>
      <c r="I1080" s="5">
        <v>112.12508560599665</v>
      </c>
    </row>
    <row r="1081" spans="1:9" x14ac:dyDescent="0.2">
      <c r="A1081" s="5" t="s">
        <v>79</v>
      </c>
      <c r="B1081" s="5" t="s">
        <v>65</v>
      </c>
      <c r="C1081" s="5" t="s">
        <v>62</v>
      </c>
      <c r="D1081" s="5">
        <v>429225</v>
      </c>
      <c r="E1081" s="5">
        <v>16803</v>
      </c>
      <c r="F1081" s="5">
        <v>49545777</v>
      </c>
      <c r="G1081" s="5">
        <v>3.9147300366940416</v>
      </c>
      <c r="H1081" s="5">
        <v>2948.6268523477952</v>
      </c>
      <c r="I1081" s="5">
        <v>115.4307810588852</v>
      </c>
    </row>
    <row r="1082" spans="1:9" x14ac:dyDescent="0.2">
      <c r="A1082" s="5" t="s">
        <v>80</v>
      </c>
      <c r="B1082" s="5" t="s">
        <v>44</v>
      </c>
      <c r="C1082" s="5" t="s">
        <v>45</v>
      </c>
      <c r="D1082" s="5">
        <v>5051250</v>
      </c>
      <c r="E1082" s="5">
        <v>50641</v>
      </c>
      <c r="F1082" s="5">
        <v>489471505</v>
      </c>
      <c r="G1082" s="5">
        <v>1.0025439247710963</v>
      </c>
      <c r="H1082" s="5">
        <v>9665.5181572243837</v>
      </c>
      <c r="I1082" s="5">
        <v>96.901065082900274</v>
      </c>
    </row>
    <row r="1083" spans="1:9" x14ac:dyDescent="0.2">
      <c r="A1083" s="5" t="s">
        <v>80</v>
      </c>
      <c r="B1083" s="5" t="s">
        <v>44</v>
      </c>
      <c r="C1083" s="5" t="s">
        <v>46</v>
      </c>
      <c r="D1083" s="5">
        <v>5109418</v>
      </c>
      <c r="E1083" s="5">
        <v>50285</v>
      </c>
      <c r="F1083" s="5">
        <v>490414623</v>
      </c>
      <c r="G1083" s="5">
        <v>0.98416297120337382</v>
      </c>
      <c r="H1083" s="5">
        <v>9752.7020582678724</v>
      </c>
      <c r="I1083" s="5">
        <v>95.982482349261701</v>
      </c>
    </row>
    <row r="1084" spans="1:9" x14ac:dyDescent="0.2">
      <c r="A1084" s="5" t="s">
        <v>80</v>
      </c>
      <c r="B1084" s="5" t="s">
        <v>44</v>
      </c>
      <c r="C1084" s="5" t="s">
        <v>47</v>
      </c>
      <c r="D1084" s="5">
        <v>5179039</v>
      </c>
      <c r="E1084" s="5">
        <v>50105</v>
      </c>
      <c r="F1084" s="5">
        <v>492490144</v>
      </c>
      <c r="G1084" s="5">
        <v>0.96745747618428823</v>
      </c>
      <c r="H1084" s="5">
        <v>9829.1616405548357</v>
      </c>
      <c r="I1084" s="5">
        <v>95.092959137785982</v>
      </c>
    </row>
    <row r="1085" spans="1:9" x14ac:dyDescent="0.2">
      <c r="A1085" s="5" t="s">
        <v>80</v>
      </c>
      <c r="B1085" s="5" t="s">
        <v>44</v>
      </c>
      <c r="C1085" s="5" t="s">
        <v>48</v>
      </c>
      <c r="D1085" s="5">
        <v>5249680</v>
      </c>
      <c r="E1085" s="5">
        <v>49802</v>
      </c>
      <c r="F1085" s="5">
        <v>491240252</v>
      </c>
      <c r="G1085" s="5">
        <v>0.94866734734307612</v>
      </c>
      <c r="H1085" s="5">
        <v>9863.8659491586677</v>
      </c>
      <c r="I1085" s="5">
        <v>93.575275445360475</v>
      </c>
    </row>
    <row r="1086" spans="1:9" x14ac:dyDescent="0.2">
      <c r="A1086" s="5" t="s">
        <v>80</v>
      </c>
      <c r="B1086" s="5" t="s">
        <v>44</v>
      </c>
      <c r="C1086" s="5" t="s">
        <v>49</v>
      </c>
      <c r="D1086" s="5">
        <v>5301112</v>
      </c>
      <c r="E1086" s="5">
        <v>49312</v>
      </c>
      <c r="F1086" s="5">
        <v>491271776</v>
      </c>
      <c r="G1086" s="5">
        <v>0.93021992366884532</v>
      </c>
      <c r="H1086" s="5">
        <v>9962.5197923426349</v>
      </c>
      <c r="I1086" s="5">
        <v>92.67334400782326</v>
      </c>
    </row>
    <row r="1087" spans="1:9" x14ac:dyDescent="0.2">
      <c r="A1087" s="5" t="s">
        <v>80</v>
      </c>
      <c r="B1087" s="5" t="s">
        <v>44</v>
      </c>
      <c r="C1087" s="5" t="s">
        <v>50</v>
      </c>
      <c r="D1087" s="5">
        <v>5328812</v>
      </c>
      <c r="E1087" s="5">
        <v>49022</v>
      </c>
      <c r="F1087" s="5">
        <v>498153746</v>
      </c>
      <c r="G1087" s="5">
        <v>0.91994238115362303</v>
      </c>
      <c r="H1087" s="5">
        <v>10161.840520582595</v>
      </c>
      <c r="I1087" s="5">
        <v>93.483077654081242</v>
      </c>
    </row>
    <row r="1088" spans="1:9" x14ac:dyDescent="0.2">
      <c r="A1088" s="5" t="s">
        <v>80</v>
      </c>
      <c r="B1088" s="5" t="s">
        <v>44</v>
      </c>
      <c r="C1088" s="5" t="s">
        <v>51</v>
      </c>
      <c r="D1088" s="5">
        <v>5344197</v>
      </c>
      <c r="E1088" s="5">
        <v>48874</v>
      </c>
      <c r="F1088" s="5">
        <v>503249217</v>
      </c>
      <c r="G1088" s="5">
        <v>0.91452467040417862</v>
      </c>
      <c r="H1088" s="5">
        <v>10296.869848999468</v>
      </c>
      <c r="I1088" s="5">
        <v>94.167415048509625</v>
      </c>
    </row>
    <row r="1089" spans="1:9" x14ac:dyDescent="0.2">
      <c r="A1089" s="5" t="s">
        <v>80</v>
      </c>
      <c r="B1089" s="5" t="s">
        <v>44</v>
      </c>
      <c r="C1089" s="5" t="s">
        <v>52</v>
      </c>
      <c r="D1089" s="5">
        <v>5354397</v>
      </c>
      <c r="E1089" s="5">
        <v>48683</v>
      </c>
      <c r="F1089" s="5">
        <v>508872608</v>
      </c>
      <c r="G1089" s="5">
        <v>0.90921536075864373</v>
      </c>
      <c r="H1089" s="5">
        <v>10452.778341515519</v>
      </c>
      <c r="I1089" s="5">
        <v>95.038266307111712</v>
      </c>
    </row>
    <row r="1090" spans="1:9" x14ac:dyDescent="0.2">
      <c r="A1090" s="5" t="s">
        <v>80</v>
      </c>
      <c r="B1090" s="5" t="s">
        <v>44</v>
      </c>
      <c r="C1090" s="5" t="s">
        <v>53</v>
      </c>
      <c r="D1090" s="5">
        <v>5364755</v>
      </c>
      <c r="E1090" s="5">
        <v>48995</v>
      </c>
      <c r="F1090" s="5">
        <v>522228216</v>
      </c>
      <c r="G1090" s="5">
        <v>0.91327562954878649</v>
      </c>
      <c r="H1090" s="5">
        <v>10658.806327176242</v>
      </c>
      <c r="I1090" s="5">
        <v>97.344280586904716</v>
      </c>
    </row>
    <row r="1091" spans="1:9" x14ac:dyDescent="0.2">
      <c r="A1091" s="5" t="s">
        <v>80</v>
      </c>
      <c r="B1091" s="5" t="s">
        <v>44</v>
      </c>
      <c r="C1091" s="5" t="s">
        <v>54</v>
      </c>
      <c r="D1091" s="5">
        <v>5375919</v>
      </c>
      <c r="E1091" s="5">
        <v>48994</v>
      </c>
      <c r="F1091" s="5">
        <v>533248840</v>
      </c>
      <c r="G1091" s="5">
        <v>0.91136045762594264</v>
      </c>
      <c r="H1091" s="5">
        <v>10883.962117810344</v>
      </c>
      <c r="I1091" s="5">
        <v>99.192126964710596</v>
      </c>
    </row>
    <row r="1092" spans="1:9" x14ac:dyDescent="0.2">
      <c r="A1092" s="5" t="s">
        <v>80</v>
      </c>
      <c r="B1092" s="5" t="s">
        <v>44</v>
      </c>
      <c r="C1092" s="5" t="s">
        <v>55</v>
      </c>
      <c r="D1092" s="5">
        <v>5387515</v>
      </c>
      <c r="E1092" s="5">
        <v>48121</v>
      </c>
      <c r="F1092" s="5">
        <v>536135811</v>
      </c>
      <c r="G1092" s="5">
        <v>0.89319472892418861</v>
      </c>
      <c r="H1092" s="5">
        <v>11141.41042372353</v>
      </c>
      <c r="I1092" s="5">
        <v>99.514490632508682</v>
      </c>
    </row>
    <row r="1093" spans="1:9" x14ac:dyDescent="0.2">
      <c r="A1093" s="5" t="s">
        <v>80</v>
      </c>
      <c r="B1093" s="5" t="s">
        <v>44</v>
      </c>
      <c r="C1093" s="5" t="s">
        <v>56</v>
      </c>
      <c r="D1093" s="5">
        <v>5400538</v>
      </c>
      <c r="E1093" s="5">
        <v>47405</v>
      </c>
      <c r="F1093" s="5">
        <v>539988893</v>
      </c>
      <c r="G1093" s="5">
        <v>0.87778291718343615</v>
      </c>
      <c r="H1093" s="5">
        <v>11390.969159371374</v>
      </c>
      <c r="I1093" s="5">
        <v>99.987981382595592</v>
      </c>
    </row>
    <row r="1094" spans="1:9" x14ac:dyDescent="0.2">
      <c r="A1094" s="5" t="s">
        <v>80</v>
      </c>
      <c r="B1094" s="5" t="s">
        <v>44</v>
      </c>
      <c r="C1094" s="5" t="s">
        <v>57</v>
      </c>
      <c r="D1094" s="5">
        <v>5415472</v>
      </c>
      <c r="E1094" s="5">
        <v>45849</v>
      </c>
      <c r="F1094" s="5">
        <v>533630717</v>
      </c>
      <c r="G1094" s="5">
        <v>0.84662980438270197</v>
      </c>
      <c r="H1094" s="5">
        <v>11638.87362865057</v>
      </c>
      <c r="I1094" s="5">
        <v>98.538173034594209</v>
      </c>
    </row>
    <row r="1095" spans="1:9" x14ac:dyDescent="0.2">
      <c r="A1095" s="5" t="s">
        <v>80</v>
      </c>
      <c r="B1095" s="5" t="s">
        <v>44</v>
      </c>
      <c r="C1095" s="5" t="s">
        <v>58</v>
      </c>
      <c r="D1095" s="5">
        <v>5432769</v>
      </c>
      <c r="E1095" s="5">
        <v>44914</v>
      </c>
      <c r="F1095" s="5">
        <v>519795077</v>
      </c>
      <c r="G1095" s="5">
        <v>0.82672390451351785</v>
      </c>
      <c r="H1095" s="5">
        <v>11573.119227857684</v>
      </c>
      <c r="I1095" s="5">
        <v>95.677743154549731</v>
      </c>
    </row>
    <row r="1096" spans="1:9" x14ac:dyDescent="0.2">
      <c r="A1096" s="5" t="s">
        <v>80</v>
      </c>
      <c r="B1096" s="5" t="s">
        <v>44</v>
      </c>
      <c r="C1096" s="5" t="s">
        <v>59</v>
      </c>
      <c r="D1096" s="5">
        <v>5451562</v>
      </c>
      <c r="E1096" s="5">
        <v>44529</v>
      </c>
      <c r="F1096" s="5">
        <v>519691077</v>
      </c>
      <c r="G1096" s="5">
        <v>0.81681176881048034</v>
      </c>
      <c r="H1096" s="5">
        <v>11670.845449033215</v>
      </c>
      <c r="I1096" s="5">
        <v>95.328839147385651</v>
      </c>
    </row>
    <row r="1097" spans="1:9" x14ac:dyDescent="0.2">
      <c r="A1097" s="5" t="s">
        <v>80</v>
      </c>
      <c r="B1097" s="5" t="s">
        <v>44</v>
      </c>
      <c r="C1097" s="5" t="s">
        <v>60</v>
      </c>
      <c r="D1097" s="5">
        <v>5474080</v>
      </c>
      <c r="E1097" s="5">
        <v>44430</v>
      </c>
      <c r="F1097" s="5">
        <v>526490829</v>
      </c>
      <c r="G1097" s="5">
        <v>0.81164323502762104</v>
      </c>
      <c r="H1097" s="5">
        <v>11849.894868332209</v>
      </c>
      <c r="I1097" s="5">
        <v>96.178870056703587</v>
      </c>
    </row>
    <row r="1098" spans="1:9" x14ac:dyDescent="0.2">
      <c r="A1098" s="5" t="s">
        <v>80</v>
      </c>
      <c r="B1098" s="5" t="s">
        <v>44</v>
      </c>
      <c r="C1098" s="5" t="s">
        <v>61</v>
      </c>
      <c r="D1098" s="5">
        <v>5499378</v>
      </c>
      <c r="E1098" s="5">
        <v>44007</v>
      </c>
      <c r="F1098" s="5">
        <v>531610205</v>
      </c>
      <c r="G1098" s="5">
        <v>0.80021777008236206</v>
      </c>
      <c r="H1098" s="5">
        <v>12080.128275047151</v>
      </c>
      <c r="I1098" s="5">
        <v>96.667333105671219</v>
      </c>
    </row>
    <row r="1099" spans="1:9" x14ac:dyDescent="0.2">
      <c r="A1099" s="5" t="s">
        <v>80</v>
      </c>
      <c r="B1099" s="5" t="s">
        <v>44</v>
      </c>
      <c r="C1099" s="5" t="s">
        <v>62</v>
      </c>
      <c r="D1099" s="5">
        <v>5521572</v>
      </c>
      <c r="E1099" s="5">
        <v>44372</v>
      </c>
      <c r="F1099" s="5">
        <v>549296214</v>
      </c>
      <c r="G1099" s="5">
        <v>0.80361172506670198</v>
      </c>
      <c r="H1099" s="5">
        <v>12379.34314432525</v>
      </c>
      <c r="I1099" s="5">
        <v>99.481852994038661</v>
      </c>
    </row>
    <row r="1100" spans="1:9" x14ac:dyDescent="0.2">
      <c r="A1100" s="5" t="s">
        <v>80</v>
      </c>
      <c r="B1100" s="5" t="s">
        <v>63</v>
      </c>
      <c r="C1100" s="5" t="s">
        <v>45</v>
      </c>
      <c r="D1100" s="5">
        <v>5051250</v>
      </c>
      <c r="E1100" s="5">
        <v>218231</v>
      </c>
      <c r="F1100" s="5">
        <v>503209003</v>
      </c>
      <c r="G1100" s="5">
        <v>4.3203365503588218</v>
      </c>
      <c r="H1100" s="5">
        <v>2305.8548189762223</v>
      </c>
      <c r="I1100" s="5">
        <v>99.620688542439993</v>
      </c>
    </row>
    <row r="1101" spans="1:9" x14ac:dyDescent="0.2">
      <c r="A1101" s="5" t="s">
        <v>80</v>
      </c>
      <c r="B1101" s="5" t="s">
        <v>63</v>
      </c>
      <c r="C1101" s="5" t="s">
        <v>46</v>
      </c>
      <c r="D1101" s="5">
        <v>5109418</v>
      </c>
      <c r="E1101" s="5">
        <v>212088</v>
      </c>
      <c r="F1101" s="5">
        <v>498614660</v>
      </c>
      <c r="G1101" s="5">
        <v>4.1509228644045173</v>
      </c>
      <c r="H1101" s="5">
        <v>2350.9800648787295</v>
      </c>
      <c r="I1101" s="5">
        <v>97.587369050643346</v>
      </c>
    </row>
    <row r="1102" spans="1:9" x14ac:dyDescent="0.2">
      <c r="A1102" s="5" t="s">
        <v>80</v>
      </c>
      <c r="B1102" s="5" t="s">
        <v>63</v>
      </c>
      <c r="C1102" s="5" t="s">
        <v>47</v>
      </c>
      <c r="D1102" s="5">
        <v>5179039</v>
      </c>
      <c r="E1102" s="5">
        <v>214115</v>
      </c>
      <c r="F1102" s="5">
        <v>504009080</v>
      </c>
      <c r="G1102" s="5">
        <v>4.1342612017403226</v>
      </c>
      <c r="H1102" s="5">
        <v>2353.9176610699856</v>
      </c>
      <c r="I1102" s="5">
        <v>97.317104582529694</v>
      </c>
    </row>
    <row r="1103" spans="1:9" x14ac:dyDescent="0.2">
      <c r="A1103" s="5" t="s">
        <v>80</v>
      </c>
      <c r="B1103" s="5" t="s">
        <v>63</v>
      </c>
      <c r="C1103" s="5" t="s">
        <v>48</v>
      </c>
      <c r="D1103" s="5">
        <v>5249680</v>
      </c>
      <c r="E1103" s="5">
        <v>218242</v>
      </c>
      <c r="F1103" s="5">
        <v>514993647</v>
      </c>
      <c r="G1103" s="5">
        <v>4.1572438701025582</v>
      </c>
      <c r="H1103" s="5">
        <v>2359.7366547227389</v>
      </c>
      <c r="I1103" s="5">
        <v>98.100007429024245</v>
      </c>
    </row>
    <row r="1104" spans="1:9" x14ac:dyDescent="0.2">
      <c r="A1104" s="5" t="s">
        <v>80</v>
      </c>
      <c r="B1104" s="5" t="s">
        <v>63</v>
      </c>
      <c r="C1104" s="5" t="s">
        <v>49</v>
      </c>
      <c r="D1104" s="5">
        <v>5301112</v>
      </c>
      <c r="E1104" s="5">
        <v>219336</v>
      </c>
      <c r="F1104" s="5">
        <v>517776861</v>
      </c>
      <c r="G1104" s="5">
        <v>4.1375469901409367</v>
      </c>
      <c r="H1104" s="5">
        <v>2360.656075610023</v>
      </c>
      <c r="I1104" s="5">
        <v>97.673254403981659</v>
      </c>
    </row>
    <row r="1105" spans="1:9" x14ac:dyDescent="0.2">
      <c r="A1105" s="5" t="s">
        <v>80</v>
      </c>
      <c r="B1105" s="5" t="s">
        <v>63</v>
      </c>
      <c r="C1105" s="5" t="s">
        <v>50</v>
      </c>
      <c r="D1105" s="5">
        <v>5328812</v>
      </c>
      <c r="E1105" s="5">
        <v>220993</v>
      </c>
      <c r="F1105" s="5">
        <v>524748537</v>
      </c>
      <c r="G1105" s="5">
        <v>4.1471344832581822</v>
      </c>
      <c r="H1105" s="5">
        <v>2374.5029797323896</v>
      </c>
      <c r="I1105" s="5">
        <v>98.473831878474982</v>
      </c>
    </row>
    <row r="1106" spans="1:9" x14ac:dyDescent="0.2">
      <c r="A1106" s="5" t="s">
        <v>80</v>
      </c>
      <c r="B1106" s="5" t="s">
        <v>63</v>
      </c>
      <c r="C1106" s="5" t="s">
        <v>51</v>
      </c>
      <c r="D1106" s="5">
        <v>5344197</v>
      </c>
      <c r="E1106" s="5">
        <v>219343</v>
      </c>
      <c r="F1106" s="5">
        <v>526588382</v>
      </c>
      <c r="G1106" s="5">
        <v>4.1043210046336238</v>
      </c>
      <c r="H1106" s="5">
        <v>2400.7530762322026</v>
      </c>
      <c r="I1106" s="5">
        <v>98.534612777186169</v>
      </c>
    </row>
    <row r="1107" spans="1:9" x14ac:dyDescent="0.2">
      <c r="A1107" s="5" t="s">
        <v>80</v>
      </c>
      <c r="B1107" s="5" t="s">
        <v>63</v>
      </c>
      <c r="C1107" s="5" t="s">
        <v>52</v>
      </c>
      <c r="D1107" s="5">
        <v>5354397</v>
      </c>
      <c r="E1107" s="5">
        <v>216804</v>
      </c>
      <c r="F1107" s="5">
        <v>522444602</v>
      </c>
      <c r="G1107" s="5">
        <v>4.0490833981865748</v>
      </c>
      <c r="H1107" s="5">
        <v>2409.7553642921716</v>
      </c>
      <c r="I1107" s="5">
        <v>97.573004392464739</v>
      </c>
    </row>
    <row r="1108" spans="1:9" x14ac:dyDescent="0.2">
      <c r="A1108" s="5" t="s">
        <v>80</v>
      </c>
      <c r="B1108" s="5" t="s">
        <v>63</v>
      </c>
      <c r="C1108" s="5" t="s">
        <v>53</v>
      </c>
      <c r="D1108" s="5">
        <v>5364755</v>
      </c>
      <c r="E1108" s="5">
        <v>214516</v>
      </c>
      <c r="F1108" s="5">
        <v>519540966</v>
      </c>
      <c r="G1108" s="5">
        <v>3.998616898628176</v>
      </c>
      <c r="H1108" s="5">
        <v>2421.9217494266163</v>
      </c>
      <c r="I1108" s="5">
        <v>96.843372344123821</v>
      </c>
    </row>
    <row r="1109" spans="1:9" x14ac:dyDescent="0.2">
      <c r="A1109" s="5" t="s">
        <v>80</v>
      </c>
      <c r="B1109" s="5" t="s">
        <v>63</v>
      </c>
      <c r="C1109" s="5" t="s">
        <v>54</v>
      </c>
      <c r="D1109" s="5">
        <v>5375919</v>
      </c>
      <c r="E1109" s="5">
        <v>214252</v>
      </c>
      <c r="F1109" s="5">
        <v>519679638</v>
      </c>
      <c r="G1109" s="5">
        <v>3.9854023098190283</v>
      </c>
      <c r="H1109" s="5">
        <v>2425.5532643802626</v>
      </c>
      <c r="I1109" s="5">
        <v>96.66805582450182</v>
      </c>
    </row>
    <row r="1110" spans="1:9" x14ac:dyDescent="0.2">
      <c r="A1110" s="5" t="s">
        <v>80</v>
      </c>
      <c r="B1110" s="5" t="s">
        <v>63</v>
      </c>
      <c r="C1110" s="5" t="s">
        <v>55</v>
      </c>
      <c r="D1110" s="5">
        <v>5387515</v>
      </c>
      <c r="E1110" s="5">
        <v>211803</v>
      </c>
      <c r="F1110" s="5">
        <v>513494372</v>
      </c>
      <c r="G1110" s="5">
        <v>3.9313672444531478</v>
      </c>
      <c r="H1110" s="5">
        <v>2424.3961228122357</v>
      </c>
      <c r="I1110" s="5">
        <v>95.311915048032347</v>
      </c>
    </row>
    <row r="1111" spans="1:9" x14ac:dyDescent="0.2">
      <c r="A1111" s="5" t="s">
        <v>80</v>
      </c>
      <c r="B1111" s="5" t="s">
        <v>63</v>
      </c>
      <c r="C1111" s="5" t="s">
        <v>56</v>
      </c>
      <c r="D1111" s="5">
        <v>5400538</v>
      </c>
      <c r="E1111" s="5">
        <v>210550</v>
      </c>
      <c r="F1111" s="5">
        <v>511979522</v>
      </c>
      <c r="G1111" s="5">
        <v>3.8986856494667754</v>
      </c>
      <c r="H1111" s="5">
        <v>2431.6291712182378</v>
      </c>
      <c r="I1111" s="5">
        <v>94.801577546533323</v>
      </c>
    </row>
    <row r="1112" spans="1:9" x14ac:dyDescent="0.2">
      <c r="A1112" s="5" t="s">
        <v>80</v>
      </c>
      <c r="B1112" s="5" t="s">
        <v>63</v>
      </c>
      <c r="C1112" s="5" t="s">
        <v>57</v>
      </c>
      <c r="D1112" s="5">
        <v>5415472</v>
      </c>
      <c r="E1112" s="5">
        <v>209362</v>
      </c>
      <c r="F1112" s="5">
        <v>511300844</v>
      </c>
      <c r="G1112" s="5">
        <v>3.8659972759530472</v>
      </c>
      <c r="H1112" s="5">
        <v>2442.185515996217</v>
      </c>
      <c r="I1112" s="5">
        <v>94.414825522133626</v>
      </c>
    </row>
    <row r="1113" spans="1:9" x14ac:dyDescent="0.2">
      <c r="A1113" s="5" t="s">
        <v>80</v>
      </c>
      <c r="B1113" s="5" t="s">
        <v>63</v>
      </c>
      <c r="C1113" s="5" t="s">
        <v>58</v>
      </c>
      <c r="D1113" s="5">
        <v>5432769</v>
      </c>
      <c r="E1113" s="5">
        <v>208991</v>
      </c>
      <c r="F1113" s="5">
        <v>510891514</v>
      </c>
      <c r="G1113" s="5">
        <v>3.8468596768977292</v>
      </c>
      <c r="H1113" s="5">
        <v>2444.5622730165414</v>
      </c>
      <c r="I1113" s="5">
        <v>94.038880357327912</v>
      </c>
    </row>
    <row r="1114" spans="1:9" x14ac:dyDescent="0.2">
      <c r="A1114" s="5" t="s">
        <v>80</v>
      </c>
      <c r="B1114" s="5" t="s">
        <v>63</v>
      </c>
      <c r="C1114" s="5" t="s">
        <v>59</v>
      </c>
      <c r="D1114" s="5">
        <v>5451562</v>
      </c>
      <c r="E1114" s="5">
        <v>210694</v>
      </c>
      <c r="F1114" s="5">
        <v>516891843</v>
      </c>
      <c r="G1114" s="5">
        <v>3.8648372704923837</v>
      </c>
      <c r="H1114" s="5">
        <v>2453.2822149657795</v>
      </c>
      <c r="I1114" s="5">
        <v>94.815365394358537</v>
      </c>
    </row>
    <row r="1115" spans="1:9" x14ac:dyDescent="0.2">
      <c r="A1115" s="5" t="s">
        <v>80</v>
      </c>
      <c r="B1115" s="5" t="s">
        <v>63</v>
      </c>
      <c r="C1115" s="5" t="s">
        <v>60</v>
      </c>
      <c r="D1115" s="5">
        <v>5474080</v>
      </c>
      <c r="E1115" s="5">
        <v>211563</v>
      </c>
      <c r="F1115" s="5">
        <v>523056998</v>
      </c>
      <c r="G1115" s="5">
        <v>3.8648138134627188</v>
      </c>
      <c r="H1115" s="5">
        <v>2472.3462892849884</v>
      </c>
      <c r="I1115" s="5">
        <v>95.551580904919177</v>
      </c>
    </row>
    <row r="1116" spans="1:9" x14ac:dyDescent="0.2">
      <c r="A1116" s="5" t="s">
        <v>80</v>
      </c>
      <c r="B1116" s="5" t="s">
        <v>63</v>
      </c>
      <c r="C1116" s="5" t="s">
        <v>61</v>
      </c>
      <c r="D1116" s="5">
        <v>5499378</v>
      </c>
      <c r="E1116" s="5">
        <v>210579</v>
      </c>
      <c r="F1116" s="5">
        <v>522715319</v>
      </c>
      <c r="G1116" s="5">
        <v>3.8291421320738452</v>
      </c>
      <c r="H1116" s="5">
        <v>2482.2765755369719</v>
      </c>
      <c r="I1116" s="5">
        <v>95.04989818848604</v>
      </c>
    </row>
    <row r="1117" spans="1:9" x14ac:dyDescent="0.2">
      <c r="A1117" s="5" t="s">
        <v>80</v>
      </c>
      <c r="B1117" s="5" t="s">
        <v>63</v>
      </c>
      <c r="C1117" s="5" t="s">
        <v>62</v>
      </c>
      <c r="D1117" s="5">
        <v>5521572</v>
      </c>
      <c r="E1117" s="5">
        <v>210301</v>
      </c>
      <c r="F1117" s="5">
        <v>530330610</v>
      </c>
      <c r="G1117" s="5">
        <v>3.8087160685399013</v>
      </c>
      <c r="H1117" s="5">
        <v>2521.7693211159244</v>
      </c>
      <c r="I1117" s="5">
        <v>96.047033344851798</v>
      </c>
    </row>
    <row r="1118" spans="1:9" x14ac:dyDescent="0.2">
      <c r="A1118" s="5" t="s">
        <v>80</v>
      </c>
      <c r="B1118" s="5" t="s">
        <v>64</v>
      </c>
      <c r="C1118" s="5" t="s">
        <v>45</v>
      </c>
      <c r="D1118" s="5">
        <v>4605661</v>
      </c>
      <c r="E1118" s="5">
        <v>274233</v>
      </c>
      <c r="F1118" s="5">
        <v>316861320</v>
      </c>
      <c r="G1118" s="5">
        <v>5.9542593343279062</v>
      </c>
      <c r="H1118" s="5">
        <v>1155.4456247059982</v>
      </c>
      <c r="I1118" s="5">
        <v>68.798228962140286</v>
      </c>
    </row>
    <row r="1119" spans="1:9" x14ac:dyDescent="0.2">
      <c r="A1119" s="5" t="s">
        <v>80</v>
      </c>
      <c r="B1119" s="5" t="s">
        <v>64</v>
      </c>
      <c r="C1119" s="5" t="s">
        <v>46</v>
      </c>
      <c r="D1119" s="5">
        <v>4657117</v>
      </c>
      <c r="E1119" s="5">
        <v>272348</v>
      </c>
      <c r="F1119" s="5">
        <v>320285970</v>
      </c>
      <c r="G1119" s="5">
        <v>5.8479956591170028</v>
      </c>
      <c r="H1119" s="5">
        <v>1176.0173381115337</v>
      </c>
      <c r="I1119" s="5">
        <v>68.773442883225826</v>
      </c>
    </row>
    <row r="1120" spans="1:9" x14ac:dyDescent="0.2">
      <c r="A1120" s="5" t="s">
        <v>80</v>
      </c>
      <c r="B1120" s="5" t="s">
        <v>64</v>
      </c>
      <c r="C1120" s="5" t="s">
        <v>47</v>
      </c>
      <c r="D1120" s="5">
        <v>4717718</v>
      </c>
      <c r="E1120" s="5">
        <v>276867</v>
      </c>
      <c r="F1120" s="5">
        <v>335284118</v>
      </c>
      <c r="G1120" s="5">
        <v>5.8686636208438063</v>
      </c>
      <c r="H1120" s="5">
        <v>1210.9934300584757</v>
      </c>
      <c r="I1120" s="5">
        <v>71.069130880650349</v>
      </c>
    </row>
    <row r="1121" spans="1:9" x14ac:dyDescent="0.2">
      <c r="A1121" s="5" t="s">
        <v>80</v>
      </c>
      <c r="B1121" s="5" t="s">
        <v>64</v>
      </c>
      <c r="C1121" s="5" t="s">
        <v>48</v>
      </c>
      <c r="D1121" s="5">
        <v>4778322</v>
      </c>
      <c r="E1121" s="5">
        <v>273202</v>
      </c>
      <c r="F1121" s="5">
        <v>324586873</v>
      </c>
      <c r="G1121" s="5">
        <v>5.7175301287774243</v>
      </c>
      <c r="H1121" s="5">
        <v>1188.0838097817732</v>
      </c>
      <c r="I1121" s="5">
        <v>67.929049779399548</v>
      </c>
    </row>
    <row r="1122" spans="1:9" x14ac:dyDescent="0.2">
      <c r="A1122" s="5" t="s">
        <v>80</v>
      </c>
      <c r="B1122" s="5" t="s">
        <v>64</v>
      </c>
      <c r="C1122" s="5" t="s">
        <v>49</v>
      </c>
      <c r="D1122" s="5">
        <v>4821894</v>
      </c>
      <c r="E1122" s="5">
        <v>264545</v>
      </c>
      <c r="F1122" s="5">
        <v>302757427</v>
      </c>
      <c r="G1122" s="5">
        <v>5.486329645570807</v>
      </c>
      <c r="H1122" s="5">
        <v>1144.4458485323858</v>
      </c>
      <c r="I1122" s="5">
        <v>62.788071865536651</v>
      </c>
    </row>
    <row r="1123" spans="1:9" x14ac:dyDescent="0.2">
      <c r="A1123" s="5" t="s">
        <v>80</v>
      </c>
      <c r="B1123" s="5" t="s">
        <v>64</v>
      </c>
      <c r="C1123" s="5" t="s">
        <v>50</v>
      </c>
      <c r="D1123" s="5">
        <v>4845150</v>
      </c>
      <c r="E1123" s="5">
        <v>258507</v>
      </c>
      <c r="F1123" s="5">
        <v>297047177</v>
      </c>
      <c r="G1123" s="5">
        <v>5.3353766137271288</v>
      </c>
      <c r="H1123" s="5">
        <v>1149.0875566232248</v>
      </c>
      <c r="I1123" s="5">
        <v>61.308148767324028</v>
      </c>
    </row>
    <row r="1124" spans="1:9" x14ac:dyDescent="0.2">
      <c r="A1124" s="5" t="s">
        <v>80</v>
      </c>
      <c r="B1124" s="5" t="s">
        <v>64</v>
      </c>
      <c r="C1124" s="5" t="s">
        <v>51</v>
      </c>
      <c r="D1124" s="5">
        <v>4855794</v>
      </c>
      <c r="E1124" s="5">
        <v>255162</v>
      </c>
      <c r="F1124" s="5">
        <v>295639461</v>
      </c>
      <c r="G1124" s="5">
        <v>5.2547945814834813</v>
      </c>
      <c r="H1124" s="5">
        <v>1158.6343616996262</v>
      </c>
      <c r="I1124" s="5">
        <v>60.883855657797675</v>
      </c>
    </row>
    <row r="1125" spans="1:9" x14ac:dyDescent="0.2">
      <c r="A1125" s="5" t="s">
        <v>80</v>
      </c>
      <c r="B1125" s="5" t="s">
        <v>64</v>
      </c>
      <c r="C1125" s="5" t="s">
        <v>52</v>
      </c>
      <c r="D1125" s="5">
        <v>4859929</v>
      </c>
      <c r="E1125" s="5">
        <v>285470</v>
      </c>
      <c r="F1125" s="5">
        <v>379257160</v>
      </c>
      <c r="G1125" s="5">
        <v>5.873954125667268</v>
      </c>
      <c r="H1125" s="5">
        <v>1328.5359582442989</v>
      </c>
      <c r="I1125" s="5">
        <v>78.037592730264166</v>
      </c>
    </row>
    <row r="1126" spans="1:9" x14ac:dyDescent="0.2">
      <c r="A1126" s="5" t="s">
        <v>80</v>
      </c>
      <c r="B1126" s="5" t="s">
        <v>64</v>
      </c>
      <c r="C1126" s="5" t="s">
        <v>53</v>
      </c>
      <c r="D1126" s="5">
        <v>4862646</v>
      </c>
      <c r="E1126" s="5">
        <v>282555</v>
      </c>
      <c r="F1126" s="5">
        <v>383938668</v>
      </c>
      <c r="G1126" s="5">
        <v>5.8107252717964668</v>
      </c>
      <c r="H1126" s="5">
        <v>1358.8103838190796</v>
      </c>
      <c r="I1126" s="5">
        <v>78.956738368369813</v>
      </c>
    </row>
    <row r="1127" spans="1:9" x14ac:dyDescent="0.2">
      <c r="A1127" s="5" t="s">
        <v>80</v>
      </c>
      <c r="B1127" s="5" t="s">
        <v>64</v>
      </c>
      <c r="C1127" s="5" t="s">
        <v>54</v>
      </c>
      <c r="D1127" s="5">
        <v>4865956</v>
      </c>
      <c r="E1127" s="5">
        <v>281841</v>
      </c>
      <c r="F1127" s="5">
        <v>384575835</v>
      </c>
      <c r="G1127" s="5">
        <v>5.7920992298327398</v>
      </c>
      <c r="H1127" s="5">
        <v>1364.5134490723492</v>
      </c>
      <c r="I1127" s="5">
        <v>79.033972974683707</v>
      </c>
    </row>
    <row r="1128" spans="1:9" x14ac:dyDescent="0.2">
      <c r="A1128" s="5" t="s">
        <v>80</v>
      </c>
      <c r="B1128" s="5" t="s">
        <v>64</v>
      </c>
      <c r="C1128" s="5" t="s">
        <v>55</v>
      </c>
      <c r="D1128" s="5">
        <v>4869403</v>
      </c>
      <c r="E1128" s="5">
        <v>263876</v>
      </c>
      <c r="F1128" s="5">
        <v>352758587</v>
      </c>
      <c r="G1128" s="5">
        <v>5.4190626653821834</v>
      </c>
      <c r="H1128" s="5">
        <v>1336.8346761357607</v>
      </c>
      <c r="I1128" s="5">
        <v>72.443908832355831</v>
      </c>
    </row>
    <row r="1129" spans="1:9" x14ac:dyDescent="0.2">
      <c r="A1129" s="5" t="s">
        <v>80</v>
      </c>
      <c r="B1129" s="5" t="s">
        <v>64</v>
      </c>
      <c r="C1129" s="5" t="s">
        <v>56</v>
      </c>
      <c r="D1129" s="5">
        <v>4874915</v>
      </c>
      <c r="E1129" s="5">
        <v>226016</v>
      </c>
      <c r="F1129" s="5">
        <v>267071586</v>
      </c>
      <c r="G1129" s="5">
        <v>4.6363064791898934</v>
      </c>
      <c r="H1129" s="5">
        <v>1181.6490248477983</v>
      </c>
      <c r="I1129" s="5">
        <v>54.784870300302671</v>
      </c>
    </row>
    <row r="1130" spans="1:9" x14ac:dyDescent="0.2">
      <c r="A1130" s="5" t="s">
        <v>80</v>
      </c>
      <c r="B1130" s="5" t="s">
        <v>64</v>
      </c>
      <c r="C1130" s="5" t="s">
        <v>57</v>
      </c>
      <c r="D1130" s="5">
        <v>4883216</v>
      </c>
      <c r="E1130" s="5">
        <v>220112</v>
      </c>
      <c r="F1130" s="5">
        <v>253277698</v>
      </c>
      <c r="G1130" s="5">
        <v>4.5075212728660787</v>
      </c>
      <c r="H1130" s="5">
        <v>1150.6764647088755</v>
      </c>
      <c r="I1130" s="5">
        <v>51.866986428615895</v>
      </c>
    </row>
    <row r="1131" spans="1:9" x14ac:dyDescent="0.2">
      <c r="A1131" s="5" t="s">
        <v>80</v>
      </c>
      <c r="B1131" s="5" t="s">
        <v>64</v>
      </c>
      <c r="C1131" s="5" t="s">
        <v>58</v>
      </c>
      <c r="D1131" s="5">
        <v>4894063</v>
      </c>
      <c r="E1131" s="5">
        <v>219690</v>
      </c>
      <c r="F1131" s="5">
        <v>254245831</v>
      </c>
      <c r="G1131" s="5">
        <v>4.488908295622676</v>
      </c>
      <c r="H1131" s="5">
        <v>1157.2936000728298</v>
      </c>
      <c r="I1131" s="5">
        <v>51.949848418379574</v>
      </c>
    </row>
    <row r="1132" spans="1:9" x14ac:dyDescent="0.2">
      <c r="A1132" s="5" t="s">
        <v>80</v>
      </c>
      <c r="B1132" s="5" t="s">
        <v>64</v>
      </c>
      <c r="C1132" s="5" t="s">
        <v>59</v>
      </c>
      <c r="D1132" s="5">
        <v>4906071</v>
      </c>
      <c r="E1132" s="5">
        <v>215265</v>
      </c>
      <c r="F1132" s="5">
        <v>245916383</v>
      </c>
      <c r="G1132" s="5">
        <v>4.3877269611467096</v>
      </c>
      <c r="H1132" s="5">
        <v>1142.3890692866933</v>
      </c>
      <c r="I1132" s="5">
        <v>50.124913194285206</v>
      </c>
    </row>
    <row r="1133" spans="1:9" x14ac:dyDescent="0.2">
      <c r="A1133" s="5" t="s">
        <v>80</v>
      </c>
      <c r="B1133" s="5" t="s">
        <v>64</v>
      </c>
      <c r="C1133" s="5" t="s">
        <v>60</v>
      </c>
      <c r="D1133" s="5">
        <v>4921649</v>
      </c>
      <c r="E1133" s="5">
        <v>207930</v>
      </c>
      <c r="F1133" s="5">
        <v>234074942</v>
      </c>
      <c r="G1133" s="5">
        <v>4.2248035160573219</v>
      </c>
      <c r="H1133" s="5">
        <v>1125.7391525994326</v>
      </c>
      <c r="I1133" s="5">
        <v>47.560267300654722</v>
      </c>
    </row>
    <row r="1134" spans="1:9" x14ac:dyDescent="0.2">
      <c r="A1134" s="5" t="s">
        <v>80</v>
      </c>
      <c r="B1134" s="5" t="s">
        <v>64</v>
      </c>
      <c r="C1134" s="5" t="s">
        <v>61</v>
      </c>
      <c r="D1134" s="5">
        <v>4940367</v>
      </c>
      <c r="E1134" s="5">
        <v>205891</v>
      </c>
      <c r="F1134" s="5">
        <v>240554409</v>
      </c>
      <c r="G1134" s="5">
        <v>4.1675243964669022</v>
      </c>
      <c r="H1134" s="5">
        <v>1168.3580583901191</v>
      </c>
      <c r="I1134" s="5">
        <v>48.691607121495224</v>
      </c>
    </row>
    <row r="1135" spans="1:9" x14ac:dyDescent="0.2">
      <c r="A1135" s="5" t="s">
        <v>80</v>
      </c>
      <c r="B1135" s="5" t="s">
        <v>64</v>
      </c>
      <c r="C1135" s="5" t="s">
        <v>62</v>
      </c>
      <c r="D1135" s="5">
        <v>4956258</v>
      </c>
      <c r="E1135" s="5">
        <v>207055</v>
      </c>
      <c r="F1135" s="5">
        <v>247300087</v>
      </c>
      <c r="G1135" s="5">
        <v>4.177647733431149</v>
      </c>
      <c r="H1135" s="5">
        <v>1194.3690661901428</v>
      </c>
      <c r="I1135" s="5">
        <v>49.896532222495274</v>
      </c>
    </row>
    <row r="1136" spans="1:9" x14ac:dyDescent="0.2">
      <c r="A1136" s="5" t="s">
        <v>80</v>
      </c>
      <c r="B1136" s="5" t="s">
        <v>65</v>
      </c>
      <c r="C1136" s="5" t="s">
        <v>45</v>
      </c>
      <c r="D1136" s="5">
        <v>4404187</v>
      </c>
      <c r="E1136" s="5">
        <v>360151</v>
      </c>
      <c r="F1136" s="5">
        <v>824268968</v>
      </c>
      <c r="G1136" s="5">
        <v>8.1774683954155449</v>
      </c>
      <c r="H1136" s="5">
        <v>2288.6760497680139</v>
      </c>
      <c r="I1136" s="5">
        <v>187.15576064322428</v>
      </c>
    </row>
    <row r="1137" spans="1:9" x14ac:dyDescent="0.2">
      <c r="A1137" s="5" t="s">
        <v>80</v>
      </c>
      <c r="B1137" s="5" t="s">
        <v>65</v>
      </c>
      <c r="C1137" s="5" t="s">
        <v>46</v>
      </c>
      <c r="D1137" s="5">
        <v>4454118</v>
      </c>
      <c r="E1137" s="5">
        <v>344687</v>
      </c>
      <c r="F1137" s="5">
        <v>806200846</v>
      </c>
      <c r="G1137" s="5">
        <v>7.7386140196555191</v>
      </c>
      <c r="H1137" s="5">
        <v>2338.9360376225386</v>
      </c>
      <c r="I1137" s="5">
        <v>181.00123211823305</v>
      </c>
    </row>
    <row r="1138" spans="1:9" x14ac:dyDescent="0.2">
      <c r="A1138" s="5" t="s">
        <v>80</v>
      </c>
      <c r="B1138" s="5" t="s">
        <v>65</v>
      </c>
      <c r="C1138" s="5" t="s">
        <v>47</v>
      </c>
      <c r="D1138" s="5">
        <v>4512669</v>
      </c>
      <c r="E1138" s="5">
        <v>345595</v>
      </c>
      <c r="F1138" s="5">
        <v>822362852</v>
      </c>
      <c r="G1138" s="5">
        <v>7.6583281423920075</v>
      </c>
      <c r="H1138" s="5">
        <v>2379.5565676586757</v>
      </c>
      <c r="I1138" s="5">
        <v>182.23425028514168</v>
      </c>
    </row>
    <row r="1139" spans="1:9" x14ac:dyDescent="0.2">
      <c r="A1139" s="5" t="s">
        <v>80</v>
      </c>
      <c r="B1139" s="5" t="s">
        <v>65</v>
      </c>
      <c r="C1139" s="5" t="s">
        <v>48</v>
      </c>
      <c r="D1139" s="5">
        <v>4571226</v>
      </c>
      <c r="E1139" s="5">
        <v>347926</v>
      </c>
      <c r="F1139" s="5">
        <v>832290337</v>
      </c>
      <c r="G1139" s="5">
        <v>7.6112185221207618</v>
      </c>
      <c r="H1139" s="5">
        <v>2392.1475744842296</v>
      </c>
      <c r="I1139" s="5">
        <v>182.0715792656062</v>
      </c>
    </row>
    <row r="1140" spans="1:9" x14ac:dyDescent="0.2">
      <c r="A1140" s="5" t="s">
        <v>80</v>
      </c>
      <c r="B1140" s="5" t="s">
        <v>65</v>
      </c>
      <c r="C1140" s="5" t="s">
        <v>49</v>
      </c>
      <c r="D1140" s="5">
        <v>4612782</v>
      </c>
      <c r="E1140" s="5">
        <v>345793</v>
      </c>
      <c r="F1140" s="5">
        <v>840000727</v>
      </c>
      <c r="G1140" s="5">
        <v>7.4964088916406633</v>
      </c>
      <c r="H1140" s="5">
        <v>2429.201074052974</v>
      </c>
      <c r="I1140" s="5">
        <v>182.10284531113763</v>
      </c>
    </row>
    <row r="1141" spans="1:9" x14ac:dyDescent="0.2">
      <c r="A1141" s="5" t="s">
        <v>80</v>
      </c>
      <c r="B1141" s="5" t="s">
        <v>65</v>
      </c>
      <c r="C1141" s="5" t="s">
        <v>50</v>
      </c>
      <c r="D1141" s="5">
        <v>4634395</v>
      </c>
      <c r="E1141" s="5">
        <v>345025</v>
      </c>
      <c r="F1141" s="5">
        <v>852467876</v>
      </c>
      <c r="G1141" s="5">
        <v>7.4448768393716982</v>
      </c>
      <c r="H1141" s="5">
        <v>2470.742340410115</v>
      </c>
      <c r="I1141" s="5">
        <v>183.94372426174291</v>
      </c>
    </row>
    <row r="1142" spans="1:9" x14ac:dyDescent="0.2">
      <c r="A1142" s="5" t="s">
        <v>80</v>
      </c>
      <c r="B1142" s="5" t="s">
        <v>65</v>
      </c>
      <c r="C1142" s="5" t="s">
        <v>51</v>
      </c>
      <c r="D1142" s="5">
        <v>4643953</v>
      </c>
      <c r="E1142" s="5">
        <v>336236</v>
      </c>
      <c r="F1142" s="5">
        <v>836456948</v>
      </c>
      <c r="G1142" s="5">
        <v>7.2402972209236403</v>
      </c>
      <c r="H1142" s="5">
        <v>2487.7078837483195</v>
      </c>
      <c r="I1142" s="5">
        <v>180.11744477172789</v>
      </c>
    </row>
    <row r="1143" spans="1:9" x14ac:dyDescent="0.2">
      <c r="A1143" s="5" t="s">
        <v>80</v>
      </c>
      <c r="B1143" s="5" t="s">
        <v>65</v>
      </c>
      <c r="C1143" s="5" t="s">
        <v>52</v>
      </c>
      <c r="D1143" s="5">
        <v>4647190</v>
      </c>
      <c r="E1143" s="5">
        <v>327769</v>
      </c>
      <c r="F1143" s="5">
        <v>820186907</v>
      </c>
      <c r="G1143" s="5">
        <v>7.0530578693791304</v>
      </c>
      <c r="H1143" s="5">
        <v>2502.3321516067717</v>
      </c>
      <c r="I1143" s="5">
        <v>176.49093473690553</v>
      </c>
    </row>
    <row r="1144" spans="1:9" x14ac:dyDescent="0.2">
      <c r="A1144" s="5" t="s">
        <v>80</v>
      </c>
      <c r="B1144" s="5" t="s">
        <v>65</v>
      </c>
      <c r="C1144" s="5" t="s">
        <v>53</v>
      </c>
      <c r="D1144" s="5">
        <v>4649285</v>
      </c>
      <c r="E1144" s="5">
        <v>321928</v>
      </c>
      <c r="F1144" s="5">
        <v>805902667</v>
      </c>
      <c r="G1144" s="5">
        <v>6.9242474918186341</v>
      </c>
      <c r="H1144" s="5">
        <v>2503.3630718670015</v>
      </c>
      <c r="I1144" s="5">
        <v>173.33905471486477</v>
      </c>
    </row>
    <row r="1145" spans="1:9" x14ac:dyDescent="0.2">
      <c r="A1145" s="5" t="s">
        <v>80</v>
      </c>
      <c r="B1145" s="5" t="s">
        <v>65</v>
      </c>
      <c r="C1145" s="5" t="s">
        <v>54</v>
      </c>
      <c r="D1145" s="5">
        <v>4651648</v>
      </c>
      <c r="E1145" s="5">
        <v>318954</v>
      </c>
      <c r="F1145" s="5">
        <v>803022889</v>
      </c>
      <c r="G1145" s="5">
        <v>6.8567956990726726</v>
      </c>
      <c r="H1145" s="5">
        <v>2517.6761821453879</v>
      </c>
      <c r="I1145" s="5">
        <v>172.63191217392202</v>
      </c>
    </row>
    <row r="1146" spans="1:9" x14ac:dyDescent="0.2">
      <c r="A1146" s="5" t="s">
        <v>80</v>
      </c>
      <c r="B1146" s="5" t="s">
        <v>65</v>
      </c>
      <c r="C1146" s="5" t="s">
        <v>55</v>
      </c>
      <c r="D1146" s="5">
        <v>4654734</v>
      </c>
      <c r="E1146" s="5">
        <v>314329</v>
      </c>
      <c r="F1146" s="5">
        <v>790967918</v>
      </c>
      <c r="G1146" s="5">
        <v>6.7528885646311902</v>
      </c>
      <c r="H1146" s="5">
        <v>2516.3695300147297</v>
      </c>
      <c r="I1146" s="5">
        <v>169.92763023622831</v>
      </c>
    </row>
    <row r="1147" spans="1:9" x14ac:dyDescent="0.2">
      <c r="A1147" s="5" t="s">
        <v>80</v>
      </c>
      <c r="B1147" s="5" t="s">
        <v>65</v>
      </c>
      <c r="C1147" s="5" t="s">
        <v>56</v>
      </c>
      <c r="D1147" s="5">
        <v>4659890</v>
      </c>
      <c r="E1147" s="5">
        <v>310734</v>
      </c>
      <c r="F1147" s="5">
        <v>791855010</v>
      </c>
      <c r="G1147" s="5">
        <v>6.6682689934740953</v>
      </c>
      <c r="H1147" s="5">
        <v>2548.3371951572726</v>
      </c>
      <c r="I1147" s="5">
        <v>169.92997903383986</v>
      </c>
    </row>
    <row r="1148" spans="1:9" x14ac:dyDescent="0.2">
      <c r="A1148" s="5" t="s">
        <v>80</v>
      </c>
      <c r="B1148" s="5" t="s">
        <v>65</v>
      </c>
      <c r="C1148" s="5" t="s">
        <v>57</v>
      </c>
      <c r="D1148" s="5">
        <v>4667685</v>
      </c>
      <c r="E1148" s="5">
        <v>305031</v>
      </c>
      <c r="F1148" s="5">
        <v>783587659</v>
      </c>
      <c r="G1148" s="5">
        <v>6.534952551425385</v>
      </c>
      <c r="H1148" s="5">
        <v>2568.8787664204624</v>
      </c>
      <c r="I1148" s="5">
        <v>167.87500848921897</v>
      </c>
    </row>
    <row r="1149" spans="1:9" x14ac:dyDescent="0.2">
      <c r="A1149" s="5" t="s">
        <v>80</v>
      </c>
      <c r="B1149" s="5" t="s">
        <v>65</v>
      </c>
      <c r="C1149" s="5" t="s">
        <v>58</v>
      </c>
      <c r="D1149" s="5">
        <v>4678304</v>
      </c>
      <c r="E1149" s="5">
        <v>304839</v>
      </c>
      <c r="F1149" s="5">
        <v>791280818</v>
      </c>
      <c r="G1149" s="5">
        <v>6.5160152055103726</v>
      </c>
      <c r="H1149" s="5">
        <v>2595.7335445923914</v>
      </c>
      <c r="I1149" s="5">
        <v>169.13839246017361</v>
      </c>
    </row>
    <row r="1150" spans="1:9" x14ac:dyDescent="0.2">
      <c r="A1150" s="5" t="s">
        <v>80</v>
      </c>
      <c r="B1150" s="5" t="s">
        <v>65</v>
      </c>
      <c r="C1150" s="5" t="s">
        <v>59</v>
      </c>
      <c r="D1150" s="5">
        <v>4690370</v>
      </c>
      <c r="E1150" s="5">
        <v>303726</v>
      </c>
      <c r="F1150" s="5">
        <v>802358991</v>
      </c>
      <c r="G1150" s="5">
        <v>6.4755232529629856</v>
      </c>
      <c r="H1150" s="5">
        <v>2641.7198099602933</v>
      </c>
      <c r="I1150" s="5">
        <v>171.06518057210837</v>
      </c>
    </row>
    <row r="1151" spans="1:9" x14ac:dyDescent="0.2">
      <c r="A1151" s="5" t="s">
        <v>80</v>
      </c>
      <c r="B1151" s="5" t="s">
        <v>65</v>
      </c>
      <c r="C1151" s="5" t="s">
        <v>60</v>
      </c>
      <c r="D1151" s="5">
        <v>4705943</v>
      </c>
      <c r="E1151" s="5">
        <v>301945</v>
      </c>
      <c r="F1151" s="5">
        <v>798257400</v>
      </c>
      <c r="G1151" s="5">
        <v>6.4162485605966753</v>
      </c>
      <c r="H1151" s="5">
        <v>2643.7178956432463</v>
      </c>
      <c r="I1151" s="5">
        <v>169.6275114254465</v>
      </c>
    </row>
    <row r="1152" spans="1:9" x14ac:dyDescent="0.2">
      <c r="A1152" s="5" t="s">
        <v>80</v>
      </c>
      <c r="B1152" s="5" t="s">
        <v>65</v>
      </c>
      <c r="C1152" s="5" t="s">
        <v>61</v>
      </c>
      <c r="D1152" s="5">
        <v>4724294</v>
      </c>
      <c r="E1152" s="5">
        <v>303356</v>
      </c>
      <c r="F1152" s="5">
        <v>814909420</v>
      </c>
      <c r="G1152" s="5">
        <v>6.4211922458678483</v>
      </c>
      <c r="H1152" s="5">
        <v>2686.3138358891865</v>
      </c>
      <c r="I1152" s="5">
        <v>172.49337572979158</v>
      </c>
    </row>
    <row r="1153" spans="1:9" x14ac:dyDescent="0.2">
      <c r="A1153" s="5" t="s">
        <v>80</v>
      </c>
      <c r="B1153" s="5" t="s">
        <v>65</v>
      </c>
      <c r="C1153" s="5" t="s">
        <v>62</v>
      </c>
      <c r="D1153" s="5">
        <v>4741052</v>
      </c>
      <c r="E1153" s="5">
        <v>300202</v>
      </c>
      <c r="F1153" s="5">
        <v>815757127</v>
      </c>
      <c r="G1153" s="5">
        <v>6.331970204081288</v>
      </c>
      <c r="H1153" s="5">
        <v>2717.360733772593</v>
      </c>
      <c r="I1153" s="5">
        <v>172.06247199988525</v>
      </c>
    </row>
    <row r="1154" spans="1:9" x14ac:dyDescent="0.2">
      <c r="A1154" s="5" t="s">
        <v>81</v>
      </c>
      <c r="B1154" s="5" t="s">
        <v>44</v>
      </c>
      <c r="C1154" s="5" t="s">
        <v>45</v>
      </c>
      <c r="D1154" s="5">
        <v>1837904</v>
      </c>
      <c r="E1154" s="5">
        <v>16604</v>
      </c>
      <c r="F1154" s="5">
        <v>145810719</v>
      </c>
      <c r="G1154" s="5">
        <v>0.90342041804142115</v>
      </c>
      <c r="H1154" s="5">
        <v>8781.6621898337744</v>
      </c>
      <c r="I1154" s="5">
        <v>79.335329266381706</v>
      </c>
    </row>
    <row r="1155" spans="1:9" x14ac:dyDescent="0.2">
      <c r="A1155" s="5" t="s">
        <v>81</v>
      </c>
      <c r="B1155" s="5" t="s">
        <v>44</v>
      </c>
      <c r="C1155" s="5" t="s">
        <v>46</v>
      </c>
      <c r="D1155" s="5">
        <v>1847006</v>
      </c>
      <c r="E1155" s="5">
        <v>16469</v>
      </c>
      <c r="F1155" s="5">
        <v>146806928</v>
      </c>
      <c r="G1155" s="5">
        <v>0.89165925828069859</v>
      </c>
      <c r="H1155" s="5">
        <v>8914.1373489586495</v>
      </c>
      <c r="I1155" s="5">
        <v>79.483730967847421</v>
      </c>
    </row>
    <row r="1156" spans="1:9" x14ac:dyDescent="0.2">
      <c r="A1156" s="5" t="s">
        <v>81</v>
      </c>
      <c r="B1156" s="5" t="s">
        <v>44</v>
      </c>
      <c r="C1156" s="5" t="s">
        <v>47</v>
      </c>
      <c r="D1156" s="5">
        <v>1857766</v>
      </c>
      <c r="E1156" s="5">
        <v>16377</v>
      </c>
      <c r="F1156" s="5">
        <v>147429481</v>
      </c>
      <c r="G1156" s="5">
        <v>0.88154267006716669</v>
      </c>
      <c r="H1156" s="5">
        <v>9002.2275752579844</v>
      </c>
      <c r="I1156" s="5">
        <v>79.358477332451983</v>
      </c>
    </row>
    <row r="1157" spans="1:9" x14ac:dyDescent="0.2">
      <c r="A1157" s="5" t="s">
        <v>81</v>
      </c>
      <c r="B1157" s="5" t="s">
        <v>44</v>
      </c>
      <c r="C1157" s="5" t="s">
        <v>48</v>
      </c>
      <c r="D1157" s="5">
        <v>1866492</v>
      </c>
      <c r="E1157" s="5">
        <v>16311</v>
      </c>
      <c r="F1157" s="5">
        <v>146883631</v>
      </c>
      <c r="G1157" s="5">
        <v>0.87388534212844204</v>
      </c>
      <c r="H1157" s="5">
        <v>9005.1885843909022</v>
      </c>
      <c r="I1157" s="5">
        <v>78.695023070015836</v>
      </c>
    </row>
    <row r="1158" spans="1:9" x14ac:dyDescent="0.2">
      <c r="A1158" s="5" t="s">
        <v>81</v>
      </c>
      <c r="B1158" s="5" t="s">
        <v>44</v>
      </c>
      <c r="C1158" s="5" t="s">
        <v>49</v>
      </c>
      <c r="D1158" s="5">
        <v>1871367</v>
      </c>
      <c r="E1158" s="5">
        <v>15941</v>
      </c>
      <c r="F1158" s="5">
        <v>139956218</v>
      </c>
      <c r="G1158" s="5">
        <v>0.85183718639903339</v>
      </c>
      <c r="H1158" s="5">
        <v>8779.638542124083</v>
      </c>
      <c r="I1158" s="5">
        <v>74.788225933234898</v>
      </c>
    </row>
    <row r="1159" spans="1:9" x14ac:dyDescent="0.2">
      <c r="A1159" s="5" t="s">
        <v>81</v>
      </c>
      <c r="B1159" s="5" t="s">
        <v>44</v>
      </c>
      <c r="C1159" s="5" t="s">
        <v>50</v>
      </c>
      <c r="D1159" s="5">
        <v>1872879</v>
      </c>
      <c r="E1159" s="5">
        <v>15654</v>
      </c>
      <c r="F1159" s="5">
        <v>141336288</v>
      </c>
      <c r="G1159" s="5">
        <v>0.83582548578952509</v>
      </c>
      <c r="H1159" s="5">
        <v>9028.7650440781908</v>
      </c>
      <c r="I1159" s="5">
        <v>75.464719290461375</v>
      </c>
    </row>
    <row r="1160" spans="1:9" x14ac:dyDescent="0.2">
      <c r="A1160" s="5" t="s">
        <v>81</v>
      </c>
      <c r="B1160" s="5" t="s">
        <v>44</v>
      </c>
      <c r="C1160" s="5" t="s">
        <v>51</v>
      </c>
      <c r="D1160" s="5">
        <v>1874506</v>
      </c>
      <c r="E1160" s="5">
        <v>15346</v>
      </c>
      <c r="F1160" s="5">
        <v>138664547</v>
      </c>
      <c r="G1160" s="5">
        <v>0.81866902533254093</v>
      </c>
      <c r="H1160" s="5">
        <v>9035.8756027629352</v>
      </c>
      <c r="I1160" s="5">
        <v>73.973914727400185</v>
      </c>
    </row>
    <row r="1161" spans="1:9" x14ac:dyDescent="0.2">
      <c r="A1161" s="5" t="s">
        <v>81</v>
      </c>
      <c r="B1161" s="5" t="s">
        <v>44</v>
      </c>
      <c r="C1161" s="5" t="s">
        <v>52</v>
      </c>
      <c r="D1161" s="5">
        <v>1878269</v>
      </c>
      <c r="E1161" s="5">
        <v>15305</v>
      </c>
      <c r="F1161" s="5">
        <v>139665218</v>
      </c>
      <c r="G1161" s="5">
        <v>0.81484600981009647</v>
      </c>
      <c r="H1161" s="5">
        <v>9125.4634433191768</v>
      </c>
      <c r="I1161" s="5">
        <v>74.358474744565342</v>
      </c>
    </row>
    <row r="1162" spans="1:9" x14ac:dyDescent="0.2">
      <c r="A1162" s="5" t="s">
        <v>81</v>
      </c>
      <c r="B1162" s="5" t="s">
        <v>44</v>
      </c>
      <c r="C1162" s="5" t="s">
        <v>53</v>
      </c>
      <c r="D1162" s="5">
        <v>1883630</v>
      </c>
      <c r="E1162" s="5">
        <v>15176</v>
      </c>
      <c r="F1162" s="5">
        <v>141471466</v>
      </c>
      <c r="G1162" s="5">
        <v>0.80567839756215398</v>
      </c>
      <c r="H1162" s="5">
        <v>9322.0523194517664</v>
      </c>
      <c r="I1162" s="5">
        <v>75.105761747264594</v>
      </c>
    </row>
    <row r="1163" spans="1:9" x14ac:dyDescent="0.2">
      <c r="A1163" s="5" t="s">
        <v>81</v>
      </c>
      <c r="B1163" s="5" t="s">
        <v>44</v>
      </c>
      <c r="C1163" s="5" t="s">
        <v>54</v>
      </c>
      <c r="D1163" s="5">
        <v>1891069</v>
      </c>
      <c r="E1163" s="5">
        <v>15115</v>
      </c>
      <c r="F1163" s="5">
        <v>139909366</v>
      </c>
      <c r="G1163" s="5">
        <v>0.7992833682959215</v>
      </c>
      <c r="H1163" s="5">
        <v>9256.3259014224277</v>
      </c>
      <c r="I1163" s="5">
        <v>73.984273445336996</v>
      </c>
    </row>
    <row r="1164" spans="1:9" x14ac:dyDescent="0.2">
      <c r="A1164" s="5" t="s">
        <v>81</v>
      </c>
      <c r="B1164" s="5" t="s">
        <v>44</v>
      </c>
      <c r="C1164" s="5" t="s">
        <v>55</v>
      </c>
      <c r="D1164" s="5">
        <v>1899909</v>
      </c>
      <c r="E1164" s="5">
        <v>15310</v>
      </c>
      <c r="F1164" s="5">
        <v>146907968</v>
      </c>
      <c r="G1164" s="5">
        <v>0.80582806860749645</v>
      </c>
      <c r="H1164" s="5">
        <v>9595.5563683866749</v>
      </c>
      <c r="I1164" s="5">
        <v>77.323686555513973</v>
      </c>
    </row>
    <row r="1165" spans="1:9" x14ac:dyDescent="0.2">
      <c r="A1165" s="5" t="s">
        <v>81</v>
      </c>
      <c r="B1165" s="5" t="s">
        <v>44</v>
      </c>
      <c r="C1165" s="5" t="s">
        <v>56</v>
      </c>
      <c r="D1165" s="5">
        <v>1908286</v>
      </c>
      <c r="E1165" s="5">
        <v>15457</v>
      </c>
      <c r="F1165" s="5">
        <v>149930763</v>
      </c>
      <c r="G1165" s="5">
        <v>0.80999388980477771</v>
      </c>
      <c r="H1165" s="5">
        <v>9699.861745487482</v>
      </c>
      <c r="I1165" s="5">
        <v>78.568287457959656</v>
      </c>
    </row>
    <row r="1166" spans="1:9" x14ac:dyDescent="0.2">
      <c r="A1166" s="5" t="s">
        <v>81</v>
      </c>
      <c r="B1166" s="5" t="s">
        <v>44</v>
      </c>
      <c r="C1166" s="5" t="s">
        <v>57</v>
      </c>
      <c r="D1166" s="5">
        <v>1917856</v>
      </c>
      <c r="E1166" s="5">
        <v>15468</v>
      </c>
      <c r="F1166" s="5">
        <v>149519276</v>
      </c>
      <c r="G1166" s="5">
        <v>0.80652562027597485</v>
      </c>
      <c r="H1166" s="5">
        <v>9666.3612619601754</v>
      </c>
      <c r="I1166" s="5">
        <v>77.961680126140863</v>
      </c>
    </row>
    <row r="1167" spans="1:9" x14ac:dyDescent="0.2">
      <c r="A1167" s="5" t="s">
        <v>81</v>
      </c>
      <c r="B1167" s="5" t="s">
        <v>44</v>
      </c>
      <c r="C1167" s="5" t="s">
        <v>58</v>
      </c>
      <c r="D1167" s="5">
        <v>1928796</v>
      </c>
      <c r="E1167" s="5">
        <v>15330</v>
      </c>
      <c r="F1167" s="5">
        <v>150998700</v>
      </c>
      <c r="G1167" s="5">
        <v>0.79479633927071602</v>
      </c>
      <c r="H1167" s="5">
        <v>9849.8825831702543</v>
      </c>
      <c r="I1167" s="5">
        <v>78.286506193501026</v>
      </c>
    </row>
    <row r="1168" spans="1:9" x14ac:dyDescent="0.2">
      <c r="A1168" s="5" t="s">
        <v>81</v>
      </c>
      <c r="B1168" s="5" t="s">
        <v>44</v>
      </c>
      <c r="C1168" s="5" t="s">
        <v>59</v>
      </c>
      <c r="D1168" s="5">
        <v>1939929</v>
      </c>
      <c r="E1168" s="5">
        <v>15012</v>
      </c>
      <c r="F1168" s="5">
        <v>149077307</v>
      </c>
      <c r="G1168" s="5">
        <v>0.77384275403893643</v>
      </c>
      <c r="H1168" s="5">
        <v>9930.5426991739932</v>
      </c>
      <c r="I1168" s="5">
        <v>76.846785114300573</v>
      </c>
    </row>
    <row r="1169" spans="1:9" x14ac:dyDescent="0.2">
      <c r="A1169" s="5" t="s">
        <v>81</v>
      </c>
      <c r="B1169" s="5" t="s">
        <v>44</v>
      </c>
      <c r="C1169" s="5" t="s">
        <v>60</v>
      </c>
      <c r="D1169" s="5">
        <v>1952899</v>
      </c>
      <c r="E1169" s="5">
        <v>14750</v>
      </c>
      <c r="F1169" s="5">
        <v>149604352</v>
      </c>
      <c r="G1169" s="5">
        <v>0.75528739581514459</v>
      </c>
      <c r="H1169" s="5">
        <v>10142.667932203391</v>
      </c>
      <c r="I1169" s="5">
        <v>76.606292491316751</v>
      </c>
    </row>
    <row r="1170" spans="1:9" x14ac:dyDescent="0.2">
      <c r="A1170" s="5" t="s">
        <v>81</v>
      </c>
      <c r="B1170" s="5" t="s">
        <v>44</v>
      </c>
      <c r="C1170" s="5" t="s">
        <v>61</v>
      </c>
      <c r="D1170" s="5">
        <v>1966153</v>
      </c>
      <c r="E1170" s="5">
        <v>14559</v>
      </c>
      <c r="F1170" s="5">
        <v>154154436</v>
      </c>
      <c r="G1170" s="5">
        <v>0.74048153933086591</v>
      </c>
      <c r="H1170" s="5">
        <v>10588.257160519266</v>
      </c>
      <c r="I1170" s="5">
        <v>78.404089610523698</v>
      </c>
    </row>
    <row r="1171" spans="1:9" x14ac:dyDescent="0.2">
      <c r="A1171" s="5" t="s">
        <v>81</v>
      </c>
      <c r="B1171" s="5" t="s">
        <v>44</v>
      </c>
      <c r="C1171" s="5" t="s">
        <v>62</v>
      </c>
      <c r="D1171" s="5">
        <v>1980306</v>
      </c>
      <c r="E1171" s="5">
        <v>14434</v>
      </c>
      <c r="F1171" s="5">
        <v>154264019</v>
      </c>
      <c r="G1171" s="5">
        <v>0.72887725432332173</v>
      </c>
      <c r="H1171" s="5">
        <v>10687.544616876819</v>
      </c>
      <c r="I1171" s="5">
        <v>77.899081758071731</v>
      </c>
    </row>
    <row r="1172" spans="1:9" x14ac:dyDescent="0.2">
      <c r="A1172" s="5" t="s">
        <v>81</v>
      </c>
      <c r="B1172" s="5" t="s">
        <v>63</v>
      </c>
      <c r="C1172" s="5" t="s">
        <v>45</v>
      </c>
      <c r="D1172" s="5">
        <v>1837904</v>
      </c>
      <c r="E1172" s="5">
        <v>70946</v>
      </c>
      <c r="F1172" s="5">
        <v>167557091</v>
      </c>
      <c r="G1172" s="5">
        <v>3.8601580931321768</v>
      </c>
      <c r="H1172" s="5">
        <v>2361.7552927578722</v>
      </c>
      <c r="I1172" s="5">
        <v>91.167488073370535</v>
      </c>
    </row>
    <row r="1173" spans="1:9" x14ac:dyDescent="0.2">
      <c r="A1173" s="5" t="s">
        <v>81</v>
      </c>
      <c r="B1173" s="5" t="s">
        <v>63</v>
      </c>
      <c r="C1173" s="5" t="s">
        <v>46</v>
      </c>
      <c r="D1173" s="5">
        <v>1847006</v>
      </c>
      <c r="E1173" s="5">
        <v>68331</v>
      </c>
      <c r="F1173" s="5">
        <v>161809134</v>
      </c>
      <c r="G1173" s="5">
        <v>3.6995548471418069</v>
      </c>
      <c r="H1173" s="5">
        <v>2368.0194055406769</v>
      </c>
      <c r="I1173" s="5">
        <v>87.606176698938711</v>
      </c>
    </row>
    <row r="1174" spans="1:9" x14ac:dyDescent="0.2">
      <c r="A1174" s="5" t="s">
        <v>81</v>
      </c>
      <c r="B1174" s="5" t="s">
        <v>63</v>
      </c>
      <c r="C1174" s="5" t="s">
        <v>47</v>
      </c>
      <c r="D1174" s="5">
        <v>1857766</v>
      </c>
      <c r="E1174" s="5">
        <v>68333</v>
      </c>
      <c r="F1174" s="5">
        <v>162241629</v>
      </c>
      <c r="G1174" s="5">
        <v>3.6782350414422482</v>
      </c>
      <c r="H1174" s="5">
        <v>2374.2793233137722</v>
      </c>
      <c r="I1174" s="5">
        <v>87.331574051845067</v>
      </c>
    </row>
    <row r="1175" spans="1:9" x14ac:dyDescent="0.2">
      <c r="A1175" s="5" t="s">
        <v>81</v>
      </c>
      <c r="B1175" s="5" t="s">
        <v>63</v>
      </c>
      <c r="C1175" s="5" t="s">
        <v>48</v>
      </c>
      <c r="D1175" s="5">
        <v>1866492</v>
      </c>
      <c r="E1175" s="5">
        <v>69074</v>
      </c>
      <c r="F1175" s="5">
        <v>165532784</v>
      </c>
      <c r="G1175" s="5">
        <v>3.7007391405910126</v>
      </c>
      <c r="H1175" s="5">
        <v>2396.4557431160783</v>
      </c>
      <c r="I1175" s="5">
        <v>88.686575672437925</v>
      </c>
    </row>
    <row r="1176" spans="1:9" x14ac:dyDescent="0.2">
      <c r="A1176" s="5" t="s">
        <v>81</v>
      </c>
      <c r="B1176" s="5" t="s">
        <v>63</v>
      </c>
      <c r="C1176" s="5" t="s">
        <v>49</v>
      </c>
      <c r="D1176" s="5">
        <v>1871367</v>
      </c>
      <c r="E1176" s="5">
        <v>68573</v>
      </c>
      <c r="F1176" s="5">
        <v>165775502</v>
      </c>
      <c r="G1176" s="5">
        <v>3.6643266660147367</v>
      </c>
      <c r="H1176" s="5">
        <v>2417.5040030332639</v>
      </c>
      <c r="I1176" s="5">
        <v>88.585243835121602</v>
      </c>
    </row>
    <row r="1177" spans="1:9" x14ac:dyDescent="0.2">
      <c r="A1177" s="5" t="s">
        <v>81</v>
      </c>
      <c r="B1177" s="5" t="s">
        <v>63</v>
      </c>
      <c r="C1177" s="5" t="s">
        <v>50</v>
      </c>
      <c r="D1177" s="5">
        <v>1872879</v>
      </c>
      <c r="E1177" s="5">
        <v>68980</v>
      </c>
      <c r="F1177" s="5">
        <v>168371638</v>
      </c>
      <c r="G1177" s="5">
        <v>3.68309965566382</v>
      </c>
      <c r="H1177" s="5">
        <v>2440.8761670049289</v>
      </c>
      <c r="I1177" s="5">
        <v>89.899901702138791</v>
      </c>
    </row>
    <row r="1178" spans="1:9" x14ac:dyDescent="0.2">
      <c r="A1178" s="5" t="s">
        <v>81</v>
      </c>
      <c r="B1178" s="5" t="s">
        <v>63</v>
      </c>
      <c r="C1178" s="5" t="s">
        <v>51</v>
      </c>
      <c r="D1178" s="5">
        <v>1874506</v>
      </c>
      <c r="E1178" s="5">
        <v>68550</v>
      </c>
      <c r="F1178" s="5">
        <v>168533697</v>
      </c>
      <c r="G1178" s="5">
        <v>3.6569634879802999</v>
      </c>
      <c r="H1178" s="5">
        <v>2458.5513785557987</v>
      </c>
      <c r="I1178" s="5">
        <v>89.908326247021876</v>
      </c>
    </row>
    <row r="1179" spans="1:9" x14ac:dyDescent="0.2">
      <c r="A1179" s="5" t="s">
        <v>81</v>
      </c>
      <c r="B1179" s="5" t="s">
        <v>63</v>
      </c>
      <c r="C1179" s="5" t="s">
        <v>52</v>
      </c>
      <c r="D1179" s="5">
        <v>1878269</v>
      </c>
      <c r="E1179" s="5">
        <v>67752</v>
      </c>
      <c r="F1179" s="5">
        <v>168003726</v>
      </c>
      <c r="G1179" s="5">
        <v>3.6071510523785464</v>
      </c>
      <c r="H1179" s="5">
        <v>2479.6865922777188</v>
      </c>
      <c r="I1179" s="5">
        <v>89.44604100903544</v>
      </c>
    </row>
    <row r="1180" spans="1:9" x14ac:dyDescent="0.2">
      <c r="A1180" s="5" t="s">
        <v>81</v>
      </c>
      <c r="B1180" s="5" t="s">
        <v>63</v>
      </c>
      <c r="C1180" s="5" t="s">
        <v>53</v>
      </c>
      <c r="D1180" s="5">
        <v>1883630</v>
      </c>
      <c r="E1180" s="5">
        <v>67277</v>
      </c>
      <c r="F1180" s="5">
        <v>165978798</v>
      </c>
      <c r="G1180" s="5">
        <v>3.5716674718495671</v>
      </c>
      <c r="H1180" s="5">
        <v>2467.0957087860634</v>
      </c>
      <c r="I1180" s="5">
        <v>88.116454930108361</v>
      </c>
    </row>
    <row r="1181" spans="1:9" x14ac:dyDescent="0.2">
      <c r="A1181" s="5" t="s">
        <v>81</v>
      </c>
      <c r="B1181" s="5" t="s">
        <v>63</v>
      </c>
      <c r="C1181" s="5" t="s">
        <v>54</v>
      </c>
      <c r="D1181" s="5">
        <v>1891069</v>
      </c>
      <c r="E1181" s="5">
        <v>66779</v>
      </c>
      <c r="F1181" s="5">
        <v>165019309</v>
      </c>
      <c r="G1181" s="5">
        <v>3.5312830996647926</v>
      </c>
      <c r="H1181" s="5">
        <v>2471.1257880471408</v>
      </c>
      <c r="I1181" s="5">
        <v>87.262447324767109</v>
      </c>
    </row>
    <row r="1182" spans="1:9" x14ac:dyDescent="0.2">
      <c r="A1182" s="5" t="s">
        <v>81</v>
      </c>
      <c r="B1182" s="5" t="s">
        <v>63</v>
      </c>
      <c r="C1182" s="5" t="s">
        <v>55</v>
      </c>
      <c r="D1182" s="5">
        <v>1899909</v>
      </c>
      <c r="E1182" s="5">
        <v>66453</v>
      </c>
      <c r="F1182" s="5">
        <v>163861722</v>
      </c>
      <c r="G1182" s="5">
        <v>3.4976938369153472</v>
      </c>
      <c r="H1182" s="5">
        <v>2465.828811340346</v>
      </c>
      <c r="I1182" s="5">
        <v>86.24714236313423</v>
      </c>
    </row>
    <row r="1183" spans="1:9" x14ac:dyDescent="0.2">
      <c r="A1183" s="5" t="s">
        <v>81</v>
      </c>
      <c r="B1183" s="5" t="s">
        <v>63</v>
      </c>
      <c r="C1183" s="5" t="s">
        <v>56</v>
      </c>
      <c r="D1183" s="5">
        <v>1908286</v>
      </c>
      <c r="E1183" s="5">
        <v>66359</v>
      </c>
      <c r="F1183" s="5">
        <v>162391617</v>
      </c>
      <c r="G1183" s="5">
        <v>3.4774137629265214</v>
      </c>
      <c r="H1183" s="5">
        <v>2447.167935020118</v>
      </c>
      <c r="I1183" s="5">
        <v>85.098154574314336</v>
      </c>
    </row>
    <row r="1184" spans="1:9" x14ac:dyDescent="0.2">
      <c r="A1184" s="5" t="s">
        <v>81</v>
      </c>
      <c r="B1184" s="5" t="s">
        <v>63</v>
      </c>
      <c r="C1184" s="5" t="s">
        <v>57</v>
      </c>
      <c r="D1184" s="5">
        <v>1917856</v>
      </c>
      <c r="E1184" s="5">
        <v>66506</v>
      </c>
      <c r="F1184" s="5">
        <v>162806102</v>
      </c>
      <c r="G1184" s="5">
        <v>3.4677264612150234</v>
      </c>
      <c r="H1184" s="5">
        <v>2447.9911887649237</v>
      </c>
      <c r="I1184" s="5">
        <v>84.88963822101347</v>
      </c>
    </row>
    <row r="1185" spans="1:9" x14ac:dyDescent="0.2">
      <c r="A1185" s="5" t="s">
        <v>81</v>
      </c>
      <c r="B1185" s="5" t="s">
        <v>63</v>
      </c>
      <c r="C1185" s="5" t="s">
        <v>58</v>
      </c>
      <c r="D1185" s="5">
        <v>1928796</v>
      </c>
      <c r="E1185" s="5">
        <v>66561</v>
      </c>
      <c r="F1185" s="5">
        <v>164323697</v>
      </c>
      <c r="G1185" s="5">
        <v>3.4509092718981167</v>
      </c>
      <c r="H1185" s="5">
        <v>2468.768452998002</v>
      </c>
      <c r="I1185" s="5">
        <v>85.19495944620374</v>
      </c>
    </row>
    <row r="1186" spans="1:9" x14ac:dyDescent="0.2">
      <c r="A1186" s="5" t="s">
        <v>81</v>
      </c>
      <c r="B1186" s="5" t="s">
        <v>63</v>
      </c>
      <c r="C1186" s="5" t="s">
        <v>59</v>
      </c>
      <c r="D1186" s="5">
        <v>1939929</v>
      </c>
      <c r="E1186" s="5">
        <v>67052</v>
      </c>
      <c r="F1186" s="5">
        <v>165520546</v>
      </c>
      <c r="G1186" s="5">
        <v>3.4564151574619482</v>
      </c>
      <c r="H1186" s="5">
        <v>2468.5400286344925</v>
      </c>
      <c r="I1186" s="5">
        <v>85.32299171773812</v>
      </c>
    </row>
    <row r="1187" spans="1:9" x14ac:dyDescent="0.2">
      <c r="A1187" s="5" t="s">
        <v>81</v>
      </c>
      <c r="B1187" s="5" t="s">
        <v>63</v>
      </c>
      <c r="C1187" s="5" t="s">
        <v>60</v>
      </c>
      <c r="D1187" s="5">
        <v>1952899</v>
      </c>
      <c r="E1187" s="5">
        <v>67092</v>
      </c>
      <c r="F1187" s="5">
        <v>166493111</v>
      </c>
      <c r="G1187" s="5">
        <v>3.4355079294935376</v>
      </c>
      <c r="H1187" s="5">
        <v>2481.5642848625766</v>
      </c>
      <c r="I1187" s="5">
        <v>85.25433778193343</v>
      </c>
    </row>
    <row r="1188" spans="1:9" x14ac:dyDescent="0.2">
      <c r="A1188" s="5" t="s">
        <v>81</v>
      </c>
      <c r="B1188" s="5" t="s">
        <v>63</v>
      </c>
      <c r="C1188" s="5" t="s">
        <v>61</v>
      </c>
      <c r="D1188" s="5">
        <v>1966153</v>
      </c>
      <c r="E1188" s="5">
        <v>66026</v>
      </c>
      <c r="F1188" s="5">
        <v>165409555</v>
      </c>
      <c r="G1188" s="5">
        <v>3.3581313356590257</v>
      </c>
      <c r="H1188" s="5">
        <v>2505.2184745403324</v>
      </c>
      <c r="I1188" s="5">
        <v>84.128526620257929</v>
      </c>
    </row>
    <row r="1189" spans="1:9" x14ac:dyDescent="0.2">
      <c r="A1189" s="5" t="s">
        <v>81</v>
      </c>
      <c r="B1189" s="5" t="s">
        <v>63</v>
      </c>
      <c r="C1189" s="5" t="s">
        <v>62</v>
      </c>
      <c r="D1189" s="5">
        <v>1980306</v>
      </c>
      <c r="E1189" s="5">
        <v>65319</v>
      </c>
      <c r="F1189" s="5">
        <v>163619378</v>
      </c>
      <c r="G1189" s="5">
        <v>3.2984296366319144</v>
      </c>
      <c r="H1189" s="5">
        <v>2504.9277851773604</v>
      </c>
      <c r="I1189" s="5">
        <v>82.623280442517469</v>
      </c>
    </row>
    <row r="1190" spans="1:9" x14ac:dyDescent="0.2">
      <c r="A1190" s="5" t="s">
        <v>81</v>
      </c>
      <c r="B1190" s="5" t="s">
        <v>64</v>
      </c>
      <c r="C1190" s="5" t="s">
        <v>45</v>
      </c>
      <c r="D1190" s="5">
        <v>1649818</v>
      </c>
      <c r="E1190" s="5">
        <v>100937</v>
      </c>
      <c r="F1190" s="5">
        <v>111351867</v>
      </c>
      <c r="G1190" s="5">
        <v>6.1180687809200771</v>
      </c>
      <c r="H1190" s="5">
        <v>1103.1818560091938</v>
      </c>
      <c r="I1190" s="5">
        <v>67.493424729273173</v>
      </c>
    </row>
    <row r="1191" spans="1:9" x14ac:dyDescent="0.2">
      <c r="A1191" s="5" t="s">
        <v>81</v>
      </c>
      <c r="B1191" s="5" t="s">
        <v>64</v>
      </c>
      <c r="C1191" s="5" t="s">
        <v>46</v>
      </c>
      <c r="D1191" s="5">
        <v>1656879</v>
      </c>
      <c r="E1191" s="5">
        <v>99741</v>
      </c>
      <c r="F1191" s="5">
        <v>113131689</v>
      </c>
      <c r="G1191" s="5">
        <v>6.0198119476437322</v>
      </c>
      <c r="H1191" s="5">
        <v>1134.2546094384456</v>
      </c>
      <c r="I1191" s="5">
        <v>68.279994495675297</v>
      </c>
    </row>
    <row r="1192" spans="1:9" x14ac:dyDescent="0.2">
      <c r="A1192" s="5" t="s">
        <v>81</v>
      </c>
      <c r="B1192" s="5" t="s">
        <v>64</v>
      </c>
      <c r="C1192" s="5" t="s">
        <v>47</v>
      </c>
      <c r="D1192" s="5">
        <v>1665024</v>
      </c>
      <c r="E1192" s="5">
        <v>96831</v>
      </c>
      <c r="F1192" s="5">
        <v>109130965</v>
      </c>
      <c r="G1192" s="5">
        <v>5.8155918473247237</v>
      </c>
      <c r="H1192" s="5">
        <v>1127.0250746145346</v>
      </c>
      <c r="I1192" s="5">
        <v>65.543178356588257</v>
      </c>
    </row>
    <row r="1193" spans="1:9" x14ac:dyDescent="0.2">
      <c r="A1193" s="5" t="s">
        <v>81</v>
      </c>
      <c r="B1193" s="5" t="s">
        <v>64</v>
      </c>
      <c r="C1193" s="5" t="s">
        <v>48</v>
      </c>
      <c r="D1193" s="5">
        <v>1671692</v>
      </c>
      <c r="E1193" s="5">
        <v>95349</v>
      </c>
      <c r="F1193" s="5">
        <v>109606162</v>
      </c>
      <c r="G1193" s="5">
        <v>5.7037420768897622</v>
      </c>
      <c r="H1193" s="5">
        <v>1149.526077882306</v>
      </c>
      <c r="I1193" s="5">
        <v>65.566002588993669</v>
      </c>
    </row>
    <row r="1194" spans="1:9" x14ac:dyDescent="0.2">
      <c r="A1194" s="5" t="s">
        <v>81</v>
      </c>
      <c r="B1194" s="5" t="s">
        <v>64</v>
      </c>
      <c r="C1194" s="5" t="s">
        <v>49</v>
      </c>
      <c r="D1194" s="5">
        <v>1675199</v>
      </c>
      <c r="E1194" s="5">
        <v>90314</v>
      </c>
      <c r="F1194" s="5">
        <v>102424958</v>
      </c>
      <c r="G1194" s="5">
        <v>5.3912400855062597</v>
      </c>
      <c r="H1194" s="5">
        <v>1134.0983457714196</v>
      </c>
      <c r="I1194" s="5">
        <v>61.141964626292157</v>
      </c>
    </row>
    <row r="1195" spans="1:9" x14ac:dyDescent="0.2">
      <c r="A1195" s="5" t="s">
        <v>81</v>
      </c>
      <c r="B1195" s="5" t="s">
        <v>64</v>
      </c>
      <c r="C1195" s="5" t="s">
        <v>50</v>
      </c>
      <c r="D1195" s="5">
        <v>1675811</v>
      </c>
      <c r="E1195" s="5">
        <v>88402</v>
      </c>
      <c r="F1195" s="5">
        <v>98937983</v>
      </c>
      <c r="G1195" s="5">
        <v>5.275177212704774</v>
      </c>
      <c r="H1195" s="5">
        <v>1119.1826316146694</v>
      </c>
      <c r="I1195" s="5">
        <v>59.038867151486656</v>
      </c>
    </row>
    <row r="1196" spans="1:9" x14ac:dyDescent="0.2">
      <c r="A1196" s="5" t="s">
        <v>81</v>
      </c>
      <c r="B1196" s="5" t="s">
        <v>64</v>
      </c>
      <c r="C1196" s="5" t="s">
        <v>51</v>
      </c>
      <c r="D1196" s="5">
        <v>1675931</v>
      </c>
      <c r="E1196" s="5">
        <v>85765</v>
      </c>
      <c r="F1196" s="5">
        <v>94682673</v>
      </c>
      <c r="G1196" s="5">
        <v>5.1174541195311738</v>
      </c>
      <c r="H1196" s="5">
        <v>1103.9779980178394</v>
      </c>
      <c r="I1196" s="5">
        <v>56.495567538281705</v>
      </c>
    </row>
    <row r="1197" spans="1:9" x14ac:dyDescent="0.2">
      <c r="A1197" s="5" t="s">
        <v>81</v>
      </c>
      <c r="B1197" s="5" t="s">
        <v>64</v>
      </c>
      <c r="C1197" s="5" t="s">
        <v>52</v>
      </c>
      <c r="D1197" s="5">
        <v>1676723</v>
      </c>
      <c r="E1197" s="5">
        <v>87276</v>
      </c>
      <c r="F1197" s="5">
        <v>101728665</v>
      </c>
      <c r="G1197" s="5">
        <v>5.2051531469419814</v>
      </c>
      <c r="H1197" s="5">
        <v>1165.5972432283788</v>
      </c>
      <c r="I1197" s="5">
        <v>60.671121586570948</v>
      </c>
    </row>
    <row r="1198" spans="1:9" x14ac:dyDescent="0.2">
      <c r="A1198" s="5" t="s">
        <v>81</v>
      </c>
      <c r="B1198" s="5" t="s">
        <v>64</v>
      </c>
      <c r="C1198" s="5" t="s">
        <v>53</v>
      </c>
      <c r="D1198" s="5">
        <v>1678028</v>
      </c>
      <c r="E1198" s="5">
        <v>85995</v>
      </c>
      <c r="F1198" s="5">
        <v>98891815</v>
      </c>
      <c r="G1198" s="5">
        <v>5.1247654985494879</v>
      </c>
      <c r="H1198" s="5">
        <v>1149.9716844002558</v>
      </c>
      <c r="I1198" s="5">
        <v>58.933352125232716</v>
      </c>
    </row>
    <row r="1199" spans="1:9" x14ac:dyDescent="0.2">
      <c r="A1199" s="5" t="s">
        <v>81</v>
      </c>
      <c r="B1199" s="5" t="s">
        <v>64</v>
      </c>
      <c r="C1199" s="5" t="s">
        <v>54</v>
      </c>
      <c r="D1199" s="5">
        <v>1680707</v>
      </c>
      <c r="E1199" s="5">
        <v>84677</v>
      </c>
      <c r="F1199" s="5">
        <v>98066065</v>
      </c>
      <c r="G1199" s="5">
        <v>5.0381773860643166</v>
      </c>
      <c r="H1199" s="5">
        <v>1158.1192649715979</v>
      </c>
      <c r="I1199" s="5">
        <v>58.348102911453331</v>
      </c>
    </row>
    <row r="1200" spans="1:9" x14ac:dyDescent="0.2">
      <c r="A1200" s="5" t="s">
        <v>81</v>
      </c>
      <c r="B1200" s="5" t="s">
        <v>64</v>
      </c>
      <c r="C1200" s="5" t="s">
        <v>55</v>
      </c>
      <c r="D1200" s="5">
        <v>1684230</v>
      </c>
      <c r="E1200" s="5">
        <v>82097</v>
      </c>
      <c r="F1200" s="5">
        <v>95847030</v>
      </c>
      <c r="G1200" s="5">
        <v>4.8744530141370239</v>
      </c>
      <c r="H1200" s="5">
        <v>1167.4851699818507</v>
      </c>
      <c r="I1200" s="5">
        <v>56.908516057783082</v>
      </c>
    </row>
    <row r="1201" spans="1:9" x14ac:dyDescent="0.2">
      <c r="A1201" s="5" t="s">
        <v>81</v>
      </c>
      <c r="B1201" s="5" t="s">
        <v>64</v>
      </c>
      <c r="C1201" s="5" t="s">
        <v>56</v>
      </c>
      <c r="D1201" s="5">
        <v>1687665</v>
      </c>
      <c r="E1201" s="5">
        <v>76967</v>
      </c>
      <c r="F1201" s="5">
        <v>84583126</v>
      </c>
      <c r="G1201" s="5">
        <v>4.5605614858399033</v>
      </c>
      <c r="H1201" s="5">
        <v>1098.9531357594813</v>
      </c>
      <c r="I1201" s="5">
        <v>50.118433456876808</v>
      </c>
    </row>
    <row r="1202" spans="1:9" x14ac:dyDescent="0.2">
      <c r="A1202" s="5" t="s">
        <v>81</v>
      </c>
      <c r="B1202" s="5" t="s">
        <v>64</v>
      </c>
      <c r="C1202" s="5" t="s">
        <v>57</v>
      </c>
      <c r="D1202" s="5">
        <v>1692328</v>
      </c>
      <c r="E1202" s="5">
        <v>76116</v>
      </c>
      <c r="F1202" s="5">
        <v>83844307</v>
      </c>
      <c r="G1202" s="5">
        <v>4.4977096638476706</v>
      </c>
      <c r="H1202" s="5">
        <v>1101.5332781543959</v>
      </c>
      <c r="I1202" s="5">
        <v>49.543768702048304</v>
      </c>
    </row>
    <row r="1203" spans="1:9" x14ac:dyDescent="0.2">
      <c r="A1203" s="5" t="s">
        <v>81</v>
      </c>
      <c r="B1203" s="5" t="s">
        <v>64</v>
      </c>
      <c r="C1203" s="5" t="s">
        <v>58</v>
      </c>
      <c r="D1203" s="5">
        <v>1698330</v>
      </c>
      <c r="E1203" s="5">
        <v>77084</v>
      </c>
      <c r="F1203" s="5">
        <v>86184228</v>
      </c>
      <c r="G1203" s="5">
        <v>4.5388116561563416</v>
      </c>
      <c r="H1203" s="5">
        <v>1118.0559908671059</v>
      </c>
      <c r="I1203" s="5">
        <v>50.746455635830493</v>
      </c>
    </row>
    <row r="1204" spans="1:9" x14ac:dyDescent="0.2">
      <c r="A1204" s="5" t="s">
        <v>81</v>
      </c>
      <c r="B1204" s="5" t="s">
        <v>64</v>
      </c>
      <c r="C1204" s="5" t="s">
        <v>59</v>
      </c>
      <c r="D1204" s="5">
        <v>1704771</v>
      </c>
      <c r="E1204" s="5">
        <v>76762</v>
      </c>
      <c r="F1204" s="5">
        <v>86207676</v>
      </c>
      <c r="G1204" s="5">
        <v>4.5027748594972579</v>
      </c>
      <c r="H1204" s="5">
        <v>1123.0514577525339</v>
      </c>
      <c r="I1204" s="5">
        <v>50.568478698898559</v>
      </c>
    </row>
    <row r="1205" spans="1:9" x14ac:dyDescent="0.2">
      <c r="A1205" s="5" t="s">
        <v>81</v>
      </c>
      <c r="B1205" s="5" t="s">
        <v>64</v>
      </c>
      <c r="C1205" s="5" t="s">
        <v>60</v>
      </c>
      <c r="D1205" s="5">
        <v>1713169</v>
      </c>
      <c r="E1205" s="5">
        <v>75066</v>
      </c>
      <c r="F1205" s="5">
        <v>84690714</v>
      </c>
      <c r="G1205" s="5">
        <v>4.3817043152193396</v>
      </c>
      <c r="H1205" s="5">
        <v>1128.2166893134042</v>
      </c>
      <c r="I1205" s="5">
        <v>49.4351193606702</v>
      </c>
    </row>
    <row r="1206" spans="1:9" x14ac:dyDescent="0.2">
      <c r="A1206" s="5" t="s">
        <v>81</v>
      </c>
      <c r="B1206" s="5" t="s">
        <v>64</v>
      </c>
      <c r="C1206" s="5" t="s">
        <v>61</v>
      </c>
      <c r="D1206" s="5">
        <v>1722468</v>
      </c>
      <c r="E1206" s="5">
        <v>74123</v>
      </c>
      <c r="F1206" s="5">
        <v>89103820</v>
      </c>
      <c r="G1206" s="5">
        <v>4.3033020061911165</v>
      </c>
      <c r="H1206" s="5">
        <v>1202.1075779447674</v>
      </c>
      <c r="I1206" s="5">
        <v>51.730319518272616</v>
      </c>
    </row>
    <row r="1207" spans="1:9" x14ac:dyDescent="0.2">
      <c r="A1207" s="5" t="s">
        <v>81</v>
      </c>
      <c r="B1207" s="5" t="s">
        <v>64</v>
      </c>
      <c r="C1207" s="5" t="s">
        <v>62</v>
      </c>
      <c r="D1207" s="5">
        <v>1732375</v>
      </c>
      <c r="E1207" s="5">
        <v>72349</v>
      </c>
      <c r="F1207" s="5">
        <v>88567783</v>
      </c>
      <c r="G1207" s="5">
        <v>4.1762897755970849</v>
      </c>
      <c r="H1207" s="5">
        <v>1224.1742525812381</v>
      </c>
      <c r="I1207" s="5">
        <v>51.125064146042284</v>
      </c>
    </row>
    <row r="1208" spans="1:9" x14ac:dyDescent="0.2">
      <c r="A1208" s="5" t="s">
        <v>81</v>
      </c>
      <c r="B1208" s="5" t="s">
        <v>65</v>
      </c>
      <c r="C1208" s="5" t="s">
        <v>45</v>
      </c>
      <c r="D1208" s="5">
        <v>1557771</v>
      </c>
      <c r="E1208" s="5">
        <v>100319</v>
      </c>
      <c r="F1208" s="5">
        <v>239368281</v>
      </c>
      <c r="G1208" s="5">
        <v>6.4399067642163068</v>
      </c>
      <c r="H1208" s="5">
        <v>2386.0712427356734</v>
      </c>
      <c r="I1208" s="5">
        <v>153.6607633599547</v>
      </c>
    </row>
    <row r="1209" spans="1:9" x14ac:dyDescent="0.2">
      <c r="A1209" s="5" t="s">
        <v>81</v>
      </c>
      <c r="B1209" s="5" t="s">
        <v>65</v>
      </c>
      <c r="C1209" s="5" t="s">
        <v>46</v>
      </c>
      <c r="D1209" s="5">
        <v>1565119</v>
      </c>
      <c r="E1209" s="5">
        <v>95862</v>
      </c>
      <c r="F1209" s="5">
        <v>230051613</v>
      </c>
      <c r="G1209" s="5">
        <v>6.124901684792019</v>
      </c>
      <c r="H1209" s="5">
        <v>2399.8207110220942</v>
      </c>
      <c r="I1209" s="5">
        <v>146.98665916138006</v>
      </c>
    </row>
    <row r="1210" spans="1:9" x14ac:dyDescent="0.2">
      <c r="A1210" s="5" t="s">
        <v>81</v>
      </c>
      <c r="B1210" s="5" t="s">
        <v>65</v>
      </c>
      <c r="C1210" s="5" t="s">
        <v>47</v>
      </c>
      <c r="D1210" s="5">
        <v>1573362</v>
      </c>
      <c r="E1210" s="5">
        <v>95774</v>
      </c>
      <c r="F1210" s="5">
        <v>233708453</v>
      </c>
      <c r="G1210" s="5">
        <v>6.0872195972700496</v>
      </c>
      <c r="H1210" s="5">
        <v>2440.2077077286112</v>
      </c>
      <c r="I1210" s="5">
        <v>148.54080179895027</v>
      </c>
    </row>
    <row r="1211" spans="1:9" x14ac:dyDescent="0.2">
      <c r="A1211" s="5" t="s">
        <v>81</v>
      </c>
      <c r="B1211" s="5" t="s">
        <v>65</v>
      </c>
      <c r="C1211" s="5" t="s">
        <v>48</v>
      </c>
      <c r="D1211" s="5">
        <v>1580450</v>
      </c>
      <c r="E1211" s="5">
        <v>96347</v>
      </c>
      <c r="F1211" s="5">
        <v>239268811</v>
      </c>
      <c r="G1211" s="5">
        <v>6.0961751399917743</v>
      </c>
      <c r="H1211" s="5">
        <v>2483.4069664857234</v>
      </c>
      <c r="I1211" s="5">
        <v>151.39283811572653</v>
      </c>
    </row>
    <row r="1212" spans="1:9" x14ac:dyDescent="0.2">
      <c r="A1212" s="5" t="s">
        <v>81</v>
      </c>
      <c r="B1212" s="5" t="s">
        <v>65</v>
      </c>
      <c r="C1212" s="5" t="s">
        <v>49</v>
      </c>
      <c r="D1212" s="5">
        <v>1584596</v>
      </c>
      <c r="E1212" s="5">
        <v>95824</v>
      </c>
      <c r="F1212" s="5">
        <v>240795843</v>
      </c>
      <c r="G1212" s="5">
        <v>6.0472196067641217</v>
      </c>
      <c r="H1212" s="5">
        <v>2512.8970091000165</v>
      </c>
      <c r="I1212" s="5">
        <v>151.9604006320854</v>
      </c>
    </row>
    <row r="1213" spans="1:9" x14ac:dyDescent="0.2">
      <c r="A1213" s="5" t="s">
        <v>81</v>
      </c>
      <c r="B1213" s="5" t="s">
        <v>65</v>
      </c>
      <c r="C1213" s="5" t="s">
        <v>50</v>
      </c>
      <c r="D1213" s="5">
        <v>1585817</v>
      </c>
      <c r="E1213" s="5">
        <v>98193</v>
      </c>
      <c r="F1213" s="5">
        <v>256780296</v>
      </c>
      <c r="G1213" s="5">
        <v>6.1919502691672497</v>
      </c>
      <c r="H1213" s="5">
        <v>2615.0570407259174</v>
      </c>
      <c r="I1213" s="5">
        <v>161.92303147210555</v>
      </c>
    </row>
    <row r="1214" spans="1:9" x14ac:dyDescent="0.2">
      <c r="A1214" s="5" t="s">
        <v>81</v>
      </c>
      <c r="B1214" s="5" t="s">
        <v>65</v>
      </c>
      <c r="C1214" s="5" t="s">
        <v>51</v>
      </c>
      <c r="D1214" s="5">
        <v>1586653</v>
      </c>
      <c r="E1214" s="5">
        <v>96720</v>
      </c>
      <c r="F1214" s="5">
        <v>252355779</v>
      </c>
      <c r="G1214" s="5">
        <v>6.0958508256058508</v>
      </c>
      <c r="H1214" s="5">
        <v>2609.1374999999998</v>
      </c>
      <c r="I1214" s="5">
        <v>159.04912983494185</v>
      </c>
    </row>
    <row r="1215" spans="1:9" x14ac:dyDescent="0.2">
      <c r="A1215" s="5" t="s">
        <v>81</v>
      </c>
      <c r="B1215" s="5" t="s">
        <v>65</v>
      </c>
      <c r="C1215" s="5" t="s">
        <v>52</v>
      </c>
      <c r="D1215" s="5">
        <v>1588062</v>
      </c>
      <c r="E1215" s="5">
        <v>94813</v>
      </c>
      <c r="F1215" s="5">
        <v>245741334</v>
      </c>
      <c r="G1215" s="5">
        <v>5.9703588398941605</v>
      </c>
      <c r="H1215" s="5">
        <v>2591.8527417126343</v>
      </c>
      <c r="I1215" s="5">
        <v>154.74290928187943</v>
      </c>
    </row>
    <row r="1216" spans="1:9" x14ac:dyDescent="0.2">
      <c r="A1216" s="5" t="s">
        <v>81</v>
      </c>
      <c r="B1216" s="5" t="s">
        <v>65</v>
      </c>
      <c r="C1216" s="5" t="s">
        <v>53</v>
      </c>
      <c r="D1216" s="5">
        <v>1589898</v>
      </c>
      <c r="E1216" s="5">
        <v>93699</v>
      </c>
      <c r="F1216" s="5">
        <v>241675842</v>
      </c>
      <c r="G1216" s="5">
        <v>5.8933969348977104</v>
      </c>
      <c r="H1216" s="5">
        <v>2579.2787756539556</v>
      </c>
      <c r="I1216" s="5">
        <v>152.00713630685743</v>
      </c>
    </row>
    <row r="1217" spans="1:9" x14ac:dyDescent="0.2">
      <c r="A1217" s="5" t="s">
        <v>81</v>
      </c>
      <c r="B1217" s="5" t="s">
        <v>65</v>
      </c>
      <c r="C1217" s="5" t="s">
        <v>54</v>
      </c>
      <c r="D1217" s="5">
        <v>1593127</v>
      </c>
      <c r="E1217" s="5">
        <v>90364</v>
      </c>
      <c r="F1217" s="5">
        <v>229667874</v>
      </c>
      <c r="G1217" s="5">
        <v>5.6721152802005115</v>
      </c>
      <c r="H1217" s="5">
        <v>2541.5859634367666</v>
      </c>
      <c r="I1217" s="5">
        <v>144.16168579152824</v>
      </c>
    </row>
    <row r="1218" spans="1:9" x14ac:dyDescent="0.2">
      <c r="A1218" s="5" t="s">
        <v>81</v>
      </c>
      <c r="B1218" s="5" t="s">
        <v>65</v>
      </c>
      <c r="C1218" s="5" t="s">
        <v>55</v>
      </c>
      <c r="D1218" s="5">
        <v>1597351</v>
      </c>
      <c r="E1218" s="5">
        <v>89116</v>
      </c>
      <c r="F1218" s="5">
        <v>226797376</v>
      </c>
      <c r="G1218" s="5">
        <v>5.5789867098715309</v>
      </c>
      <c r="H1218" s="5">
        <v>2544.9680865388932</v>
      </c>
      <c r="I1218" s="5">
        <v>141.98343131847665</v>
      </c>
    </row>
    <row r="1219" spans="1:9" x14ac:dyDescent="0.2">
      <c r="A1219" s="5" t="s">
        <v>81</v>
      </c>
      <c r="B1219" s="5" t="s">
        <v>65</v>
      </c>
      <c r="C1219" s="5" t="s">
        <v>56</v>
      </c>
      <c r="D1219" s="5">
        <v>1601544</v>
      </c>
      <c r="E1219" s="5">
        <v>88659</v>
      </c>
      <c r="F1219" s="5">
        <v>226303731</v>
      </c>
      <c r="G1219" s="5">
        <v>5.5358454091801415</v>
      </c>
      <c r="H1219" s="5">
        <v>2552.5184245254291</v>
      </c>
      <c r="I1219" s="5">
        <v>141.30347402256822</v>
      </c>
    </row>
    <row r="1220" spans="1:9" x14ac:dyDescent="0.2">
      <c r="A1220" s="5" t="s">
        <v>81</v>
      </c>
      <c r="B1220" s="5" t="s">
        <v>65</v>
      </c>
      <c r="C1220" s="5" t="s">
        <v>57</v>
      </c>
      <c r="D1220" s="5">
        <v>1607073</v>
      </c>
      <c r="E1220" s="5">
        <v>88371</v>
      </c>
      <c r="F1220" s="5">
        <v>223394746</v>
      </c>
      <c r="G1220" s="5">
        <v>5.498879017941313</v>
      </c>
      <c r="H1220" s="5">
        <v>2527.9191816319835</v>
      </c>
      <c r="I1220" s="5">
        <v>139.00721746927488</v>
      </c>
    </row>
    <row r="1221" spans="1:9" x14ac:dyDescent="0.2">
      <c r="A1221" s="5" t="s">
        <v>81</v>
      </c>
      <c r="B1221" s="5" t="s">
        <v>65</v>
      </c>
      <c r="C1221" s="5" t="s">
        <v>58</v>
      </c>
      <c r="D1221" s="5">
        <v>1614047</v>
      </c>
      <c r="E1221" s="5">
        <v>89895</v>
      </c>
      <c r="F1221" s="5">
        <v>229748915</v>
      </c>
      <c r="G1221" s="5">
        <v>5.5695404161093203</v>
      </c>
      <c r="H1221" s="5">
        <v>2555.7474275543691</v>
      </c>
      <c r="I1221" s="5">
        <v>142.34338591131484</v>
      </c>
    </row>
    <row r="1222" spans="1:9" x14ac:dyDescent="0.2">
      <c r="A1222" s="5" t="s">
        <v>81</v>
      </c>
      <c r="B1222" s="5" t="s">
        <v>65</v>
      </c>
      <c r="C1222" s="5" t="s">
        <v>59</v>
      </c>
      <c r="D1222" s="5">
        <v>1621531</v>
      </c>
      <c r="E1222" s="5">
        <v>90507</v>
      </c>
      <c r="F1222" s="5">
        <v>233420673</v>
      </c>
      <c r="G1222" s="5">
        <v>5.5815769171233853</v>
      </c>
      <c r="H1222" s="5">
        <v>2579.0344724717424</v>
      </c>
      <c r="I1222" s="5">
        <v>143.95079280013763</v>
      </c>
    </row>
    <row r="1223" spans="1:9" x14ac:dyDescent="0.2">
      <c r="A1223" s="5" t="s">
        <v>81</v>
      </c>
      <c r="B1223" s="5" t="s">
        <v>65</v>
      </c>
      <c r="C1223" s="5" t="s">
        <v>60</v>
      </c>
      <c r="D1223" s="5">
        <v>1630964</v>
      </c>
      <c r="E1223" s="5">
        <v>90115</v>
      </c>
      <c r="F1223" s="5">
        <v>232450077</v>
      </c>
      <c r="G1223" s="5">
        <v>5.5252599076374462</v>
      </c>
      <c r="H1223" s="5">
        <v>2579.4826277534262</v>
      </c>
      <c r="I1223" s="5">
        <v>142.52311945573294</v>
      </c>
    </row>
    <row r="1224" spans="1:9" x14ac:dyDescent="0.2">
      <c r="A1224" s="5" t="s">
        <v>81</v>
      </c>
      <c r="B1224" s="5" t="s">
        <v>65</v>
      </c>
      <c r="C1224" s="5" t="s">
        <v>61</v>
      </c>
      <c r="D1224" s="5">
        <v>1641039</v>
      </c>
      <c r="E1224" s="5">
        <v>89315</v>
      </c>
      <c r="F1224" s="5">
        <v>237396741</v>
      </c>
      <c r="G1224" s="5">
        <v>5.4425885064279402</v>
      </c>
      <c r="H1224" s="5">
        <v>2657.9716844874879</v>
      </c>
      <c r="I1224" s="5">
        <v>144.66246140402512</v>
      </c>
    </row>
    <row r="1225" spans="1:9" x14ac:dyDescent="0.2">
      <c r="A1225" s="5" t="s">
        <v>81</v>
      </c>
      <c r="B1225" s="5" t="s">
        <v>65</v>
      </c>
      <c r="C1225" s="5" t="s">
        <v>62</v>
      </c>
      <c r="D1225" s="5">
        <v>1652079</v>
      </c>
      <c r="E1225" s="5">
        <v>86591</v>
      </c>
      <c r="F1225" s="5">
        <v>231881582</v>
      </c>
      <c r="G1225" s="5">
        <v>5.2413353114469707</v>
      </c>
      <c r="H1225" s="5">
        <v>2677.8947234701068</v>
      </c>
      <c r="I1225" s="5">
        <v>140.35744174461391</v>
      </c>
    </row>
    <row r="1226" spans="1:9" x14ac:dyDescent="0.2">
      <c r="A1226" s="5" t="s">
        <v>82</v>
      </c>
      <c r="B1226" s="5" t="s">
        <v>44</v>
      </c>
      <c r="C1226" s="5" t="s">
        <v>45</v>
      </c>
      <c r="D1226" s="5">
        <v>1303053</v>
      </c>
      <c r="E1226" s="5">
        <v>4528</v>
      </c>
      <c r="F1226" s="5">
        <v>80543650</v>
      </c>
      <c r="G1226" s="5">
        <v>0.34749162159942842</v>
      </c>
      <c r="H1226" s="5">
        <v>17787.908568904593</v>
      </c>
      <c r="I1226" s="5">
        <v>61.811491934710254</v>
      </c>
    </row>
    <row r="1227" spans="1:9" x14ac:dyDescent="0.2">
      <c r="A1227" s="5" t="s">
        <v>82</v>
      </c>
      <c r="B1227" s="5" t="s">
        <v>44</v>
      </c>
      <c r="C1227" s="5" t="s">
        <v>46</v>
      </c>
      <c r="D1227" s="5">
        <v>1306666</v>
      </c>
      <c r="E1227" s="5">
        <v>4414</v>
      </c>
      <c r="F1227" s="5">
        <v>80195489</v>
      </c>
      <c r="G1227" s="5">
        <v>0.33780629479912999</v>
      </c>
      <c r="H1227" s="5">
        <v>18168.438830992298</v>
      </c>
      <c r="I1227" s="5">
        <v>61.374130037821445</v>
      </c>
    </row>
    <row r="1228" spans="1:9" x14ac:dyDescent="0.2">
      <c r="A1228" s="5" t="s">
        <v>82</v>
      </c>
      <c r="B1228" s="5" t="s">
        <v>44</v>
      </c>
      <c r="C1228" s="5" t="s">
        <v>47</v>
      </c>
      <c r="D1228" s="5">
        <v>1310449</v>
      </c>
      <c r="E1228" s="5">
        <v>4336</v>
      </c>
      <c r="F1228" s="5">
        <v>78172962</v>
      </c>
      <c r="G1228" s="5">
        <v>0.3308789582807114</v>
      </c>
      <c r="H1228" s="5">
        <v>18028.819649446494</v>
      </c>
      <c r="I1228" s="5">
        <v>59.653570646396773</v>
      </c>
    </row>
    <row r="1229" spans="1:9" x14ac:dyDescent="0.2">
      <c r="A1229" s="5" t="s">
        <v>82</v>
      </c>
      <c r="B1229" s="5" t="s">
        <v>44</v>
      </c>
      <c r="C1229" s="5" t="s">
        <v>48</v>
      </c>
      <c r="D1229" s="5">
        <v>1313444</v>
      </c>
      <c r="E1229" s="5">
        <v>4208</v>
      </c>
      <c r="F1229" s="5">
        <v>72261342</v>
      </c>
      <c r="G1229" s="5">
        <v>0.320379094959511</v>
      </c>
      <c r="H1229" s="5">
        <v>17172.372148288974</v>
      </c>
      <c r="I1229" s="5">
        <v>55.016690471767355</v>
      </c>
    </row>
    <row r="1230" spans="1:9" x14ac:dyDescent="0.2">
      <c r="A1230" s="5" t="s">
        <v>82</v>
      </c>
      <c r="B1230" s="5" t="s">
        <v>44</v>
      </c>
      <c r="C1230" s="5" t="s">
        <v>49</v>
      </c>
      <c r="D1230" s="5">
        <v>1314943</v>
      </c>
      <c r="E1230" s="5">
        <v>4224</v>
      </c>
      <c r="F1230" s="5">
        <v>71428273</v>
      </c>
      <c r="G1230" s="5">
        <v>0.32123065410439844</v>
      </c>
      <c r="H1230" s="5">
        <v>16910.102509469696</v>
      </c>
      <c r="I1230" s="5">
        <v>54.320432900893806</v>
      </c>
    </row>
    <row r="1231" spans="1:9" x14ac:dyDescent="0.2">
      <c r="A1231" s="5" t="s">
        <v>82</v>
      </c>
      <c r="B1231" s="5" t="s">
        <v>44</v>
      </c>
      <c r="C1231" s="5" t="s">
        <v>50</v>
      </c>
      <c r="D1231" s="5">
        <v>1314983</v>
      </c>
      <c r="E1231" s="5">
        <v>4209</v>
      </c>
      <c r="F1231" s="5">
        <v>68467798</v>
      </c>
      <c r="G1231" s="5">
        <v>0.32008018354609907</v>
      </c>
      <c r="H1231" s="5">
        <v>16266.998812069374</v>
      </c>
      <c r="I1231" s="5">
        <v>52.067439655113411</v>
      </c>
    </row>
    <row r="1232" spans="1:9" x14ac:dyDescent="0.2">
      <c r="A1232" s="5" t="s">
        <v>82</v>
      </c>
      <c r="B1232" s="5" t="s">
        <v>44</v>
      </c>
      <c r="C1232" s="5" t="s">
        <v>51</v>
      </c>
      <c r="D1232" s="5">
        <v>1314363</v>
      </c>
      <c r="E1232" s="5">
        <v>4238</v>
      </c>
      <c r="F1232" s="5">
        <v>71617709</v>
      </c>
      <c r="G1232" s="5">
        <v>0.32243756100864068</v>
      </c>
      <c r="H1232" s="5">
        <v>16898.940302029259</v>
      </c>
      <c r="I1232" s="5">
        <v>54.488530946169362</v>
      </c>
    </row>
    <row r="1233" spans="1:9" x14ac:dyDescent="0.2">
      <c r="A1233" s="5" t="s">
        <v>82</v>
      </c>
      <c r="B1233" s="5" t="s">
        <v>44</v>
      </c>
      <c r="C1233" s="5" t="s">
        <v>52</v>
      </c>
      <c r="D1233" s="5">
        <v>1315200</v>
      </c>
      <c r="E1233" s="5">
        <v>4390</v>
      </c>
      <c r="F1233" s="5">
        <v>73535842</v>
      </c>
      <c r="G1233" s="5">
        <v>0.33378953771289538</v>
      </c>
      <c r="H1233" s="5">
        <v>16750.761275626424</v>
      </c>
      <c r="I1233" s="5">
        <v>55.912288625304136</v>
      </c>
    </row>
    <row r="1234" spans="1:9" x14ac:dyDescent="0.2">
      <c r="A1234" s="5" t="s">
        <v>82</v>
      </c>
      <c r="B1234" s="5" t="s">
        <v>44</v>
      </c>
      <c r="C1234" s="5" t="s">
        <v>53</v>
      </c>
      <c r="D1234" s="5">
        <v>1317412</v>
      </c>
      <c r="E1234" s="5">
        <v>4458</v>
      </c>
      <c r="F1234" s="5">
        <v>73424708</v>
      </c>
      <c r="G1234" s="5">
        <v>0.3383907236308763</v>
      </c>
      <c r="H1234" s="5">
        <v>16470.324809331538</v>
      </c>
      <c r="I1234" s="5">
        <v>55.734051306652738</v>
      </c>
    </row>
    <row r="1235" spans="1:9" x14ac:dyDescent="0.2">
      <c r="A1235" s="5" t="s">
        <v>82</v>
      </c>
      <c r="B1235" s="5" t="s">
        <v>44</v>
      </c>
      <c r="C1235" s="5" t="s">
        <v>54</v>
      </c>
      <c r="D1235" s="5">
        <v>1320413</v>
      </c>
      <c r="E1235" s="5">
        <v>4624</v>
      </c>
      <c r="F1235" s="5">
        <v>79550097</v>
      </c>
      <c r="G1235" s="5">
        <v>0.35019346219705499</v>
      </c>
      <c r="H1235" s="5">
        <v>17203.74070069204</v>
      </c>
      <c r="I1235" s="5">
        <v>60.246375187157355</v>
      </c>
    </row>
    <row r="1236" spans="1:9" x14ac:dyDescent="0.2">
      <c r="A1236" s="5" t="s">
        <v>82</v>
      </c>
      <c r="B1236" s="5" t="s">
        <v>44</v>
      </c>
      <c r="C1236" s="5" t="s">
        <v>55</v>
      </c>
      <c r="D1236" s="5">
        <v>1324394</v>
      </c>
      <c r="E1236" s="5">
        <v>4771</v>
      </c>
      <c r="F1236" s="5">
        <v>80337457</v>
      </c>
      <c r="G1236" s="5">
        <v>0.36024023062623356</v>
      </c>
      <c r="H1236" s="5">
        <v>16838.704045273527</v>
      </c>
      <c r="I1236" s="5">
        <v>60.659786287162277</v>
      </c>
    </row>
    <row r="1237" spans="1:9" x14ac:dyDescent="0.2">
      <c r="A1237" s="5" t="s">
        <v>82</v>
      </c>
      <c r="B1237" s="5" t="s">
        <v>44</v>
      </c>
      <c r="C1237" s="5" t="s">
        <v>56</v>
      </c>
      <c r="D1237" s="5">
        <v>1327635</v>
      </c>
      <c r="E1237" s="5">
        <v>4865</v>
      </c>
      <c r="F1237" s="5">
        <v>82007288</v>
      </c>
      <c r="G1237" s="5">
        <v>0.36644107755520156</v>
      </c>
      <c r="H1237" s="5">
        <v>16856.585405960945</v>
      </c>
      <c r="I1237" s="5">
        <v>61.769453200616134</v>
      </c>
    </row>
    <row r="1238" spans="1:9" x14ac:dyDescent="0.2">
      <c r="A1238" s="5" t="s">
        <v>82</v>
      </c>
      <c r="B1238" s="5" t="s">
        <v>44</v>
      </c>
      <c r="C1238" s="5" t="s">
        <v>57</v>
      </c>
      <c r="D1238" s="5">
        <v>1331683</v>
      </c>
      <c r="E1238" s="5">
        <v>4810</v>
      </c>
      <c r="F1238" s="5">
        <v>85793677</v>
      </c>
      <c r="G1238" s="5">
        <v>0.36119707167546633</v>
      </c>
      <c r="H1238" s="5">
        <v>17836.523284823284</v>
      </c>
      <c r="I1238" s="5">
        <v>64.424999793494393</v>
      </c>
    </row>
    <row r="1239" spans="1:9" x14ac:dyDescent="0.2">
      <c r="A1239" s="5" t="s">
        <v>82</v>
      </c>
      <c r="B1239" s="5" t="s">
        <v>44</v>
      </c>
      <c r="C1239" s="5" t="s">
        <v>58</v>
      </c>
      <c r="D1239" s="5">
        <v>1337059</v>
      </c>
      <c r="E1239" s="5">
        <v>4776</v>
      </c>
      <c r="F1239" s="5">
        <v>82022916</v>
      </c>
      <c r="G1239" s="5">
        <v>0.35720188862271596</v>
      </c>
      <c r="H1239" s="5">
        <v>17173.977386934672</v>
      </c>
      <c r="I1239" s="5">
        <v>61.345771577768822</v>
      </c>
    </row>
    <row r="1240" spans="1:9" x14ac:dyDescent="0.2">
      <c r="A1240" s="5" t="s">
        <v>82</v>
      </c>
      <c r="B1240" s="5" t="s">
        <v>44</v>
      </c>
      <c r="C1240" s="5" t="s">
        <v>59</v>
      </c>
      <c r="D1240" s="5">
        <v>1342508</v>
      </c>
      <c r="E1240" s="5">
        <v>4683</v>
      </c>
      <c r="F1240" s="5">
        <v>80264987</v>
      </c>
      <c r="G1240" s="5">
        <v>0.34882473698480754</v>
      </c>
      <c r="H1240" s="5">
        <v>17139.651291906895</v>
      </c>
      <c r="I1240" s="5">
        <v>59.787343539107404</v>
      </c>
    </row>
    <row r="1241" spans="1:9" x14ac:dyDescent="0.2">
      <c r="A1241" s="5" t="s">
        <v>82</v>
      </c>
      <c r="B1241" s="5" t="s">
        <v>44</v>
      </c>
      <c r="C1241" s="5" t="s">
        <v>60</v>
      </c>
      <c r="D1241" s="5">
        <v>1348153</v>
      </c>
      <c r="E1241" s="5">
        <v>4635</v>
      </c>
      <c r="F1241" s="5">
        <v>82411188</v>
      </c>
      <c r="G1241" s="5">
        <v>0.34380370773940344</v>
      </c>
      <c r="H1241" s="5">
        <v>17780.191585760516</v>
      </c>
      <c r="I1241" s="5">
        <v>61.128957915014098</v>
      </c>
    </row>
    <row r="1242" spans="1:9" x14ac:dyDescent="0.2">
      <c r="A1242" s="5" t="s">
        <v>82</v>
      </c>
      <c r="B1242" s="5" t="s">
        <v>44</v>
      </c>
      <c r="C1242" s="5" t="s">
        <v>61</v>
      </c>
      <c r="D1242" s="5">
        <v>1353363</v>
      </c>
      <c r="E1242" s="5">
        <v>4514</v>
      </c>
      <c r="F1242" s="5">
        <v>79565009</v>
      </c>
      <c r="G1242" s="5">
        <v>0.33353948644968129</v>
      </c>
      <c r="H1242" s="5">
        <v>17626.275808595481</v>
      </c>
      <c r="I1242" s="5">
        <v>58.790589812193772</v>
      </c>
    </row>
    <row r="1243" spans="1:9" x14ac:dyDescent="0.2">
      <c r="A1243" s="5" t="s">
        <v>82</v>
      </c>
      <c r="B1243" s="5" t="s">
        <v>44</v>
      </c>
      <c r="C1243" s="5" t="s">
        <v>62</v>
      </c>
      <c r="D1243" s="5">
        <v>1358028</v>
      </c>
      <c r="E1243" s="5">
        <v>4547</v>
      </c>
      <c r="F1243" s="5">
        <v>83417987</v>
      </c>
      <c r="G1243" s="5">
        <v>0.33482372970218582</v>
      </c>
      <c r="H1243" s="5">
        <v>18345.719595337585</v>
      </c>
      <c r="I1243" s="5">
        <v>61.425822589814054</v>
      </c>
    </row>
    <row r="1244" spans="1:9" x14ac:dyDescent="0.2">
      <c r="A1244" s="5" t="s">
        <v>82</v>
      </c>
      <c r="B1244" s="5" t="s">
        <v>63</v>
      </c>
      <c r="C1244" s="5" t="s">
        <v>45</v>
      </c>
      <c r="D1244" s="5">
        <v>1303053</v>
      </c>
      <c r="E1244" s="5">
        <v>50293</v>
      </c>
      <c r="F1244" s="5">
        <v>114847523</v>
      </c>
      <c r="G1244" s="5">
        <v>3.8596281195008952</v>
      </c>
      <c r="H1244" s="5">
        <v>2283.5687471417496</v>
      </c>
      <c r="I1244" s="5">
        <v>88.13726149281726</v>
      </c>
    </row>
    <row r="1245" spans="1:9" x14ac:dyDescent="0.2">
      <c r="A1245" s="5" t="s">
        <v>82</v>
      </c>
      <c r="B1245" s="5" t="s">
        <v>63</v>
      </c>
      <c r="C1245" s="5" t="s">
        <v>46</v>
      </c>
      <c r="D1245" s="5">
        <v>1306666</v>
      </c>
      <c r="E1245" s="5">
        <v>48663</v>
      </c>
      <c r="F1245" s="5">
        <v>112544212</v>
      </c>
      <c r="G1245" s="5">
        <v>3.7242110837811651</v>
      </c>
      <c r="H1245" s="5">
        <v>2312.7265478905947</v>
      </c>
      <c r="I1245" s="5">
        <v>86.13081843409104</v>
      </c>
    </row>
    <row r="1246" spans="1:9" x14ac:dyDescent="0.2">
      <c r="A1246" s="5" t="s">
        <v>82</v>
      </c>
      <c r="B1246" s="5" t="s">
        <v>63</v>
      </c>
      <c r="C1246" s="5" t="s">
        <v>47</v>
      </c>
      <c r="D1246" s="5">
        <v>1310449</v>
      </c>
      <c r="E1246" s="5">
        <v>48178</v>
      </c>
      <c r="F1246" s="5">
        <v>110934264</v>
      </c>
      <c r="G1246" s="5">
        <v>3.6764498275018713</v>
      </c>
      <c r="H1246" s="5">
        <v>2302.5917223629044</v>
      </c>
      <c r="I1246" s="5">
        <v>84.653629404883361</v>
      </c>
    </row>
    <row r="1247" spans="1:9" x14ac:dyDescent="0.2">
      <c r="A1247" s="5" t="s">
        <v>82</v>
      </c>
      <c r="B1247" s="5" t="s">
        <v>63</v>
      </c>
      <c r="C1247" s="5" t="s">
        <v>48</v>
      </c>
      <c r="D1247" s="5">
        <v>1313444</v>
      </c>
      <c r="E1247" s="5">
        <v>47831</v>
      </c>
      <c r="F1247" s="5">
        <v>109821305</v>
      </c>
      <c r="G1247" s="5">
        <v>3.6416474550875408</v>
      </c>
      <c r="H1247" s="5">
        <v>2296.0277853275074</v>
      </c>
      <c r="I1247" s="5">
        <v>83.613237412481993</v>
      </c>
    </row>
    <row r="1248" spans="1:9" x14ac:dyDescent="0.2">
      <c r="A1248" s="5" t="s">
        <v>82</v>
      </c>
      <c r="B1248" s="5" t="s">
        <v>63</v>
      </c>
      <c r="C1248" s="5" t="s">
        <v>49</v>
      </c>
      <c r="D1248" s="5">
        <v>1314943</v>
      </c>
      <c r="E1248" s="5">
        <v>47350</v>
      </c>
      <c r="F1248" s="5">
        <v>109206094</v>
      </c>
      <c r="G1248" s="5">
        <v>3.600916541629561</v>
      </c>
      <c r="H1248" s="5">
        <v>2306.3589017951426</v>
      </c>
      <c r="I1248" s="5">
        <v>83.050059204087177</v>
      </c>
    </row>
    <row r="1249" spans="1:9" x14ac:dyDescent="0.2">
      <c r="A1249" s="5" t="s">
        <v>82</v>
      </c>
      <c r="B1249" s="5" t="s">
        <v>63</v>
      </c>
      <c r="C1249" s="5" t="s">
        <v>50</v>
      </c>
      <c r="D1249" s="5">
        <v>1314983</v>
      </c>
      <c r="E1249" s="5">
        <v>46882</v>
      </c>
      <c r="F1249" s="5">
        <v>108231038</v>
      </c>
      <c r="G1249" s="5">
        <v>3.5652171929218857</v>
      </c>
      <c r="H1249" s="5">
        <v>2308.5840621133912</v>
      </c>
      <c r="I1249" s="5">
        <v>82.306035895521077</v>
      </c>
    </row>
    <row r="1250" spans="1:9" x14ac:dyDescent="0.2">
      <c r="A1250" s="5" t="s">
        <v>82</v>
      </c>
      <c r="B1250" s="5" t="s">
        <v>63</v>
      </c>
      <c r="C1250" s="5" t="s">
        <v>51</v>
      </c>
      <c r="D1250" s="5">
        <v>1314363</v>
      </c>
      <c r="E1250" s="5">
        <v>46506</v>
      </c>
      <c r="F1250" s="5">
        <v>108546630</v>
      </c>
      <c r="G1250" s="5">
        <v>3.5382919330504587</v>
      </c>
      <c r="H1250" s="5">
        <v>2334.0349632305511</v>
      </c>
      <c r="I1250" s="5">
        <v>82.584970818563818</v>
      </c>
    </row>
    <row r="1251" spans="1:9" x14ac:dyDescent="0.2">
      <c r="A1251" s="5" t="s">
        <v>82</v>
      </c>
      <c r="B1251" s="5" t="s">
        <v>63</v>
      </c>
      <c r="C1251" s="5" t="s">
        <v>52</v>
      </c>
      <c r="D1251" s="5">
        <v>1315200</v>
      </c>
      <c r="E1251" s="5">
        <v>45655</v>
      </c>
      <c r="F1251" s="5">
        <v>107763246</v>
      </c>
      <c r="G1251" s="5">
        <v>3.4713351581508514</v>
      </c>
      <c r="H1251" s="5">
        <v>2360.3821268207207</v>
      </c>
      <c r="I1251" s="5">
        <v>81.9367746350365</v>
      </c>
    </row>
    <row r="1252" spans="1:9" x14ac:dyDescent="0.2">
      <c r="A1252" s="5" t="s">
        <v>82</v>
      </c>
      <c r="B1252" s="5" t="s">
        <v>63</v>
      </c>
      <c r="C1252" s="5" t="s">
        <v>53</v>
      </c>
      <c r="D1252" s="5">
        <v>1317412</v>
      </c>
      <c r="E1252" s="5">
        <v>45012</v>
      </c>
      <c r="F1252" s="5">
        <v>106561159</v>
      </c>
      <c r="G1252" s="5">
        <v>3.4166988003752814</v>
      </c>
      <c r="H1252" s="5">
        <v>2367.3944503687903</v>
      </c>
      <c r="I1252" s="5">
        <v>80.886737785901445</v>
      </c>
    </row>
    <row r="1253" spans="1:9" x14ac:dyDescent="0.2">
      <c r="A1253" s="5" t="s">
        <v>82</v>
      </c>
      <c r="B1253" s="5" t="s">
        <v>63</v>
      </c>
      <c r="C1253" s="5" t="s">
        <v>54</v>
      </c>
      <c r="D1253" s="5">
        <v>1320413</v>
      </c>
      <c r="E1253" s="5">
        <v>45318</v>
      </c>
      <c r="F1253" s="5">
        <v>107341395</v>
      </c>
      <c r="G1253" s="5">
        <v>3.4321079843957913</v>
      </c>
      <c r="H1253" s="5">
        <v>2368.6260426320669</v>
      </c>
      <c r="I1253" s="5">
        <v>81.293803529653218</v>
      </c>
    </row>
    <row r="1254" spans="1:9" x14ac:dyDescent="0.2">
      <c r="A1254" s="5" t="s">
        <v>82</v>
      </c>
      <c r="B1254" s="5" t="s">
        <v>63</v>
      </c>
      <c r="C1254" s="5" t="s">
        <v>55</v>
      </c>
      <c r="D1254" s="5">
        <v>1324394</v>
      </c>
      <c r="E1254" s="5">
        <v>45159</v>
      </c>
      <c r="F1254" s="5">
        <v>107456886</v>
      </c>
      <c r="G1254" s="5">
        <v>3.4097859096311218</v>
      </c>
      <c r="H1254" s="5">
        <v>2379.5231515312562</v>
      </c>
      <c r="I1254" s="5">
        <v>81.136645137323185</v>
      </c>
    </row>
    <row r="1255" spans="1:9" x14ac:dyDescent="0.2">
      <c r="A1255" s="5" t="s">
        <v>82</v>
      </c>
      <c r="B1255" s="5" t="s">
        <v>63</v>
      </c>
      <c r="C1255" s="5" t="s">
        <v>56</v>
      </c>
      <c r="D1255" s="5">
        <v>1327635</v>
      </c>
      <c r="E1255" s="5">
        <v>45081</v>
      </c>
      <c r="F1255" s="5">
        <v>107107175</v>
      </c>
      <c r="G1255" s="5">
        <v>3.3955868894688677</v>
      </c>
      <c r="H1255" s="5">
        <v>2375.8828553048957</v>
      </c>
      <c r="I1255" s="5">
        <v>80.675166743871628</v>
      </c>
    </row>
    <row r="1256" spans="1:9" x14ac:dyDescent="0.2">
      <c r="A1256" s="5" t="s">
        <v>82</v>
      </c>
      <c r="B1256" s="5" t="s">
        <v>63</v>
      </c>
      <c r="C1256" s="5" t="s">
        <v>57</v>
      </c>
      <c r="D1256" s="5">
        <v>1331683</v>
      </c>
      <c r="E1256" s="5">
        <v>44755</v>
      </c>
      <c r="F1256" s="5">
        <v>106315510</v>
      </c>
      <c r="G1256" s="5">
        <v>3.3607848114003107</v>
      </c>
      <c r="H1256" s="5">
        <v>2375.5001675790413</v>
      </c>
      <c r="I1256" s="5">
        <v>79.835448826785353</v>
      </c>
    </row>
    <row r="1257" spans="1:9" x14ac:dyDescent="0.2">
      <c r="A1257" s="5" t="s">
        <v>82</v>
      </c>
      <c r="B1257" s="5" t="s">
        <v>63</v>
      </c>
      <c r="C1257" s="5" t="s">
        <v>58</v>
      </c>
      <c r="D1257" s="5">
        <v>1337059</v>
      </c>
      <c r="E1257" s="5">
        <v>44203</v>
      </c>
      <c r="F1257" s="5">
        <v>106059628</v>
      </c>
      <c r="G1257" s="5">
        <v>3.3059872451402668</v>
      </c>
      <c r="H1257" s="5">
        <v>2399.376241431577</v>
      </c>
      <c r="I1257" s="5">
        <v>79.323072504653865</v>
      </c>
    </row>
    <row r="1258" spans="1:9" x14ac:dyDescent="0.2">
      <c r="A1258" s="5" t="s">
        <v>82</v>
      </c>
      <c r="B1258" s="5" t="s">
        <v>63</v>
      </c>
      <c r="C1258" s="5" t="s">
        <v>59</v>
      </c>
      <c r="D1258" s="5">
        <v>1342508</v>
      </c>
      <c r="E1258" s="5">
        <v>44097</v>
      </c>
      <c r="F1258" s="5">
        <v>106455398</v>
      </c>
      <c r="G1258" s="5">
        <v>3.2846731639587996</v>
      </c>
      <c r="H1258" s="5">
        <v>2414.1188289452798</v>
      </c>
      <c r="I1258" s="5">
        <v>79.29591332044204</v>
      </c>
    </row>
    <row r="1259" spans="1:9" x14ac:dyDescent="0.2">
      <c r="A1259" s="5" t="s">
        <v>82</v>
      </c>
      <c r="B1259" s="5" t="s">
        <v>63</v>
      </c>
      <c r="C1259" s="5" t="s">
        <v>60</v>
      </c>
      <c r="D1259" s="5">
        <v>1348153</v>
      </c>
      <c r="E1259" s="5">
        <v>44110</v>
      </c>
      <c r="F1259" s="5">
        <v>107815962</v>
      </c>
      <c r="G1259" s="5">
        <v>3.2718838292092958</v>
      </c>
      <c r="H1259" s="5">
        <v>2444.2521423713442</v>
      </c>
      <c r="I1259" s="5">
        <v>79.973090591349788</v>
      </c>
    </row>
    <row r="1260" spans="1:9" x14ac:dyDescent="0.2">
      <c r="A1260" s="5" t="s">
        <v>82</v>
      </c>
      <c r="B1260" s="5" t="s">
        <v>63</v>
      </c>
      <c r="C1260" s="5" t="s">
        <v>61</v>
      </c>
      <c r="D1260" s="5">
        <v>1353363</v>
      </c>
      <c r="E1260" s="5">
        <v>43679</v>
      </c>
      <c r="F1260" s="5">
        <v>107634260</v>
      </c>
      <c r="G1260" s="5">
        <v>3.227441565936116</v>
      </c>
      <c r="H1260" s="5">
        <v>2464.2107191098698</v>
      </c>
      <c r="I1260" s="5">
        <v>79.530961020805208</v>
      </c>
    </row>
    <row r="1261" spans="1:9" x14ac:dyDescent="0.2">
      <c r="A1261" s="5" t="s">
        <v>82</v>
      </c>
      <c r="B1261" s="5" t="s">
        <v>63</v>
      </c>
      <c r="C1261" s="5" t="s">
        <v>62</v>
      </c>
      <c r="D1261" s="5">
        <v>1358028</v>
      </c>
      <c r="E1261" s="5">
        <v>42776</v>
      </c>
      <c r="F1261" s="5">
        <v>105865040</v>
      </c>
      <c r="G1261" s="5">
        <v>3.1498614167012757</v>
      </c>
      <c r="H1261" s="5">
        <v>2474.8700205722835</v>
      </c>
      <c r="I1261" s="5">
        <v>77.954975891513286</v>
      </c>
    </row>
    <row r="1262" spans="1:9" x14ac:dyDescent="0.2">
      <c r="A1262" s="5" t="s">
        <v>82</v>
      </c>
      <c r="B1262" s="5" t="s">
        <v>73</v>
      </c>
      <c r="C1262" s="5" t="s">
        <v>45</v>
      </c>
      <c r="D1262" s="5">
        <v>1303053</v>
      </c>
      <c r="E1262" s="5">
        <v>18971</v>
      </c>
      <c r="F1262" s="5">
        <v>40786154</v>
      </c>
      <c r="G1262" s="5">
        <v>1.4558885939405382</v>
      </c>
      <c r="H1262" s="5">
        <v>2149.9211427969003</v>
      </c>
      <c r="I1262" s="5">
        <v>31.300456696696145</v>
      </c>
    </row>
    <row r="1263" spans="1:9" x14ac:dyDescent="0.2">
      <c r="A1263" s="5" t="s">
        <v>82</v>
      </c>
      <c r="B1263" s="5" t="s">
        <v>73</v>
      </c>
      <c r="C1263" s="5" t="s">
        <v>46</v>
      </c>
      <c r="D1263" s="5">
        <v>1306666</v>
      </c>
      <c r="E1263" s="5">
        <v>18483</v>
      </c>
      <c r="F1263" s="5">
        <v>40464146</v>
      </c>
      <c r="G1263" s="5">
        <v>1.4145160278142999</v>
      </c>
      <c r="H1263" s="5">
        <v>2189.2628902234487</v>
      </c>
      <c r="I1263" s="5">
        <v>30.967474473201261</v>
      </c>
    </row>
    <row r="1264" spans="1:9" x14ac:dyDescent="0.2">
      <c r="A1264" s="5" t="s">
        <v>82</v>
      </c>
      <c r="B1264" s="5" t="s">
        <v>73</v>
      </c>
      <c r="C1264" s="5" t="s">
        <v>47</v>
      </c>
      <c r="D1264" s="5">
        <v>1310449</v>
      </c>
      <c r="E1264" s="5">
        <v>17826</v>
      </c>
      <c r="F1264" s="5">
        <v>41214678</v>
      </c>
      <c r="G1264" s="5">
        <v>1.3602971195368916</v>
      </c>
      <c r="H1264" s="5">
        <v>2312.0541905082464</v>
      </c>
      <c r="I1264" s="5">
        <v>31.450806555615671</v>
      </c>
    </row>
    <row r="1265" spans="1:9" x14ac:dyDescent="0.2">
      <c r="A1265" s="5" t="s">
        <v>82</v>
      </c>
      <c r="B1265" s="5" t="s">
        <v>73</v>
      </c>
      <c r="C1265" s="5" t="s">
        <v>48</v>
      </c>
      <c r="D1265" s="5">
        <v>1313444</v>
      </c>
      <c r="E1265" s="5">
        <v>17675</v>
      </c>
      <c r="F1265" s="5">
        <v>42093276</v>
      </c>
      <c r="G1265" s="5">
        <v>1.3456987888330223</v>
      </c>
      <c r="H1265" s="5">
        <v>2381.514908062235</v>
      </c>
      <c r="I1265" s="5">
        <v>32.048017273671356</v>
      </c>
    </row>
    <row r="1266" spans="1:9" x14ac:dyDescent="0.2">
      <c r="A1266" s="5" t="s">
        <v>82</v>
      </c>
      <c r="B1266" s="5" t="s">
        <v>73</v>
      </c>
      <c r="C1266" s="5" t="s">
        <v>49</v>
      </c>
      <c r="D1266" s="5">
        <v>1314943</v>
      </c>
      <c r="E1266" s="5">
        <v>17548</v>
      </c>
      <c r="F1266" s="5">
        <v>43000087</v>
      </c>
      <c r="G1266" s="5">
        <v>1.3345065147310569</v>
      </c>
      <c r="H1266" s="5">
        <v>2450.4266583086392</v>
      </c>
      <c r="I1266" s="5">
        <v>32.701103393835325</v>
      </c>
    </row>
    <row r="1267" spans="1:9" x14ac:dyDescent="0.2">
      <c r="A1267" s="5" t="s">
        <v>82</v>
      </c>
      <c r="B1267" s="5" t="s">
        <v>73</v>
      </c>
      <c r="C1267" s="5" t="s">
        <v>50</v>
      </c>
      <c r="D1267" s="5">
        <v>1314983</v>
      </c>
      <c r="E1267" s="5">
        <v>17301</v>
      </c>
      <c r="F1267" s="5">
        <v>42189195</v>
      </c>
      <c r="G1267" s="5">
        <v>1.315682408061549</v>
      </c>
      <c r="H1267" s="5">
        <v>2438.5408357898386</v>
      </c>
      <c r="I1267" s="5">
        <v>32.083452789883978</v>
      </c>
    </row>
    <row r="1268" spans="1:9" x14ac:dyDescent="0.2">
      <c r="A1268" s="5" t="s">
        <v>82</v>
      </c>
      <c r="B1268" s="5" t="s">
        <v>73</v>
      </c>
      <c r="C1268" s="5" t="s">
        <v>51</v>
      </c>
      <c r="D1268" s="5">
        <v>1314363</v>
      </c>
      <c r="E1268" s="5">
        <v>17086</v>
      </c>
      <c r="F1268" s="5">
        <v>40922181</v>
      </c>
      <c r="G1268" s="5">
        <v>1.2999452966950531</v>
      </c>
      <c r="H1268" s="5">
        <v>2395.0708767411916</v>
      </c>
      <c r="I1268" s="5">
        <v>31.134611214710091</v>
      </c>
    </row>
    <row r="1269" spans="1:9" x14ac:dyDescent="0.2">
      <c r="A1269" s="5" t="s">
        <v>82</v>
      </c>
      <c r="B1269" s="5" t="s">
        <v>73</v>
      </c>
      <c r="C1269" s="5" t="s">
        <v>52</v>
      </c>
      <c r="D1269" s="5">
        <v>1315200</v>
      </c>
      <c r="E1269" s="5">
        <v>17434</v>
      </c>
      <c r="F1269" s="5">
        <v>41516047</v>
      </c>
      <c r="G1269" s="5">
        <v>1.3255778588807785</v>
      </c>
      <c r="H1269" s="5">
        <v>2381.3265458299875</v>
      </c>
      <c r="I1269" s="5">
        <v>31.566337439172749</v>
      </c>
    </row>
    <row r="1270" spans="1:9" x14ac:dyDescent="0.2">
      <c r="A1270" s="5" t="s">
        <v>82</v>
      </c>
      <c r="B1270" s="5" t="s">
        <v>73</v>
      </c>
      <c r="C1270" s="5" t="s">
        <v>53</v>
      </c>
      <c r="D1270" s="5">
        <v>1317412</v>
      </c>
      <c r="E1270" s="5">
        <v>17996</v>
      </c>
      <c r="F1270" s="5">
        <v>41721902</v>
      </c>
      <c r="G1270" s="5">
        <v>1.3660115438450537</v>
      </c>
      <c r="H1270" s="5">
        <v>2318.398644143143</v>
      </c>
      <c r="I1270" s="5">
        <v>31.66959311134254</v>
      </c>
    </row>
    <row r="1271" spans="1:9" x14ac:dyDescent="0.2">
      <c r="A1271" s="5" t="s">
        <v>82</v>
      </c>
      <c r="B1271" s="5" t="s">
        <v>73</v>
      </c>
      <c r="C1271" s="5" t="s">
        <v>54</v>
      </c>
      <c r="D1271" s="5">
        <v>1320413</v>
      </c>
      <c r="E1271" s="5">
        <v>18408</v>
      </c>
      <c r="F1271" s="5">
        <v>42386241</v>
      </c>
      <c r="G1271" s="5">
        <v>1.3941092673277224</v>
      </c>
      <c r="H1271" s="5">
        <v>2302.5989243807039</v>
      </c>
      <c r="I1271" s="5">
        <v>32.100744994179848</v>
      </c>
    </row>
    <row r="1272" spans="1:9" x14ac:dyDescent="0.2">
      <c r="A1272" s="5" t="s">
        <v>82</v>
      </c>
      <c r="B1272" s="5" t="s">
        <v>73</v>
      </c>
      <c r="C1272" s="5" t="s">
        <v>55</v>
      </c>
      <c r="D1272" s="5">
        <v>1324394</v>
      </c>
      <c r="E1272" s="5">
        <v>18221</v>
      </c>
      <c r="F1272" s="5">
        <v>42906649</v>
      </c>
      <c r="G1272" s="5">
        <v>1.3757990446951587</v>
      </c>
      <c r="H1272" s="5">
        <v>2354.7911201361067</v>
      </c>
      <c r="I1272" s="5">
        <v>32.397193735398986</v>
      </c>
    </row>
    <row r="1273" spans="1:9" x14ac:dyDescent="0.2">
      <c r="A1273" s="5" t="s">
        <v>82</v>
      </c>
      <c r="B1273" s="5" t="s">
        <v>73</v>
      </c>
      <c r="C1273" s="5" t="s">
        <v>56</v>
      </c>
      <c r="D1273" s="5">
        <v>1327635</v>
      </c>
      <c r="E1273" s="5">
        <v>17907</v>
      </c>
      <c r="F1273" s="5">
        <v>42369488</v>
      </c>
      <c r="G1273" s="5">
        <v>1.3487893886497417</v>
      </c>
      <c r="H1273" s="5">
        <v>2366.0852180711454</v>
      </c>
      <c r="I1273" s="5">
        <v>31.913506347753714</v>
      </c>
    </row>
    <row r="1274" spans="1:9" x14ac:dyDescent="0.2">
      <c r="A1274" s="5" t="s">
        <v>82</v>
      </c>
      <c r="B1274" s="5" t="s">
        <v>73</v>
      </c>
      <c r="C1274" s="5" t="s">
        <v>57</v>
      </c>
      <c r="D1274" s="5">
        <v>1331683</v>
      </c>
      <c r="E1274" s="5">
        <v>17265</v>
      </c>
      <c r="F1274" s="5">
        <v>42080250</v>
      </c>
      <c r="G1274" s="5">
        <v>1.2964797177706706</v>
      </c>
      <c r="H1274" s="5">
        <v>2437.3153779322329</v>
      </c>
      <c r="I1274" s="5">
        <v>31.599299532996966</v>
      </c>
    </row>
    <row r="1275" spans="1:9" x14ac:dyDescent="0.2">
      <c r="A1275" s="5" t="s">
        <v>82</v>
      </c>
      <c r="B1275" s="5" t="s">
        <v>73</v>
      </c>
      <c r="C1275" s="5" t="s">
        <v>58</v>
      </c>
      <c r="D1275" s="5">
        <v>1337059</v>
      </c>
      <c r="E1275" s="5">
        <v>16811</v>
      </c>
      <c r="F1275" s="5">
        <v>41776318</v>
      </c>
      <c r="G1275" s="5">
        <v>1.2573117566240533</v>
      </c>
      <c r="H1275" s="5">
        <v>2485.0584736184642</v>
      </c>
      <c r="I1275" s="5">
        <v>31.244932347787195</v>
      </c>
    </row>
    <row r="1276" spans="1:9" x14ac:dyDescent="0.2">
      <c r="A1276" s="5" t="s">
        <v>82</v>
      </c>
      <c r="B1276" s="5" t="s">
        <v>73</v>
      </c>
      <c r="C1276" s="5" t="s">
        <v>59</v>
      </c>
      <c r="D1276" s="5">
        <v>1342508</v>
      </c>
      <c r="E1276" s="5">
        <v>16464</v>
      </c>
      <c r="F1276" s="5">
        <v>41388124</v>
      </c>
      <c r="G1276" s="5">
        <v>1.2263614071573503</v>
      </c>
      <c r="H1276" s="5">
        <v>2513.8559280855197</v>
      </c>
      <c r="I1276" s="5">
        <v>30.828958933578051</v>
      </c>
    </row>
    <row r="1277" spans="1:9" x14ac:dyDescent="0.2">
      <c r="A1277" s="5" t="s">
        <v>82</v>
      </c>
      <c r="B1277" s="5" t="s">
        <v>73</v>
      </c>
      <c r="C1277" s="5" t="s">
        <v>60</v>
      </c>
      <c r="D1277" s="5">
        <v>1348153</v>
      </c>
      <c r="E1277" s="5">
        <v>16181</v>
      </c>
      <c r="F1277" s="5">
        <v>40781237</v>
      </c>
      <c r="G1277" s="5">
        <v>1.2002346914630611</v>
      </c>
      <c r="H1277" s="5">
        <v>2520.3162350905382</v>
      </c>
      <c r="I1277" s="5">
        <v>30.249709788132357</v>
      </c>
    </row>
    <row r="1278" spans="1:9" x14ac:dyDescent="0.2">
      <c r="A1278" s="5" t="s">
        <v>82</v>
      </c>
      <c r="B1278" s="5" t="s">
        <v>73</v>
      </c>
      <c r="C1278" s="5" t="s">
        <v>61</v>
      </c>
      <c r="D1278" s="5">
        <v>1353363</v>
      </c>
      <c r="E1278" s="5">
        <v>15960</v>
      </c>
      <c r="F1278" s="5">
        <v>40072059</v>
      </c>
      <c r="G1278" s="5">
        <v>1.1792844935172604</v>
      </c>
      <c r="H1278" s="5">
        <v>2510.7806390977444</v>
      </c>
      <c r="I1278" s="5">
        <v>29.609246743113268</v>
      </c>
    </row>
    <row r="1279" spans="1:9" x14ac:dyDescent="0.2">
      <c r="A1279" s="5" t="s">
        <v>82</v>
      </c>
      <c r="B1279" s="5" t="s">
        <v>73</v>
      </c>
      <c r="C1279" s="5" t="s">
        <v>62</v>
      </c>
      <c r="D1279" s="5">
        <v>1358028</v>
      </c>
      <c r="E1279" s="5">
        <v>15907</v>
      </c>
      <c r="F1279" s="5">
        <v>40392057</v>
      </c>
      <c r="G1279" s="5">
        <v>1.1713307825759116</v>
      </c>
      <c r="H1279" s="5">
        <v>2539.2630288552209</v>
      </c>
      <c r="I1279" s="5">
        <v>29.743169507550654</v>
      </c>
    </row>
    <row r="1280" spans="1:9" x14ac:dyDescent="0.2">
      <c r="A1280" s="5" t="s">
        <v>82</v>
      </c>
      <c r="B1280" s="5" t="s">
        <v>64</v>
      </c>
      <c r="C1280" s="5" t="s">
        <v>45</v>
      </c>
      <c r="D1280" s="5">
        <v>945700</v>
      </c>
      <c r="E1280" s="5">
        <v>109933</v>
      </c>
      <c r="F1280" s="5">
        <v>118949411</v>
      </c>
      <c r="G1280" s="5">
        <v>11.624510944274082</v>
      </c>
      <c r="H1280" s="5">
        <v>1082.0173287365942</v>
      </c>
      <c r="I1280" s="5">
        <v>125.77922279792746</v>
      </c>
    </row>
    <row r="1281" spans="1:9" x14ac:dyDescent="0.2">
      <c r="A1281" s="5" t="s">
        <v>82</v>
      </c>
      <c r="B1281" s="5" t="s">
        <v>64</v>
      </c>
      <c r="C1281" s="5" t="s">
        <v>46</v>
      </c>
      <c r="D1281" s="5">
        <v>947266</v>
      </c>
      <c r="E1281" s="5">
        <v>110307</v>
      </c>
      <c r="F1281" s="5">
        <v>123748920</v>
      </c>
      <c r="G1281" s="5">
        <v>11.644775596295021</v>
      </c>
      <c r="H1281" s="5">
        <v>1121.8591748483777</v>
      </c>
      <c r="I1281" s="5">
        <v>130.6379834175406</v>
      </c>
    </row>
    <row r="1282" spans="1:9" x14ac:dyDescent="0.2">
      <c r="A1282" s="5" t="s">
        <v>82</v>
      </c>
      <c r="B1282" s="5" t="s">
        <v>64</v>
      </c>
      <c r="C1282" s="5" t="s">
        <v>47</v>
      </c>
      <c r="D1282" s="5">
        <v>948493</v>
      </c>
      <c r="E1282" s="5">
        <v>102986</v>
      </c>
      <c r="F1282" s="5">
        <v>117512739</v>
      </c>
      <c r="G1282" s="5">
        <v>10.857855566672606</v>
      </c>
      <c r="H1282" s="5">
        <v>1141.0554735595128</v>
      </c>
      <c r="I1282" s="5">
        <v>123.89415525470405</v>
      </c>
    </row>
    <row r="1283" spans="1:9" x14ac:dyDescent="0.2">
      <c r="A1283" s="5" t="s">
        <v>82</v>
      </c>
      <c r="B1283" s="5" t="s">
        <v>64</v>
      </c>
      <c r="C1283" s="5" t="s">
        <v>48</v>
      </c>
      <c r="D1283" s="5">
        <v>948674</v>
      </c>
      <c r="E1283" s="5">
        <v>93299</v>
      </c>
      <c r="F1283" s="5">
        <v>103550074</v>
      </c>
      <c r="G1283" s="5">
        <v>9.8346745035702465</v>
      </c>
      <c r="H1283" s="5">
        <v>1109.8733534121479</v>
      </c>
      <c r="I1283" s="5">
        <v>109.15243170994462</v>
      </c>
    </row>
    <row r="1284" spans="1:9" x14ac:dyDescent="0.2">
      <c r="A1284" s="5" t="s">
        <v>82</v>
      </c>
      <c r="B1284" s="5" t="s">
        <v>64</v>
      </c>
      <c r="C1284" s="5" t="s">
        <v>49</v>
      </c>
      <c r="D1284" s="5">
        <v>947408</v>
      </c>
      <c r="E1284" s="5">
        <v>88460</v>
      </c>
      <c r="F1284" s="5">
        <v>96827433</v>
      </c>
      <c r="G1284" s="5">
        <v>9.3370543630621654</v>
      </c>
      <c r="H1284" s="5">
        <v>1094.5900180872711</v>
      </c>
      <c r="I1284" s="5">
        <v>102.20246504146048</v>
      </c>
    </row>
    <row r="1285" spans="1:9" x14ac:dyDescent="0.2">
      <c r="A1285" s="5" t="s">
        <v>82</v>
      </c>
      <c r="B1285" s="5" t="s">
        <v>64</v>
      </c>
      <c r="C1285" s="5" t="s">
        <v>50</v>
      </c>
      <c r="D1285" s="5">
        <v>944704</v>
      </c>
      <c r="E1285" s="5">
        <v>83528</v>
      </c>
      <c r="F1285" s="5">
        <v>91649341</v>
      </c>
      <c r="G1285" s="5">
        <v>8.8417112661743786</v>
      </c>
      <c r="H1285" s="5">
        <v>1097.228965137439</v>
      </c>
      <c r="I1285" s="5">
        <v>97.01381702628548</v>
      </c>
    </row>
    <row r="1286" spans="1:9" x14ac:dyDescent="0.2">
      <c r="A1286" s="5" t="s">
        <v>82</v>
      </c>
      <c r="B1286" s="5" t="s">
        <v>64</v>
      </c>
      <c r="C1286" s="5" t="s">
        <v>51</v>
      </c>
      <c r="D1286" s="5">
        <v>941128</v>
      </c>
      <c r="E1286" s="5">
        <v>74626</v>
      </c>
      <c r="F1286" s="5">
        <v>78456767</v>
      </c>
      <c r="G1286" s="5">
        <v>7.9294208651745564</v>
      </c>
      <c r="H1286" s="5">
        <v>1051.3328732613297</v>
      </c>
      <c r="I1286" s="5">
        <v>83.364608214823065</v>
      </c>
    </row>
    <row r="1287" spans="1:9" x14ac:dyDescent="0.2">
      <c r="A1287" s="5" t="s">
        <v>82</v>
      </c>
      <c r="B1287" s="5" t="s">
        <v>64</v>
      </c>
      <c r="C1287" s="5" t="s">
        <v>52</v>
      </c>
      <c r="D1287" s="5">
        <v>938018</v>
      </c>
      <c r="E1287" s="5">
        <v>81809</v>
      </c>
      <c r="F1287" s="5">
        <v>104623348</v>
      </c>
      <c r="G1287" s="5">
        <v>8.7214744279960517</v>
      </c>
      <c r="H1287" s="5">
        <v>1278.8733268955739</v>
      </c>
      <c r="I1287" s="5">
        <v>111.53661017165982</v>
      </c>
    </row>
    <row r="1288" spans="1:9" x14ac:dyDescent="0.2">
      <c r="A1288" s="5" t="s">
        <v>82</v>
      </c>
      <c r="B1288" s="5" t="s">
        <v>64</v>
      </c>
      <c r="C1288" s="5" t="s">
        <v>53</v>
      </c>
      <c r="D1288" s="5">
        <v>935698</v>
      </c>
      <c r="E1288" s="5">
        <v>79453</v>
      </c>
      <c r="F1288" s="5">
        <v>104064913</v>
      </c>
      <c r="G1288" s="5">
        <v>8.4913080929958173</v>
      </c>
      <c r="H1288" s="5">
        <v>1309.7669439794595</v>
      </c>
      <c r="I1288" s="5">
        <v>111.21634651351184</v>
      </c>
    </row>
    <row r="1289" spans="1:9" x14ac:dyDescent="0.2">
      <c r="A1289" s="5" t="s">
        <v>82</v>
      </c>
      <c r="B1289" s="5" t="s">
        <v>64</v>
      </c>
      <c r="C1289" s="5" t="s">
        <v>54</v>
      </c>
      <c r="D1289" s="5">
        <v>933961</v>
      </c>
      <c r="E1289" s="5">
        <v>77839</v>
      </c>
      <c r="F1289" s="5">
        <v>101602741</v>
      </c>
      <c r="G1289" s="5">
        <v>8.3342880484302881</v>
      </c>
      <c r="H1289" s="5">
        <v>1305.2935032567223</v>
      </c>
      <c r="I1289" s="5">
        <v>108.78692043886201</v>
      </c>
    </row>
    <row r="1290" spans="1:9" x14ac:dyDescent="0.2">
      <c r="A1290" s="5" t="s">
        <v>82</v>
      </c>
      <c r="B1290" s="5" t="s">
        <v>64</v>
      </c>
      <c r="C1290" s="5" t="s">
        <v>55</v>
      </c>
      <c r="D1290" s="5">
        <v>932967</v>
      </c>
      <c r="E1290" s="5">
        <v>74598</v>
      </c>
      <c r="F1290" s="5">
        <v>96197484</v>
      </c>
      <c r="G1290" s="5">
        <v>7.9957812012643537</v>
      </c>
      <c r="H1290" s="5">
        <v>1289.5450816375774</v>
      </c>
      <c r="I1290" s="5">
        <v>103.10920321940647</v>
      </c>
    </row>
    <row r="1291" spans="1:9" x14ac:dyDescent="0.2">
      <c r="A1291" s="5" t="s">
        <v>82</v>
      </c>
      <c r="B1291" s="5" t="s">
        <v>64</v>
      </c>
      <c r="C1291" s="5" t="s">
        <v>56</v>
      </c>
      <c r="D1291" s="5">
        <v>932067</v>
      </c>
      <c r="E1291" s="5">
        <v>65226</v>
      </c>
      <c r="F1291" s="5">
        <v>72351017</v>
      </c>
      <c r="G1291" s="5">
        <v>6.9979947793452615</v>
      </c>
      <c r="H1291" s="5">
        <v>1109.2358415355839</v>
      </c>
      <c r="I1291" s="5">
        <v>77.624266281286651</v>
      </c>
    </row>
    <row r="1292" spans="1:9" x14ac:dyDescent="0.2">
      <c r="A1292" s="5" t="s">
        <v>82</v>
      </c>
      <c r="B1292" s="5" t="s">
        <v>64</v>
      </c>
      <c r="C1292" s="5" t="s">
        <v>57</v>
      </c>
      <c r="D1292" s="5">
        <v>931957</v>
      </c>
      <c r="E1292" s="5">
        <v>64224</v>
      </c>
      <c r="F1292" s="5">
        <v>70943335</v>
      </c>
      <c r="G1292" s="5">
        <v>6.8913050709421144</v>
      </c>
      <c r="H1292" s="5">
        <v>1104.6234273791729</v>
      </c>
      <c r="I1292" s="5">
        <v>76.12297026579553</v>
      </c>
    </row>
    <row r="1293" spans="1:9" x14ac:dyDescent="0.2">
      <c r="A1293" s="5" t="s">
        <v>82</v>
      </c>
      <c r="B1293" s="5" t="s">
        <v>64</v>
      </c>
      <c r="C1293" s="5" t="s">
        <v>58</v>
      </c>
      <c r="D1293" s="5">
        <v>933337</v>
      </c>
      <c r="E1293" s="5">
        <v>65024</v>
      </c>
      <c r="F1293" s="5">
        <v>72469814</v>
      </c>
      <c r="G1293" s="5">
        <v>6.9668297731687483</v>
      </c>
      <c r="H1293" s="5">
        <v>1114.5087044783465</v>
      </c>
      <c r="I1293" s="5">
        <v>77.645924248154742</v>
      </c>
    </row>
    <row r="1294" spans="1:9" x14ac:dyDescent="0.2">
      <c r="A1294" s="5" t="s">
        <v>82</v>
      </c>
      <c r="B1294" s="5" t="s">
        <v>64</v>
      </c>
      <c r="C1294" s="5" t="s">
        <v>59</v>
      </c>
      <c r="D1294" s="5">
        <v>935298</v>
      </c>
      <c r="E1294" s="5">
        <v>64267</v>
      </c>
      <c r="F1294" s="5">
        <v>69615891</v>
      </c>
      <c r="G1294" s="5">
        <v>6.8712859430897959</v>
      </c>
      <c r="H1294" s="5">
        <v>1083.2292000560162</v>
      </c>
      <c r="I1294" s="5">
        <v>74.431775754893096</v>
      </c>
    </row>
    <row r="1295" spans="1:9" x14ac:dyDescent="0.2">
      <c r="A1295" s="5" t="s">
        <v>82</v>
      </c>
      <c r="B1295" s="5" t="s">
        <v>64</v>
      </c>
      <c r="C1295" s="5" t="s">
        <v>60</v>
      </c>
      <c r="D1295" s="5">
        <v>938067</v>
      </c>
      <c r="E1295" s="5">
        <v>63689</v>
      </c>
      <c r="F1295" s="5">
        <v>71017650</v>
      </c>
      <c r="G1295" s="5">
        <v>6.7893871120079909</v>
      </c>
      <c r="H1295" s="5">
        <v>1115.0693212328661</v>
      </c>
      <c r="I1295" s="5">
        <v>75.706372785739191</v>
      </c>
    </row>
    <row r="1296" spans="1:9" x14ac:dyDescent="0.2">
      <c r="A1296" s="5" t="s">
        <v>82</v>
      </c>
      <c r="B1296" s="5" t="s">
        <v>64</v>
      </c>
      <c r="C1296" s="5" t="s">
        <v>61</v>
      </c>
      <c r="D1296" s="5">
        <v>941234</v>
      </c>
      <c r="E1296" s="5">
        <v>63609</v>
      </c>
      <c r="F1296" s="5">
        <v>73653299</v>
      </c>
      <c r="G1296" s="5">
        <v>6.7580431646115633</v>
      </c>
      <c r="H1296" s="5">
        <v>1157.9068842459401</v>
      </c>
      <c r="I1296" s="5">
        <v>78.251847043349471</v>
      </c>
    </row>
    <row r="1297" spans="1:9" x14ac:dyDescent="0.2">
      <c r="A1297" s="5" t="s">
        <v>82</v>
      </c>
      <c r="B1297" s="5" t="s">
        <v>64</v>
      </c>
      <c r="C1297" s="5" t="s">
        <v>62</v>
      </c>
      <c r="D1297" s="5">
        <v>944414</v>
      </c>
      <c r="E1297" s="5">
        <v>64806</v>
      </c>
      <c r="F1297" s="5">
        <v>83064663</v>
      </c>
      <c r="G1297" s="5">
        <v>6.8620329643567333</v>
      </c>
      <c r="H1297" s="5">
        <v>1281.7434033885752</v>
      </c>
      <c r="I1297" s="5">
        <v>87.953654858991925</v>
      </c>
    </row>
    <row r="1298" spans="1:9" x14ac:dyDescent="0.2">
      <c r="A1298" s="5" t="s">
        <v>82</v>
      </c>
      <c r="B1298" s="5" t="s">
        <v>65</v>
      </c>
      <c r="C1298" s="5" t="s">
        <v>45</v>
      </c>
      <c r="D1298" s="5">
        <v>957329</v>
      </c>
      <c r="E1298" s="5">
        <v>58634</v>
      </c>
      <c r="F1298" s="5">
        <v>150944140</v>
      </c>
      <c r="G1298" s="5">
        <v>6.1247491719147753</v>
      </c>
      <c r="H1298" s="5">
        <v>2574.3449193300817</v>
      </c>
      <c r="I1298" s="5">
        <v>157.67216912889927</v>
      </c>
    </row>
    <row r="1299" spans="1:9" x14ac:dyDescent="0.2">
      <c r="A1299" s="5" t="s">
        <v>82</v>
      </c>
      <c r="B1299" s="5" t="s">
        <v>65</v>
      </c>
      <c r="C1299" s="5" t="s">
        <v>46</v>
      </c>
      <c r="D1299" s="5">
        <v>960089</v>
      </c>
      <c r="E1299" s="5">
        <v>56274</v>
      </c>
      <c r="F1299" s="5">
        <v>145812713</v>
      </c>
      <c r="G1299" s="5">
        <v>5.8613316057157201</v>
      </c>
      <c r="H1299" s="5">
        <v>2591.120464157515</v>
      </c>
      <c r="I1299" s="5">
        <v>151.87416270783228</v>
      </c>
    </row>
    <row r="1300" spans="1:9" x14ac:dyDescent="0.2">
      <c r="A1300" s="5" t="s">
        <v>82</v>
      </c>
      <c r="B1300" s="5" t="s">
        <v>65</v>
      </c>
      <c r="C1300" s="5" t="s">
        <v>47</v>
      </c>
      <c r="D1300" s="5">
        <v>962781</v>
      </c>
      <c r="E1300" s="5">
        <v>55480</v>
      </c>
      <c r="F1300" s="5">
        <v>143865232</v>
      </c>
      <c r="G1300" s="5">
        <v>5.7624735012427539</v>
      </c>
      <c r="H1300" s="5">
        <v>2593.1007930785868</v>
      </c>
      <c r="I1300" s="5">
        <v>149.42674606166926</v>
      </c>
    </row>
    <row r="1301" spans="1:9" x14ac:dyDescent="0.2">
      <c r="A1301" s="5" t="s">
        <v>82</v>
      </c>
      <c r="B1301" s="5" t="s">
        <v>65</v>
      </c>
      <c r="C1301" s="5" t="s">
        <v>48</v>
      </c>
      <c r="D1301" s="5">
        <v>964748</v>
      </c>
      <c r="E1301" s="5">
        <v>54584</v>
      </c>
      <c r="F1301" s="5">
        <v>142576568</v>
      </c>
      <c r="G1301" s="5">
        <v>5.6578505475004874</v>
      </c>
      <c r="H1301" s="5">
        <v>2612.0578924226879</v>
      </c>
      <c r="I1301" s="5">
        <v>147.78633176746675</v>
      </c>
    </row>
    <row r="1302" spans="1:9" x14ac:dyDescent="0.2">
      <c r="A1302" s="5" t="s">
        <v>82</v>
      </c>
      <c r="B1302" s="5" t="s">
        <v>65</v>
      </c>
      <c r="C1302" s="5" t="s">
        <v>49</v>
      </c>
      <c r="D1302" s="5">
        <v>965506</v>
      </c>
      <c r="E1302" s="5">
        <v>53289</v>
      </c>
      <c r="F1302" s="5">
        <v>141307118</v>
      </c>
      <c r="G1302" s="5">
        <v>5.5192821173560809</v>
      </c>
      <c r="H1302" s="5">
        <v>2651.7126986807784</v>
      </c>
      <c r="I1302" s="5">
        <v>146.35550478194853</v>
      </c>
    </row>
    <row r="1303" spans="1:9" x14ac:dyDescent="0.2">
      <c r="A1303" s="5" t="s">
        <v>82</v>
      </c>
      <c r="B1303" s="5" t="s">
        <v>65</v>
      </c>
      <c r="C1303" s="5" t="s">
        <v>50</v>
      </c>
      <c r="D1303" s="5">
        <v>964774</v>
      </c>
      <c r="E1303" s="5">
        <v>52487</v>
      </c>
      <c r="F1303" s="5">
        <v>139500251</v>
      </c>
      <c r="G1303" s="5">
        <v>5.4403414685719138</v>
      </c>
      <c r="H1303" s="5">
        <v>2657.805761426639</v>
      </c>
      <c r="I1303" s="5">
        <v>144.59370899298696</v>
      </c>
    </row>
    <row r="1304" spans="1:9" x14ac:dyDescent="0.2">
      <c r="A1304" s="5" t="s">
        <v>82</v>
      </c>
      <c r="B1304" s="5" t="s">
        <v>65</v>
      </c>
      <c r="C1304" s="5" t="s">
        <v>51</v>
      </c>
      <c r="D1304" s="5">
        <v>963037</v>
      </c>
      <c r="E1304" s="5">
        <v>50861</v>
      </c>
      <c r="F1304" s="5">
        <v>135732056</v>
      </c>
      <c r="G1304" s="5">
        <v>5.2813131790367347</v>
      </c>
      <c r="H1304" s="5">
        <v>2668.686341204459</v>
      </c>
      <c r="I1304" s="5">
        <v>140.94168344518434</v>
      </c>
    </row>
    <row r="1305" spans="1:9" x14ac:dyDescent="0.2">
      <c r="A1305" s="5" t="s">
        <v>82</v>
      </c>
      <c r="B1305" s="5" t="s">
        <v>65</v>
      </c>
      <c r="C1305" s="5" t="s">
        <v>52</v>
      </c>
      <c r="D1305" s="5">
        <v>961702</v>
      </c>
      <c r="E1305" s="5">
        <v>49117</v>
      </c>
      <c r="F1305" s="5">
        <v>133532058</v>
      </c>
      <c r="G1305" s="5">
        <v>5.1072993505264623</v>
      </c>
      <c r="H1305" s="5">
        <v>2718.652564285278</v>
      </c>
      <c r="I1305" s="5">
        <v>138.84972475881301</v>
      </c>
    </row>
    <row r="1306" spans="1:9" x14ac:dyDescent="0.2">
      <c r="A1306" s="5" t="s">
        <v>82</v>
      </c>
      <c r="B1306" s="5" t="s">
        <v>65</v>
      </c>
      <c r="C1306" s="5" t="s">
        <v>53</v>
      </c>
      <c r="D1306" s="5">
        <v>961034</v>
      </c>
      <c r="E1306" s="5">
        <v>47896</v>
      </c>
      <c r="F1306" s="5">
        <v>130587779</v>
      </c>
      <c r="G1306" s="5">
        <v>4.9837987001500466</v>
      </c>
      <c r="H1306" s="5">
        <v>2726.4861157507935</v>
      </c>
      <c r="I1306" s="5">
        <v>135.88257959655954</v>
      </c>
    </row>
    <row r="1307" spans="1:9" x14ac:dyDescent="0.2">
      <c r="A1307" s="5" t="s">
        <v>82</v>
      </c>
      <c r="B1307" s="5" t="s">
        <v>65</v>
      </c>
      <c r="C1307" s="5" t="s">
        <v>54</v>
      </c>
      <c r="D1307" s="5">
        <v>960829</v>
      </c>
      <c r="E1307" s="5">
        <v>47713</v>
      </c>
      <c r="F1307" s="5">
        <v>130566665</v>
      </c>
      <c r="G1307" s="5">
        <v>4.9658159776609576</v>
      </c>
      <c r="H1307" s="5">
        <v>2736.5008488252679</v>
      </c>
      <c r="I1307" s="5">
        <v>135.88959637979286</v>
      </c>
    </row>
    <row r="1308" spans="1:9" x14ac:dyDescent="0.2">
      <c r="A1308" s="5" t="s">
        <v>82</v>
      </c>
      <c r="B1308" s="5" t="s">
        <v>65</v>
      </c>
      <c r="C1308" s="5" t="s">
        <v>55</v>
      </c>
      <c r="D1308" s="5">
        <v>961476</v>
      </c>
      <c r="E1308" s="5">
        <v>46998</v>
      </c>
      <c r="F1308" s="5">
        <v>129179829</v>
      </c>
      <c r="G1308" s="5">
        <v>4.8881095315951724</v>
      </c>
      <c r="H1308" s="5">
        <v>2748.6239627218179</v>
      </c>
      <c r="I1308" s="5">
        <v>134.35574990951412</v>
      </c>
    </row>
    <row r="1309" spans="1:9" x14ac:dyDescent="0.2">
      <c r="A1309" s="5" t="s">
        <v>82</v>
      </c>
      <c r="B1309" s="5" t="s">
        <v>65</v>
      </c>
      <c r="C1309" s="5" t="s">
        <v>56</v>
      </c>
      <c r="D1309" s="5">
        <v>961928</v>
      </c>
      <c r="E1309" s="5">
        <v>46659</v>
      </c>
      <c r="F1309" s="5">
        <v>128114278</v>
      </c>
      <c r="G1309" s="5">
        <v>4.8505709367021232</v>
      </c>
      <c r="H1309" s="5">
        <v>2745.7570458003815</v>
      </c>
      <c r="I1309" s="5">
        <v>133.18489325604412</v>
      </c>
    </row>
    <row r="1310" spans="1:9" x14ac:dyDescent="0.2">
      <c r="A1310" s="5" t="s">
        <v>82</v>
      </c>
      <c r="B1310" s="5" t="s">
        <v>65</v>
      </c>
      <c r="C1310" s="5" t="s">
        <v>57</v>
      </c>
      <c r="D1310" s="5">
        <v>963158</v>
      </c>
      <c r="E1310" s="5">
        <v>46172</v>
      </c>
      <c r="F1310" s="5">
        <v>127848420</v>
      </c>
      <c r="G1310" s="5">
        <v>4.7938136837362091</v>
      </c>
      <c r="H1310" s="5">
        <v>2768.9599757428746</v>
      </c>
      <c r="I1310" s="5">
        <v>132.73878221434074</v>
      </c>
    </row>
    <row r="1311" spans="1:9" x14ac:dyDescent="0.2">
      <c r="A1311" s="5" t="s">
        <v>82</v>
      </c>
      <c r="B1311" s="5" t="s">
        <v>65</v>
      </c>
      <c r="C1311" s="5" t="s">
        <v>58</v>
      </c>
      <c r="D1311" s="5">
        <v>965908</v>
      </c>
      <c r="E1311" s="5">
        <v>45113</v>
      </c>
      <c r="F1311" s="5">
        <v>127192987</v>
      </c>
      <c r="G1311" s="5">
        <v>4.670527627890027</v>
      </c>
      <c r="H1311" s="5">
        <v>2819.4309179172301</v>
      </c>
      <c r="I1311" s="5">
        <v>131.68229997059763</v>
      </c>
    </row>
    <row r="1312" spans="1:9" x14ac:dyDescent="0.2">
      <c r="A1312" s="5" t="s">
        <v>82</v>
      </c>
      <c r="B1312" s="5" t="s">
        <v>65</v>
      </c>
      <c r="C1312" s="5" t="s">
        <v>59</v>
      </c>
      <c r="D1312" s="5">
        <v>969066</v>
      </c>
      <c r="E1312" s="5">
        <v>44834</v>
      </c>
      <c r="F1312" s="5">
        <v>127706786</v>
      </c>
      <c r="G1312" s="5">
        <v>4.6265166665634743</v>
      </c>
      <c r="H1312" s="5">
        <v>2848.4361422134989</v>
      </c>
      <c r="I1312" s="5">
        <v>131.78337285592519</v>
      </c>
    </row>
    <row r="1313" spans="1:9" x14ac:dyDescent="0.2">
      <c r="A1313" s="5" t="s">
        <v>82</v>
      </c>
      <c r="B1313" s="5" t="s">
        <v>65</v>
      </c>
      <c r="C1313" s="5" t="s">
        <v>60</v>
      </c>
      <c r="D1313" s="5">
        <v>972903</v>
      </c>
      <c r="E1313" s="5">
        <v>44497</v>
      </c>
      <c r="F1313" s="5">
        <v>127544600</v>
      </c>
      <c r="G1313" s="5">
        <v>4.5736316981240677</v>
      </c>
      <c r="H1313" s="5">
        <v>2866.3640245409802</v>
      </c>
      <c r="I1313" s="5">
        <v>131.09693361003102</v>
      </c>
    </row>
    <row r="1314" spans="1:9" x14ac:dyDescent="0.2">
      <c r="A1314" s="5" t="s">
        <v>82</v>
      </c>
      <c r="B1314" s="5" t="s">
        <v>65</v>
      </c>
      <c r="C1314" s="5" t="s">
        <v>61</v>
      </c>
      <c r="D1314" s="5">
        <v>976937</v>
      </c>
      <c r="E1314" s="5">
        <v>44499</v>
      </c>
      <c r="F1314" s="5">
        <v>128643194</v>
      </c>
      <c r="G1314" s="5">
        <v>4.5549508310157156</v>
      </c>
      <c r="H1314" s="5">
        <v>2890.9232567023978</v>
      </c>
      <c r="I1314" s="5">
        <v>131.68013290519247</v>
      </c>
    </row>
    <row r="1315" spans="1:9" x14ac:dyDescent="0.2">
      <c r="A1315" s="5" t="s">
        <v>82</v>
      </c>
      <c r="B1315" s="5" t="s">
        <v>65</v>
      </c>
      <c r="C1315" s="5" t="s">
        <v>62</v>
      </c>
      <c r="D1315" s="5">
        <v>980899</v>
      </c>
      <c r="E1315" s="5">
        <v>43377</v>
      </c>
      <c r="F1315" s="5">
        <v>125055554</v>
      </c>
      <c r="G1315" s="5">
        <v>4.4221678276764482</v>
      </c>
      <c r="H1315" s="5">
        <v>2882.9922309057797</v>
      </c>
      <c r="I1315" s="5">
        <v>127.49075490952687</v>
      </c>
    </row>
    <row r="1316" spans="1:9" x14ac:dyDescent="0.2">
      <c r="A1316" s="5" t="s">
        <v>83</v>
      </c>
      <c r="B1316" s="5" t="s">
        <v>44</v>
      </c>
      <c r="C1316" s="5" t="s">
        <v>45</v>
      </c>
      <c r="D1316" s="5">
        <v>1803654</v>
      </c>
      <c r="E1316" s="5">
        <v>11019</v>
      </c>
      <c r="F1316" s="5">
        <v>183692451</v>
      </c>
      <c r="G1316" s="5">
        <v>0.61092648590028908</v>
      </c>
      <c r="H1316" s="5">
        <v>16670.51919411925</v>
      </c>
      <c r="I1316" s="5">
        <v>101.84461709396592</v>
      </c>
    </row>
    <row r="1317" spans="1:9" x14ac:dyDescent="0.2">
      <c r="A1317" s="5" t="s">
        <v>83</v>
      </c>
      <c r="B1317" s="5" t="s">
        <v>44</v>
      </c>
      <c r="C1317" s="5" t="s">
        <v>46</v>
      </c>
      <c r="D1317" s="5">
        <v>1816501</v>
      </c>
      <c r="E1317" s="5">
        <v>10964</v>
      </c>
      <c r="F1317" s="5">
        <v>187057679</v>
      </c>
      <c r="G1317" s="5">
        <v>0.60357797766144916</v>
      </c>
      <c r="H1317" s="5">
        <v>17061.079806639911</v>
      </c>
      <c r="I1317" s="5">
        <v>102.97692046412305</v>
      </c>
    </row>
    <row r="1318" spans="1:9" x14ac:dyDescent="0.2">
      <c r="A1318" s="5" t="s">
        <v>83</v>
      </c>
      <c r="B1318" s="5" t="s">
        <v>44</v>
      </c>
      <c r="C1318" s="5" t="s">
        <v>47</v>
      </c>
      <c r="D1318" s="5">
        <v>1827802</v>
      </c>
      <c r="E1318" s="5">
        <v>10855</v>
      </c>
      <c r="F1318" s="5">
        <v>182743347</v>
      </c>
      <c r="G1318" s="5">
        <v>0.59388270720789227</v>
      </c>
      <c r="H1318" s="5">
        <v>16834.94675264855</v>
      </c>
      <c r="I1318" s="5">
        <v>99.979837531636363</v>
      </c>
    </row>
    <row r="1319" spans="1:9" x14ac:dyDescent="0.2">
      <c r="A1319" s="5" t="s">
        <v>83</v>
      </c>
      <c r="B1319" s="5" t="s">
        <v>44</v>
      </c>
      <c r="C1319" s="5" t="s">
        <v>48</v>
      </c>
      <c r="D1319" s="5">
        <v>1839014</v>
      </c>
      <c r="E1319" s="5">
        <v>11110</v>
      </c>
      <c r="F1319" s="5">
        <v>186328585</v>
      </c>
      <c r="G1319" s="5">
        <v>0.6041280816785517</v>
      </c>
      <c r="H1319" s="5">
        <v>16771.249774977499</v>
      </c>
      <c r="I1319" s="5">
        <v>101.31982953908997</v>
      </c>
    </row>
    <row r="1320" spans="1:9" x14ac:dyDescent="0.2">
      <c r="A1320" s="5" t="s">
        <v>83</v>
      </c>
      <c r="B1320" s="5" t="s">
        <v>44</v>
      </c>
      <c r="C1320" s="5" t="s">
        <v>49</v>
      </c>
      <c r="D1320" s="5">
        <v>1847129</v>
      </c>
      <c r="E1320" s="5">
        <v>11019</v>
      </c>
      <c r="F1320" s="5">
        <v>184414692</v>
      </c>
      <c r="G1320" s="5">
        <v>0.59654739869278217</v>
      </c>
      <c r="H1320" s="5">
        <v>16736.064252654505</v>
      </c>
      <c r="I1320" s="5">
        <v>99.838555942763065</v>
      </c>
    </row>
    <row r="1321" spans="1:9" x14ac:dyDescent="0.2">
      <c r="A1321" s="5" t="s">
        <v>83</v>
      </c>
      <c r="B1321" s="5" t="s">
        <v>44</v>
      </c>
      <c r="C1321" s="5" t="s">
        <v>50</v>
      </c>
      <c r="D1321" s="5">
        <v>1851866</v>
      </c>
      <c r="E1321" s="5">
        <v>11238</v>
      </c>
      <c r="F1321" s="5">
        <v>187892027</v>
      </c>
      <c r="G1321" s="5">
        <v>0.60684736368614145</v>
      </c>
      <c r="H1321" s="5">
        <v>16719.347481758319</v>
      </c>
      <c r="I1321" s="5">
        <v>101.46091941857564</v>
      </c>
    </row>
    <row r="1322" spans="1:9" x14ac:dyDescent="0.2">
      <c r="A1322" s="5" t="s">
        <v>83</v>
      </c>
      <c r="B1322" s="5" t="s">
        <v>44</v>
      </c>
      <c r="C1322" s="5" t="s">
        <v>51</v>
      </c>
      <c r="D1322" s="5">
        <v>1857084</v>
      </c>
      <c r="E1322" s="5">
        <v>11577</v>
      </c>
      <c r="F1322" s="5">
        <v>196050547</v>
      </c>
      <c r="G1322" s="5">
        <v>0.62339667995631864</v>
      </c>
      <c r="H1322" s="5">
        <v>16934.486222682906</v>
      </c>
      <c r="I1322" s="5">
        <v>105.56902487986542</v>
      </c>
    </row>
    <row r="1323" spans="1:9" x14ac:dyDescent="0.2">
      <c r="A1323" s="5" t="s">
        <v>83</v>
      </c>
      <c r="B1323" s="5" t="s">
        <v>44</v>
      </c>
      <c r="C1323" s="5" t="s">
        <v>52</v>
      </c>
      <c r="D1323" s="5">
        <v>1861414</v>
      </c>
      <c r="E1323" s="5">
        <v>11530</v>
      </c>
      <c r="F1323" s="5">
        <v>196825580</v>
      </c>
      <c r="G1323" s="5">
        <v>0.61942157950891097</v>
      </c>
      <c r="H1323" s="5">
        <v>17070.735472679964</v>
      </c>
      <c r="I1323" s="5">
        <v>105.7398192986622</v>
      </c>
    </row>
    <row r="1324" spans="1:9" x14ac:dyDescent="0.2">
      <c r="A1324" s="5" t="s">
        <v>83</v>
      </c>
      <c r="B1324" s="5" t="s">
        <v>44</v>
      </c>
      <c r="C1324" s="5" t="s">
        <v>53</v>
      </c>
      <c r="D1324" s="5">
        <v>1868624</v>
      </c>
      <c r="E1324" s="5">
        <v>11756</v>
      </c>
      <c r="F1324" s="5">
        <v>198399968</v>
      </c>
      <c r="G1324" s="5">
        <v>0.62912603070494655</v>
      </c>
      <c r="H1324" s="5">
        <v>16876.485879550866</v>
      </c>
      <c r="I1324" s="5">
        <v>106.17436573649915</v>
      </c>
    </row>
    <row r="1325" spans="1:9" x14ac:dyDescent="0.2">
      <c r="A1325" s="5" t="s">
        <v>83</v>
      </c>
      <c r="B1325" s="5" t="s">
        <v>44</v>
      </c>
      <c r="C1325" s="5" t="s">
        <v>54</v>
      </c>
      <c r="D1325" s="5">
        <v>1877366</v>
      </c>
      <c r="E1325" s="5">
        <v>11877</v>
      </c>
      <c r="F1325" s="5">
        <v>198270642</v>
      </c>
      <c r="G1325" s="5">
        <v>0.63264169053876551</v>
      </c>
      <c r="H1325" s="5">
        <v>16693.663551401871</v>
      </c>
      <c r="I1325" s="5">
        <v>105.61107530444249</v>
      </c>
    </row>
    <row r="1326" spans="1:9" x14ac:dyDescent="0.2">
      <c r="A1326" s="5" t="s">
        <v>83</v>
      </c>
      <c r="B1326" s="5" t="s">
        <v>44</v>
      </c>
      <c r="C1326" s="5" t="s">
        <v>55</v>
      </c>
      <c r="D1326" s="5">
        <v>1885682</v>
      </c>
      <c r="E1326" s="5">
        <v>11822</v>
      </c>
      <c r="F1326" s="5">
        <v>196269329</v>
      </c>
      <c r="G1326" s="5">
        <v>0.62693497631095807</v>
      </c>
      <c r="H1326" s="5">
        <v>16602.04102520724</v>
      </c>
      <c r="I1326" s="5">
        <v>104.08400196851855</v>
      </c>
    </row>
    <row r="1327" spans="1:9" x14ac:dyDescent="0.2">
      <c r="A1327" s="5" t="s">
        <v>83</v>
      </c>
      <c r="B1327" s="5" t="s">
        <v>44</v>
      </c>
      <c r="C1327" s="5" t="s">
        <v>56</v>
      </c>
      <c r="D1327" s="5">
        <v>1892970</v>
      </c>
      <c r="E1327" s="5">
        <v>11998</v>
      </c>
      <c r="F1327" s="5">
        <v>201305570</v>
      </c>
      <c r="G1327" s="5">
        <v>0.63381881382166649</v>
      </c>
      <c r="H1327" s="5">
        <v>16778.260543423905</v>
      </c>
      <c r="I1327" s="5">
        <v>106.34377195623809</v>
      </c>
    </row>
    <row r="1328" spans="1:9" x14ac:dyDescent="0.2">
      <c r="A1328" s="5" t="s">
        <v>83</v>
      </c>
      <c r="B1328" s="5" t="s">
        <v>44</v>
      </c>
      <c r="C1328" s="5" t="s">
        <v>57</v>
      </c>
      <c r="D1328" s="5">
        <v>1898542</v>
      </c>
      <c r="E1328" s="5">
        <v>11974</v>
      </c>
      <c r="F1328" s="5">
        <v>201100965</v>
      </c>
      <c r="G1328" s="5">
        <v>0.63069450135946425</v>
      </c>
      <c r="H1328" s="5">
        <v>16794.802488725571</v>
      </c>
      <c r="I1328" s="5">
        <v>105.92389581057463</v>
      </c>
    </row>
    <row r="1329" spans="1:9" x14ac:dyDescent="0.2">
      <c r="A1329" s="5" t="s">
        <v>83</v>
      </c>
      <c r="B1329" s="5" t="s">
        <v>44</v>
      </c>
      <c r="C1329" s="5" t="s">
        <v>58</v>
      </c>
      <c r="D1329" s="5">
        <v>1904326</v>
      </c>
      <c r="E1329" s="5">
        <v>12059</v>
      </c>
      <c r="F1329" s="5">
        <v>200573936</v>
      </c>
      <c r="G1329" s="5">
        <v>0.63324241752725108</v>
      </c>
      <c r="H1329" s="5">
        <v>16632.71714072477</v>
      </c>
      <c r="I1329" s="5">
        <v>105.32542012239502</v>
      </c>
    </row>
    <row r="1330" spans="1:9" x14ac:dyDescent="0.2">
      <c r="A1330" s="5" t="s">
        <v>83</v>
      </c>
      <c r="B1330" s="5" t="s">
        <v>44</v>
      </c>
      <c r="C1330" s="5" t="s">
        <v>59</v>
      </c>
      <c r="D1330" s="5">
        <v>1911754</v>
      </c>
      <c r="E1330" s="5">
        <v>12270</v>
      </c>
      <c r="F1330" s="5">
        <v>203733184</v>
      </c>
      <c r="G1330" s="5">
        <v>0.64181897880166594</v>
      </c>
      <c r="H1330" s="5">
        <v>16604.171475142623</v>
      </c>
      <c r="I1330" s="5">
        <v>106.56872380023789</v>
      </c>
    </row>
    <row r="1331" spans="1:9" x14ac:dyDescent="0.2">
      <c r="A1331" s="5" t="s">
        <v>83</v>
      </c>
      <c r="B1331" s="5" t="s">
        <v>44</v>
      </c>
      <c r="C1331" s="5" t="s">
        <v>60</v>
      </c>
      <c r="D1331" s="5">
        <v>1922704</v>
      </c>
      <c r="E1331" s="5">
        <v>12276</v>
      </c>
      <c r="F1331" s="5">
        <v>204228370</v>
      </c>
      <c r="G1331" s="5">
        <v>0.63847581322970148</v>
      </c>
      <c r="H1331" s="5">
        <v>16636.393776474422</v>
      </c>
      <c r="I1331" s="5">
        <v>106.21935045644051</v>
      </c>
    </row>
    <row r="1332" spans="1:9" x14ac:dyDescent="0.2">
      <c r="A1332" s="5" t="s">
        <v>83</v>
      </c>
      <c r="B1332" s="5" t="s">
        <v>44</v>
      </c>
      <c r="C1332" s="5" t="s">
        <v>61</v>
      </c>
      <c r="D1332" s="5">
        <v>1935838</v>
      </c>
      <c r="E1332" s="5">
        <v>12183</v>
      </c>
      <c r="F1332" s="5">
        <v>205850818</v>
      </c>
      <c r="G1332" s="5">
        <v>0.62933985178511842</v>
      </c>
      <c r="H1332" s="5">
        <v>16896.562258885333</v>
      </c>
      <c r="I1332" s="5">
        <v>106.3367998768492</v>
      </c>
    </row>
    <row r="1333" spans="1:9" x14ac:dyDescent="0.2">
      <c r="A1333" s="5" t="s">
        <v>83</v>
      </c>
      <c r="B1333" s="5" t="s">
        <v>44</v>
      </c>
      <c r="C1333" s="5" t="s">
        <v>62</v>
      </c>
      <c r="D1333" s="5">
        <v>1950976</v>
      </c>
      <c r="E1333" s="5">
        <v>12090</v>
      </c>
      <c r="F1333" s="5">
        <v>205490275</v>
      </c>
      <c r="G1333" s="5">
        <v>0.61968983729169402</v>
      </c>
      <c r="H1333" s="5">
        <v>16996.714226633583</v>
      </c>
      <c r="I1333" s="5">
        <v>105.32691073595984</v>
      </c>
    </row>
    <row r="1334" spans="1:9" x14ac:dyDescent="0.2">
      <c r="A1334" s="5" t="s">
        <v>83</v>
      </c>
      <c r="B1334" s="5" t="s">
        <v>63</v>
      </c>
      <c r="C1334" s="5" t="s">
        <v>45</v>
      </c>
      <c r="D1334" s="5">
        <v>1803654</v>
      </c>
      <c r="E1334" s="5">
        <v>60283</v>
      </c>
      <c r="F1334" s="5">
        <v>152553693</v>
      </c>
      <c r="G1334" s="5">
        <v>3.3422707459412946</v>
      </c>
      <c r="H1334" s="5">
        <v>2530.6254333725924</v>
      </c>
      <c r="I1334" s="5">
        <v>84.580353548962279</v>
      </c>
    </row>
    <row r="1335" spans="1:9" x14ac:dyDescent="0.2">
      <c r="A1335" s="5" t="s">
        <v>83</v>
      </c>
      <c r="B1335" s="5" t="s">
        <v>63</v>
      </c>
      <c r="C1335" s="5" t="s">
        <v>46</v>
      </c>
      <c r="D1335" s="5">
        <v>1816501</v>
      </c>
      <c r="E1335" s="5">
        <v>60426</v>
      </c>
      <c r="F1335" s="5">
        <v>154836571</v>
      </c>
      <c r="G1335" s="5">
        <v>3.3265051877207883</v>
      </c>
      <c r="H1335" s="5">
        <v>2562.4163605070667</v>
      </c>
      <c r="I1335" s="5">
        <v>85.238913163273793</v>
      </c>
    </row>
    <row r="1336" spans="1:9" x14ac:dyDescent="0.2">
      <c r="A1336" s="5" t="s">
        <v>83</v>
      </c>
      <c r="B1336" s="5" t="s">
        <v>63</v>
      </c>
      <c r="C1336" s="5" t="s">
        <v>47</v>
      </c>
      <c r="D1336" s="5">
        <v>1827802</v>
      </c>
      <c r="E1336" s="5">
        <v>61028</v>
      </c>
      <c r="F1336" s="5">
        <v>157122026</v>
      </c>
      <c r="G1336" s="5">
        <v>3.3388736854429526</v>
      </c>
      <c r="H1336" s="5">
        <v>2574.5891394114178</v>
      </c>
      <c r="I1336" s="5">
        <v>85.962279284079997</v>
      </c>
    </row>
    <row r="1337" spans="1:9" x14ac:dyDescent="0.2">
      <c r="A1337" s="5" t="s">
        <v>83</v>
      </c>
      <c r="B1337" s="5" t="s">
        <v>63</v>
      </c>
      <c r="C1337" s="5" t="s">
        <v>48</v>
      </c>
      <c r="D1337" s="5">
        <v>1839014</v>
      </c>
      <c r="E1337" s="5">
        <v>61765</v>
      </c>
      <c r="F1337" s="5">
        <v>153297692</v>
      </c>
      <c r="G1337" s="5">
        <v>3.3585932461634331</v>
      </c>
      <c r="H1337" s="5">
        <v>2481.9508135675546</v>
      </c>
      <c r="I1337" s="5">
        <v>83.358632397578262</v>
      </c>
    </row>
    <row r="1338" spans="1:9" x14ac:dyDescent="0.2">
      <c r="A1338" s="5" t="s">
        <v>83</v>
      </c>
      <c r="B1338" s="5" t="s">
        <v>63</v>
      </c>
      <c r="C1338" s="5" t="s">
        <v>49</v>
      </c>
      <c r="D1338" s="5">
        <v>1847129</v>
      </c>
      <c r="E1338" s="5">
        <v>61465</v>
      </c>
      <c r="F1338" s="5">
        <v>153978737</v>
      </c>
      <c r="G1338" s="5">
        <v>3.3275965024640941</v>
      </c>
      <c r="H1338" s="5">
        <v>2505.144993085496</v>
      </c>
      <c r="I1338" s="5">
        <v>83.361117171567329</v>
      </c>
    </row>
    <row r="1339" spans="1:9" x14ac:dyDescent="0.2">
      <c r="A1339" s="5" t="s">
        <v>83</v>
      </c>
      <c r="B1339" s="5" t="s">
        <v>63</v>
      </c>
      <c r="C1339" s="5" t="s">
        <v>50</v>
      </c>
      <c r="D1339" s="5">
        <v>1851866</v>
      </c>
      <c r="E1339" s="5">
        <v>61488</v>
      </c>
      <c r="F1339" s="5">
        <v>155144625</v>
      </c>
      <c r="G1339" s="5">
        <v>3.3203266327045262</v>
      </c>
      <c r="H1339" s="5">
        <v>2523.1691549570646</v>
      </c>
      <c r="I1339" s="5">
        <v>83.777457440225163</v>
      </c>
    </row>
    <row r="1340" spans="1:9" x14ac:dyDescent="0.2">
      <c r="A1340" s="5" t="s">
        <v>83</v>
      </c>
      <c r="B1340" s="5" t="s">
        <v>63</v>
      </c>
      <c r="C1340" s="5" t="s">
        <v>51</v>
      </c>
      <c r="D1340" s="5">
        <v>1857084</v>
      </c>
      <c r="E1340" s="5">
        <v>60920</v>
      </c>
      <c r="F1340" s="5">
        <v>155441734</v>
      </c>
      <c r="G1340" s="5">
        <v>3.2804116561232557</v>
      </c>
      <c r="H1340" s="5">
        <v>2551.5714707813527</v>
      </c>
      <c r="I1340" s="5">
        <v>83.702047941827075</v>
      </c>
    </row>
    <row r="1341" spans="1:9" x14ac:dyDescent="0.2">
      <c r="A1341" s="5" t="s">
        <v>83</v>
      </c>
      <c r="B1341" s="5" t="s">
        <v>63</v>
      </c>
      <c r="C1341" s="5" t="s">
        <v>52</v>
      </c>
      <c r="D1341" s="5">
        <v>1861414</v>
      </c>
      <c r="E1341" s="5">
        <v>60644</v>
      </c>
      <c r="F1341" s="5">
        <v>155470758</v>
      </c>
      <c r="G1341" s="5">
        <v>3.2579533623363743</v>
      </c>
      <c r="H1341" s="5">
        <v>2563.6626541784844</v>
      </c>
      <c r="I1341" s="5">
        <v>83.522933640769864</v>
      </c>
    </row>
    <row r="1342" spans="1:9" x14ac:dyDescent="0.2">
      <c r="A1342" s="5" t="s">
        <v>83</v>
      </c>
      <c r="B1342" s="5" t="s">
        <v>63</v>
      </c>
      <c r="C1342" s="5" t="s">
        <v>53</v>
      </c>
      <c r="D1342" s="5">
        <v>1868624</v>
      </c>
      <c r="E1342" s="5">
        <v>60462</v>
      </c>
      <c r="F1342" s="5">
        <v>155872920</v>
      </c>
      <c r="G1342" s="5">
        <v>3.2356429115755763</v>
      </c>
      <c r="H1342" s="5">
        <v>2578.0311600674804</v>
      </c>
      <c r="I1342" s="5">
        <v>83.415882488933036</v>
      </c>
    </row>
    <row r="1343" spans="1:9" x14ac:dyDescent="0.2">
      <c r="A1343" s="5" t="s">
        <v>83</v>
      </c>
      <c r="B1343" s="5" t="s">
        <v>63</v>
      </c>
      <c r="C1343" s="5" t="s">
        <v>54</v>
      </c>
      <c r="D1343" s="5">
        <v>1877366</v>
      </c>
      <c r="E1343" s="5">
        <v>60419</v>
      </c>
      <c r="F1343" s="5">
        <v>155732326</v>
      </c>
      <c r="G1343" s="5">
        <v>3.2182856193198344</v>
      </c>
      <c r="H1343" s="5">
        <v>2577.5389529783679</v>
      </c>
      <c r="I1343" s="5">
        <v>82.952565456069834</v>
      </c>
    </row>
    <row r="1344" spans="1:9" x14ac:dyDescent="0.2">
      <c r="A1344" s="5" t="s">
        <v>83</v>
      </c>
      <c r="B1344" s="5" t="s">
        <v>63</v>
      </c>
      <c r="C1344" s="5" t="s">
        <v>55</v>
      </c>
      <c r="D1344" s="5">
        <v>1885682</v>
      </c>
      <c r="E1344" s="5">
        <v>60475</v>
      </c>
      <c r="F1344" s="5">
        <v>155604851</v>
      </c>
      <c r="G1344" s="5">
        <v>3.2070624845546596</v>
      </c>
      <c r="H1344" s="5">
        <v>2573.0442496899545</v>
      </c>
      <c r="I1344" s="5">
        <v>82.519136842797465</v>
      </c>
    </row>
    <row r="1345" spans="1:9" x14ac:dyDescent="0.2">
      <c r="A1345" s="5" t="s">
        <v>83</v>
      </c>
      <c r="B1345" s="5" t="s">
        <v>63</v>
      </c>
      <c r="C1345" s="5" t="s">
        <v>56</v>
      </c>
      <c r="D1345" s="5">
        <v>1892970</v>
      </c>
      <c r="E1345" s="5">
        <v>60210</v>
      </c>
      <c r="F1345" s="5">
        <v>155720237</v>
      </c>
      <c r="G1345" s="5">
        <v>3.1807160176864926</v>
      </c>
      <c r="H1345" s="5">
        <v>2586.2852848364059</v>
      </c>
      <c r="I1345" s="5">
        <v>82.262390317860294</v>
      </c>
    </row>
    <row r="1346" spans="1:9" x14ac:dyDescent="0.2">
      <c r="A1346" s="5" t="s">
        <v>83</v>
      </c>
      <c r="B1346" s="5" t="s">
        <v>63</v>
      </c>
      <c r="C1346" s="5" t="s">
        <v>57</v>
      </c>
      <c r="D1346" s="5">
        <v>1898542</v>
      </c>
      <c r="E1346" s="5">
        <v>59516</v>
      </c>
      <c r="F1346" s="5">
        <v>153629322</v>
      </c>
      <c r="G1346" s="5">
        <v>3.1348266195849237</v>
      </c>
      <c r="H1346" s="5">
        <v>2581.3112776396265</v>
      </c>
      <c r="I1346" s="5">
        <v>80.919633065794699</v>
      </c>
    </row>
    <row r="1347" spans="1:9" x14ac:dyDescent="0.2">
      <c r="A1347" s="5" t="s">
        <v>83</v>
      </c>
      <c r="B1347" s="5" t="s">
        <v>63</v>
      </c>
      <c r="C1347" s="5" t="s">
        <v>58</v>
      </c>
      <c r="D1347" s="5">
        <v>1904326</v>
      </c>
      <c r="E1347" s="5">
        <v>58994</v>
      </c>
      <c r="F1347" s="5">
        <v>153461043</v>
      </c>
      <c r="G1347" s="5">
        <v>3.0978939530311513</v>
      </c>
      <c r="H1347" s="5">
        <v>2601.2991660168832</v>
      </c>
      <c r="I1347" s="5">
        <v>80.585489564286789</v>
      </c>
    </row>
    <row r="1348" spans="1:9" x14ac:dyDescent="0.2">
      <c r="A1348" s="5" t="s">
        <v>83</v>
      </c>
      <c r="B1348" s="5" t="s">
        <v>63</v>
      </c>
      <c r="C1348" s="5" t="s">
        <v>59</v>
      </c>
      <c r="D1348" s="5">
        <v>1911754</v>
      </c>
      <c r="E1348" s="5">
        <v>58844</v>
      </c>
      <c r="F1348" s="5">
        <v>154036922</v>
      </c>
      <c r="G1348" s="5">
        <v>3.0780110830159111</v>
      </c>
      <c r="H1348" s="5">
        <v>2617.7167085854121</v>
      </c>
      <c r="I1348" s="5">
        <v>80.573610412218315</v>
      </c>
    </row>
    <row r="1349" spans="1:9" x14ac:dyDescent="0.2">
      <c r="A1349" s="5" t="s">
        <v>83</v>
      </c>
      <c r="B1349" s="5" t="s">
        <v>63</v>
      </c>
      <c r="C1349" s="5" t="s">
        <v>60</v>
      </c>
      <c r="D1349" s="5">
        <v>1922704</v>
      </c>
      <c r="E1349" s="5">
        <v>58502</v>
      </c>
      <c r="F1349" s="5">
        <v>153806019</v>
      </c>
      <c r="G1349" s="5">
        <v>3.042694039228087</v>
      </c>
      <c r="H1349" s="5">
        <v>2629.0728351167481</v>
      </c>
      <c r="I1349" s="5">
        <v>79.994642441062169</v>
      </c>
    </row>
    <row r="1350" spans="1:9" x14ac:dyDescent="0.2">
      <c r="A1350" s="5" t="s">
        <v>83</v>
      </c>
      <c r="B1350" s="5" t="s">
        <v>63</v>
      </c>
      <c r="C1350" s="5" t="s">
        <v>61</v>
      </c>
      <c r="D1350" s="5">
        <v>1935838</v>
      </c>
      <c r="E1350" s="5">
        <v>57733</v>
      </c>
      <c r="F1350" s="5">
        <v>153389705</v>
      </c>
      <c r="G1350" s="5">
        <v>2.9823260004194565</v>
      </c>
      <c r="H1350" s="5">
        <v>2656.8809000051965</v>
      </c>
      <c r="I1350" s="5">
        <v>79.236849881033436</v>
      </c>
    </row>
    <row r="1351" spans="1:9" x14ac:dyDescent="0.2">
      <c r="A1351" s="5" t="s">
        <v>83</v>
      </c>
      <c r="B1351" s="5" t="s">
        <v>63</v>
      </c>
      <c r="C1351" s="5" t="s">
        <v>62</v>
      </c>
      <c r="D1351" s="5">
        <v>1950976</v>
      </c>
      <c r="E1351" s="5">
        <v>57098</v>
      </c>
      <c r="F1351" s="5">
        <v>151503598</v>
      </c>
      <c r="G1351" s="5">
        <v>2.9266377443904998</v>
      </c>
      <c r="H1351" s="5">
        <v>2653.3958807664017</v>
      </c>
      <c r="I1351" s="5">
        <v>77.655285354612261</v>
      </c>
    </row>
    <row r="1352" spans="1:9" x14ac:dyDescent="0.2">
      <c r="A1352" s="5" t="s">
        <v>83</v>
      </c>
      <c r="B1352" s="5" t="s">
        <v>73</v>
      </c>
      <c r="C1352" s="5" t="s">
        <v>45</v>
      </c>
      <c r="D1352" s="5">
        <v>1801985</v>
      </c>
      <c r="E1352" s="5">
        <v>27204</v>
      </c>
      <c r="F1352" s="5">
        <v>109725426</v>
      </c>
      <c r="G1352" s="5">
        <v>1.5096685044548095</v>
      </c>
      <c r="H1352" s="5">
        <v>4033.4298632554037</v>
      </c>
      <c r="I1352" s="5">
        <v>60.891420294841524</v>
      </c>
    </row>
    <row r="1353" spans="1:9" x14ac:dyDescent="0.2">
      <c r="A1353" s="5" t="s">
        <v>83</v>
      </c>
      <c r="B1353" s="5" t="s">
        <v>73</v>
      </c>
      <c r="C1353" s="5" t="s">
        <v>46</v>
      </c>
      <c r="D1353" s="5">
        <v>1814540</v>
      </c>
      <c r="E1353" s="5">
        <v>27346</v>
      </c>
      <c r="F1353" s="5">
        <v>112422570</v>
      </c>
      <c r="G1353" s="5">
        <v>1.5070486183826204</v>
      </c>
      <c r="H1353" s="5">
        <v>4111.1157024793392</v>
      </c>
      <c r="I1353" s="5">
        <v>61.956512394325834</v>
      </c>
    </row>
    <row r="1354" spans="1:9" x14ac:dyDescent="0.2">
      <c r="A1354" s="5" t="s">
        <v>83</v>
      </c>
      <c r="B1354" s="5" t="s">
        <v>73</v>
      </c>
      <c r="C1354" s="5" t="s">
        <v>47</v>
      </c>
      <c r="D1354" s="5">
        <v>1825742</v>
      </c>
      <c r="E1354" s="5">
        <v>27735</v>
      </c>
      <c r="F1354" s="5">
        <v>115515945</v>
      </c>
      <c r="G1354" s="5">
        <v>1.5191083953811655</v>
      </c>
      <c r="H1354" s="5">
        <v>4164.9881016765821</v>
      </c>
      <c r="I1354" s="5">
        <v>63.270683919195591</v>
      </c>
    </row>
    <row r="1355" spans="1:9" x14ac:dyDescent="0.2">
      <c r="A1355" s="5" t="s">
        <v>83</v>
      </c>
      <c r="B1355" s="5" t="s">
        <v>73</v>
      </c>
      <c r="C1355" s="5" t="s">
        <v>48</v>
      </c>
      <c r="D1355" s="5">
        <v>1837083</v>
      </c>
      <c r="E1355" s="5">
        <v>28371</v>
      </c>
      <c r="F1355" s="5">
        <v>118744571</v>
      </c>
      <c r="G1355" s="5">
        <v>1.5443504730053024</v>
      </c>
      <c r="H1355" s="5">
        <v>4185.4207112896975</v>
      </c>
      <c r="I1355" s="5">
        <v>64.637564552064333</v>
      </c>
    </row>
    <row r="1356" spans="1:9" x14ac:dyDescent="0.2">
      <c r="A1356" s="5" t="s">
        <v>83</v>
      </c>
      <c r="B1356" s="5" t="s">
        <v>73</v>
      </c>
      <c r="C1356" s="5" t="s">
        <v>49</v>
      </c>
      <c r="D1356" s="5">
        <v>1845392</v>
      </c>
      <c r="E1356" s="5">
        <v>28743</v>
      </c>
      <c r="F1356" s="5">
        <v>122285033</v>
      </c>
      <c r="G1356" s="5">
        <v>1.5575552511336346</v>
      </c>
      <c r="H1356" s="5">
        <v>4254.4283129805517</v>
      </c>
      <c r="I1356" s="5">
        <v>66.265071594544679</v>
      </c>
    </row>
    <row r="1357" spans="1:9" x14ac:dyDescent="0.2">
      <c r="A1357" s="5" t="s">
        <v>83</v>
      </c>
      <c r="B1357" s="5" t="s">
        <v>73</v>
      </c>
      <c r="C1357" s="5" t="s">
        <v>50</v>
      </c>
      <c r="D1357" s="5">
        <v>1850308</v>
      </c>
      <c r="E1357" s="5">
        <v>29116</v>
      </c>
      <c r="F1357" s="5">
        <v>122665942</v>
      </c>
      <c r="G1357" s="5">
        <v>1.5735758587218993</v>
      </c>
      <c r="H1357" s="5">
        <v>4213.0080368182444</v>
      </c>
      <c r="I1357" s="5">
        <v>66.29487739338532</v>
      </c>
    </row>
    <row r="1358" spans="1:9" x14ac:dyDescent="0.2">
      <c r="A1358" s="5" t="s">
        <v>83</v>
      </c>
      <c r="B1358" s="5" t="s">
        <v>73</v>
      </c>
      <c r="C1358" s="5" t="s">
        <v>51</v>
      </c>
      <c r="D1358" s="5">
        <v>1855638</v>
      </c>
      <c r="E1358" s="5">
        <v>29045</v>
      </c>
      <c r="F1358" s="5">
        <v>120343561</v>
      </c>
      <c r="G1358" s="5">
        <v>1.565229856254291</v>
      </c>
      <c r="H1358" s="5">
        <v>4143.3486314339816</v>
      </c>
      <c r="I1358" s="5">
        <v>64.852929827908241</v>
      </c>
    </row>
    <row r="1359" spans="1:9" x14ac:dyDescent="0.2">
      <c r="A1359" s="5" t="s">
        <v>83</v>
      </c>
      <c r="B1359" s="5" t="s">
        <v>73</v>
      </c>
      <c r="C1359" s="5" t="s">
        <v>52</v>
      </c>
      <c r="D1359" s="5">
        <v>1859975</v>
      </c>
      <c r="E1359" s="5">
        <v>28331</v>
      </c>
      <c r="F1359" s="5">
        <v>118317757</v>
      </c>
      <c r="G1359" s="5">
        <v>1.5231925160284412</v>
      </c>
      <c r="H1359" s="5">
        <v>4176.2647629804806</v>
      </c>
      <c r="I1359" s="5">
        <v>63.612552319251606</v>
      </c>
    </row>
    <row r="1360" spans="1:9" x14ac:dyDescent="0.2">
      <c r="A1360" s="5" t="s">
        <v>83</v>
      </c>
      <c r="B1360" s="5" t="s">
        <v>73</v>
      </c>
      <c r="C1360" s="5" t="s">
        <v>53</v>
      </c>
      <c r="D1360" s="5">
        <v>1867257</v>
      </c>
      <c r="E1360" s="5">
        <v>27812</v>
      </c>
      <c r="F1360" s="5">
        <v>116614844</v>
      </c>
      <c r="G1360" s="5">
        <v>1.4894575304845556</v>
      </c>
      <c r="H1360" s="5">
        <v>4192.9686466273552</v>
      </c>
      <c r="I1360" s="5">
        <v>62.452487258047498</v>
      </c>
    </row>
    <row r="1361" spans="1:9" x14ac:dyDescent="0.2">
      <c r="A1361" s="5" t="s">
        <v>83</v>
      </c>
      <c r="B1361" s="5" t="s">
        <v>73</v>
      </c>
      <c r="C1361" s="5" t="s">
        <v>54</v>
      </c>
      <c r="D1361" s="5">
        <v>1876001</v>
      </c>
      <c r="E1361" s="5">
        <v>26948</v>
      </c>
      <c r="F1361" s="5">
        <v>116253772</v>
      </c>
      <c r="G1361" s="5">
        <v>1.4364597886674901</v>
      </c>
      <c r="H1361" s="5">
        <v>4314.0037108505267</v>
      </c>
      <c r="I1361" s="5">
        <v>61.968928587991158</v>
      </c>
    </row>
    <row r="1362" spans="1:9" x14ac:dyDescent="0.2">
      <c r="A1362" s="5" t="s">
        <v>83</v>
      </c>
      <c r="B1362" s="5" t="s">
        <v>73</v>
      </c>
      <c r="C1362" s="5" t="s">
        <v>55</v>
      </c>
      <c r="D1362" s="5">
        <v>1884304</v>
      </c>
      <c r="E1362" s="5">
        <v>26950</v>
      </c>
      <c r="F1362" s="5">
        <v>117167165</v>
      </c>
      <c r="G1362" s="5">
        <v>1.430236310064618</v>
      </c>
      <c r="H1362" s="5">
        <v>4347.5756957328385</v>
      </c>
      <c r="I1362" s="5">
        <v>62.180606207915496</v>
      </c>
    </row>
    <row r="1363" spans="1:9" x14ac:dyDescent="0.2">
      <c r="A1363" s="5" t="s">
        <v>83</v>
      </c>
      <c r="B1363" s="5" t="s">
        <v>73</v>
      </c>
      <c r="C1363" s="5" t="s">
        <v>56</v>
      </c>
      <c r="D1363" s="5">
        <v>1891578</v>
      </c>
      <c r="E1363" s="5">
        <v>26997</v>
      </c>
      <c r="F1363" s="5">
        <v>118177095</v>
      </c>
      <c r="G1363" s="5">
        <v>1.4272210820806754</v>
      </c>
      <c r="H1363" s="5">
        <v>4377.4158239804419</v>
      </c>
      <c r="I1363" s="5">
        <v>62.475401490184389</v>
      </c>
    </row>
    <row r="1364" spans="1:9" x14ac:dyDescent="0.2">
      <c r="A1364" s="5" t="s">
        <v>83</v>
      </c>
      <c r="B1364" s="5" t="s">
        <v>73</v>
      </c>
      <c r="C1364" s="5" t="s">
        <v>57</v>
      </c>
      <c r="D1364" s="5">
        <v>1897096</v>
      </c>
      <c r="E1364" s="5">
        <v>26909</v>
      </c>
      <c r="F1364" s="5">
        <v>118105651</v>
      </c>
      <c r="G1364" s="5">
        <v>1.4184311178770077</v>
      </c>
      <c r="H1364" s="5">
        <v>4389.076182689806</v>
      </c>
      <c r="I1364" s="5">
        <v>62.256022362600525</v>
      </c>
    </row>
    <row r="1365" spans="1:9" x14ac:dyDescent="0.2">
      <c r="A1365" s="5" t="s">
        <v>83</v>
      </c>
      <c r="B1365" s="5" t="s">
        <v>73</v>
      </c>
      <c r="C1365" s="5" t="s">
        <v>58</v>
      </c>
      <c r="D1365" s="5">
        <v>1902985</v>
      </c>
      <c r="E1365" s="5">
        <v>27782</v>
      </c>
      <c r="F1365" s="5">
        <v>119588575</v>
      </c>
      <c r="G1365" s="5">
        <v>1.4599169199967419</v>
      </c>
      <c r="H1365" s="5">
        <v>4304.5344107695628</v>
      </c>
      <c r="I1365" s="5">
        <v>62.842626189906909</v>
      </c>
    </row>
    <row r="1366" spans="1:9" x14ac:dyDescent="0.2">
      <c r="A1366" s="5" t="s">
        <v>83</v>
      </c>
      <c r="B1366" s="5" t="s">
        <v>73</v>
      </c>
      <c r="C1366" s="5" t="s">
        <v>59</v>
      </c>
      <c r="D1366" s="5">
        <v>1910611</v>
      </c>
      <c r="E1366" s="5">
        <v>27566</v>
      </c>
      <c r="F1366" s="5">
        <v>118850279</v>
      </c>
      <c r="G1366" s="5">
        <v>1.4427845333246798</v>
      </c>
      <c r="H1366" s="5">
        <v>4311.4807734165279</v>
      </c>
      <c r="I1366" s="5">
        <v>62.205377756120946</v>
      </c>
    </row>
    <row r="1367" spans="1:9" x14ac:dyDescent="0.2">
      <c r="A1367" s="5" t="s">
        <v>83</v>
      </c>
      <c r="B1367" s="5" t="s">
        <v>73</v>
      </c>
      <c r="C1367" s="5" t="s">
        <v>60</v>
      </c>
      <c r="D1367" s="5">
        <v>1921512</v>
      </c>
      <c r="E1367" s="5">
        <v>26964</v>
      </c>
      <c r="F1367" s="5">
        <v>118425635</v>
      </c>
      <c r="G1367" s="5">
        <v>1.4032699249341143</v>
      </c>
      <c r="H1367" s="5">
        <v>4391.9906171191215</v>
      </c>
      <c r="I1367" s="5">
        <v>61.631483435960845</v>
      </c>
    </row>
    <row r="1368" spans="1:9" x14ac:dyDescent="0.2">
      <c r="A1368" s="5" t="s">
        <v>83</v>
      </c>
      <c r="B1368" s="5" t="s">
        <v>73</v>
      </c>
      <c r="C1368" s="5" t="s">
        <v>61</v>
      </c>
      <c r="D1368" s="5">
        <v>1934714</v>
      </c>
      <c r="E1368" s="5">
        <v>26232</v>
      </c>
      <c r="F1368" s="5">
        <v>115359297</v>
      </c>
      <c r="G1368" s="5">
        <v>1.3558593156404513</v>
      </c>
      <c r="H1368" s="5">
        <v>4397.6554208600182</v>
      </c>
      <c r="I1368" s="5">
        <v>59.62602069349785</v>
      </c>
    </row>
    <row r="1369" spans="1:9" x14ac:dyDescent="0.2">
      <c r="A1369" s="5" t="s">
        <v>83</v>
      </c>
      <c r="B1369" s="5" t="s">
        <v>73</v>
      </c>
      <c r="C1369" s="5" t="s">
        <v>62</v>
      </c>
      <c r="D1369" s="5">
        <v>1949864</v>
      </c>
      <c r="E1369" s="5">
        <v>25444</v>
      </c>
      <c r="F1369" s="5">
        <v>114376903</v>
      </c>
      <c r="G1369" s="5">
        <v>1.3049115220343572</v>
      </c>
      <c r="H1369" s="5">
        <v>4495.2406461248229</v>
      </c>
      <c r="I1369" s="5">
        <v>58.658913134454508</v>
      </c>
    </row>
    <row r="1370" spans="1:9" x14ac:dyDescent="0.2">
      <c r="A1370" s="5" t="s">
        <v>83</v>
      </c>
      <c r="B1370" s="5" t="s">
        <v>64</v>
      </c>
      <c r="C1370" s="5" t="s">
        <v>45</v>
      </c>
      <c r="D1370" s="5">
        <v>1317174</v>
      </c>
      <c r="E1370" s="5">
        <v>87189</v>
      </c>
      <c r="F1370" s="5">
        <v>84379421</v>
      </c>
      <c r="G1370" s="5">
        <v>6.619398803802687</v>
      </c>
      <c r="H1370" s="5">
        <v>967.77599238436039</v>
      </c>
      <c r="I1370" s="5">
        <v>64.060952463379934</v>
      </c>
    </row>
    <row r="1371" spans="1:9" x14ac:dyDescent="0.2">
      <c r="A1371" s="5" t="s">
        <v>83</v>
      </c>
      <c r="B1371" s="5" t="s">
        <v>64</v>
      </c>
      <c r="C1371" s="5" t="s">
        <v>46</v>
      </c>
      <c r="D1371" s="5">
        <v>1328510</v>
      </c>
      <c r="E1371" s="5">
        <v>87835</v>
      </c>
      <c r="F1371" s="5">
        <v>86719793</v>
      </c>
      <c r="G1371" s="5">
        <v>6.6115422541042221</v>
      </c>
      <c r="H1371" s="5">
        <v>987.30338703250413</v>
      </c>
      <c r="I1371" s="5">
        <v>65.275980609856148</v>
      </c>
    </row>
    <row r="1372" spans="1:9" x14ac:dyDescent="0.2">
      <c r="A1372" s="5" t="s">
        <v>83</v>
      </c>
      <c r="B1372" s="5" t="s">
        <v>64</v>
      </c>
      <c r="C1372" s="5" t="s">
        <v>47</v>
      </c>
      <c r="D1372" s="5">
        <v>1338427</v>
      </c>
      <c r="E1372" s="5">
        <v>112270</v>
      </c>
      <c r="F1372" s="5">
        <v>147296167</v>
      </c>
      <c r="G1372" s="5">
        <v>8.3882049600015538</v>
      </c>
      <c r="H1372" s="5">
        <v>1311.9815355838602</v>
      </c>
      <c r="I1372" s="5">
        <v>110.05170024214992</v>
      </c>
    </row>
    <row r="1373" spans="1:9" x14ac:dyDescent="0.2">
      <c r="A1373" s="5" t="s">
        <v>83</v>
      </c>
      <c r="B1373" s="5" t="s">
        <v>64</v>
      </c>
      <c r="C1373" s="5" t="s">
        <v>48</v>
      </c>
      <c r="D1373" s="5">
        <v>1347931</v>
      </c>
      <c r="E1373" s="5">
        <v>111913</v>
      </c>
      <c r="F1373" s="5">
        <v>149346069</v>
      </c>
      <c r="G1373" s="5">
        <v>8.3025763188175059</v>
      </c>
      <c r="H1373" s="5">
        <v>1334.4836524800514</v>
      </c>
      <c r="I1373" s="5">
        <v>110.79652370929966</v>
      </c>
    </row>
    <row r="1374" spans="1:9" x14ac:dyDescent="0.2">
      <c r="A1374" s="5" t="s">
        <v>83</v>
      </c>
      <c r="B1374" s="5" t="s">
        <v>64</v>
      </c>
      <c r="C1374" s="5" t="s">
        <v>49</v>
      </c>
      <c r="D1374" s="5">
        <v>1354626</v>
      </c>
      <c r="E1374" s="5">
        <v>111930</v>
      </c>
      <c r="F1374" s="5">
        <v>151331259</v>
      </c>
      <c r="G1374" s="5">
        <v>8.2627972591696892</v>
      </c>
      <c r="H1374" s="5">
        <v>1352.0169659608684</v>
      </c>
      <c r="I1374" s="5">
        <v>111.71442080692383</v>
      </c>
    </row>
    <row r="1375" spans="1:9" x14ac:dyDescent="0.2">
      <c r="A1375" s="5" t="s">
        <v>83</v>
      </c>
      <c r="B1375" s="5" t="s">
        <v>64</v>
      </c>
      <c r="C1375" s="5" t="s">
        <v>50</v>
      </c>
      <c r="D1375" s="5">
        <v>1358612</v>
      </c>
      <c r="E1375" s="5">
        <v>112350</v>
      </c>
      <c r="F1375" s="5">
        <v>150879572</v>
      </c>
      <c r="G1375" s="5">
        <v>8.269469134675683</v>
      </c>
      <c r="H1375" s="5">
        <v>1342.9423408989765</v>
      </c>
      <c r="I1375" s="5">
        <v>111.05420237713196</v>
      </c>
    </row>
    <row r="1376" spans="1:9" x14ac:dyDescent="0.2">
      <c r="A1376" s="5" t="s">
        <v>83</v>
      </c>
      <c r="B1376" s="5" t="s">
        <v>64</v>
      </c>
      <c r="C1376" s="5" t="s">
        <v>51</v>
      </c>
      <c r="D1376" s="5">
        <v>1361943</v>
      </c>
      <c r="E1376" s="5">
        <v>95871</v>
      </c>
      <c r="F1376" s="5">
        <v>112826623</v>
      </c>
      <c r="G1376" s="5">
        <v>7.0392813796172087</v>
      </c>
      <c r="H1376" s="5">
        <v>1176.8587268308456</v>
      </c>
      <c r="I1376" s="5">
        <v>82.842397222203871</v>
      </c>
    </row>
    <row r="1377" spans="1:9" x14ac:dyDescent="0.2">
      <c r="A1377" s="5" t="s">
        <v>83</v>
      </c>
      <c r="B1377" s="5" t="s">
        <v>64</v>
      </c>
      <c r="C1377" s="5" t="s">
        <v>52</v>
      </c>
      <c r="D1377" s="5">
        <v>1363213</v>
      </c>
      <c r="E1377" s="5">
        <v>95281</v>
      </c>
      <c r="F1377" s="5">
        <v>111908938</v>
      </c>
      <c r="G1377" s="5">
        <v>6.9894433225035266</v>
      </c>
      <c r="H1377" s="5">
        <v>1174.5147301140837</v>
      </c>
      <c r="I1377" s="5">
        <v>82.092041375779132</v>
      </c>
    </row>
    <row r="1378" spans="1:9" x14ac:dyDescent="0.2">
      <c r="A1378" s="5" t="s">
        <v>83</v>
      </c>
      <c r="B1378" s="5" t="s">
        <v>64</v>
      </c>
      <c r="C1378" s="5" t="s">
        <v>53</v>
      </c>
      <c r="D1378" s="5">
        <v>1365577</v>
      </c>
      <c r="E1378" s="5">
        <v>92377</v>
      </c>
      <c r="F1378" s="5">
        <v>107205333</v>
      </c>
      <c r="G1378" s="5">
        <v>6.7646862827947452</v>
      </c>
      <c r="H1378" s="5">
        <v>1160.5197505872675</v>
      </c>
      <c r="I1378" s="5">
        <v>78.505520377100666</v>
      </c>
    </row>
    <row r="1379" spans="1:9" x14ac:dyDescent="0.2">
      <c r="A1379" s="5" t="s">
        <v>83</v>
      </c>
      <c r="B1379" s="5" t="s">
        <v>64</v>
      </c>
      <c r="C1379" s="5" t="s">
        <v>54</v>
      </c>
      <c r="D1379" s="5">
        <v>1368210</v>
      </c>
      <c r="E1379" s="5">
        <v>90046</v>
      </c>
      <c r="F1379" s="5">
        <v>103281719</v>
      </c>
      <c r="G1379" s="5">
        <v>6.5812996542928355</v>
      </c>
      <c r="H1379" s="5">
        <v>1146.9884170312951</v>
      </c>
      <c r="I1379" s="5">
        <v>75.486744724859491</v>
      </c>
    </row>
    <row r="1380" spans="1:9" x14ac:dyDescent="0.2">
      <c r="A1380" s="5" t="s">
        <v>83</v>
      </c>
      <c r="B1380" s="5" t="s">
        <v>64</v>
      </c>
      <c r="C1380" s="5" t="s">
        <v>55</v>
      </c>
      <c r="D1380" s="5">
        <v>1370569</v>
      </c>
      <c r="E1380" s="5">
        <v>80694</v>
      </c>
      <c r="F1380" s="5">
        <v>81859271</v>
      </c>
      <c r="G1380" s="5">
        <v>5.8876276933156957</v>
      </c>
      <c r="H1380" s="5">
        <v>1014.440615163457</v>
      </c>
      <c r="I1380" s="5">
        <v>59.726486590605802</v>
      </c>
    </row>
    <row r="1381" spans="1:9" x14ac:dyDescent="0.2">
      <c r="A1381" s="5" t="s">
        <v>83</v>
      </c>
      <c r="B1381" s="5" t="s">
        <v>64</v>
      </c>
      <c r="C1381" s="5" t="s">
        <v>56</v>
      </c>
      <c r="D1381" s="5">
        <v>1373171</v>
      </c>
      <c r="E1381" s="5">
        <v>80415</v>
      </c>
      <c r="F1381" s="5">
        <v>81705116</v>
      </c>
      <c r="G1381" s="5">
        <v>5.8561533851210079</v>
      </c>
      <c r="H1381" s="5">
        <v>1016.0432257663372</v>
      </c>
      <c r="I1381" s="5">
        <v>59.501049760008037</v>
      </c>
    </row>
    <row r="1382" spans="1:9" x14ac:dyDescent="0.2">
      <c r="A1382" s="5" t="s">
        <v>83</v>
      </c>
      <c r="B1382" s="5" t="s">
        <v>64</v>
      </c>
      <c r="C1382" s="5" t="s">
        <v>57</v>
      </c>
      <c r="D1382" s="5">
        <v>1375681</v>
      </c>
      <c r="E1382" s="5">
        <v>79832</v>
      </c>
      <c r="F1382" s="5">
        <v>82209123</v>
      </c>
      <c r="G1382" s="5">
        <v>5.8030895243882847</v>
      </c>
      <c r="H1382" s="5">
        <v>1029.7765682934162</v>
      </c>
      <c r="I1382" s="5">
        <v>59.758856159240402</v>
      </c>
    </row>
    <row r="1383" spans="1:9" x14ac:dyDescent="0.2">
      <c r="A1383" s="5" t="s">
        <v>83</v>
      </c>
      <c r="B1383" s="5" t="s">
        <v>64</v>
      </c>
      <c r="C1383" s="5" t="s">
        <v>58</v>
      </c>
      <c r="D1383" s="5">
        <v>1378889</v>
      </c>
      <c r="E1383" s="5">
        <v>81155</v>
      </c>
      <c r="F1383" s="5">
        <v>83790476</v>
      </c>
      <c r="G1383" s="5">
        <v>5.8855353839214031</v>
      </c>
      <c r="H1383" s="5">
        <v>1032.4745979914978</v>
      </c>
      <c r="I1383" s="5">
        <v>60.766657794789865</v>
      </c>
    </row>
    <row r="1384" spans="1:9" x14ac:dyDescent="0.2">
      <c r="A1384" s="5" t="s">
        <v>83</v>
      </c>
      <c r="B1384" s="5" t="s">
        <v>64</v>
      </c>
      <c r="C1384" s="5" t="s">
        <v>59</v>
      </c>
      <c r="D1384" s="5">
        <v>1383760</v>
      </c>
      <c r="E1384" s="5">
        <v>80096</v>
      </c>
      <c r="F1384" s="5">
        <v>81445360</v>
      </c>
      <c r="G1384" s="5">
        <v>5.788286986182575</v>
      </c>
      <c r="H1384" s="5">
        <v>1016.8467838593688</v>
      </c>
      <c r="I1384" s="5">
        <v>58.858010059547901</v>
      </c>
    </row>
    <row r="1385" spans="1:9" x14ac:dyDescent="0.2">
      <c r="A1385" s="5" t="s">
        <v>83</v>
      </c>
      <c r="B1385" s="5" t="s">
        <v>64</v>
      </c>
      <c r="C1385" s="5" t="s">
        <v>60</v>
      </c>
      <c r="D1385" s="5">
        <v>1390965</v>
      </c>
      <c r="E1385" s="5">
        <v>77988</v>
      </c>
      <c r="F1385" s="5">
        <v>76896401</v>
      </c>
      <c r="G1385" s="5">
        <v>5.6067550225922291</v>
      </c>
      <c r="H1385" s="5">
        <v>986.00298763912394</v>
      </c>
      <c r="I1385" s="5">
        <v>55.282772032366019</v>
      </c>
    </row>
    <row r="1386" spans="1:9" x14ac:dyDescent="0.2">
      <c r="A1386" s="5" t="s">
        <v>83</v>
      </c>
      <c r="B1386" s="5" t="s">
        <v>64</v>
      </c>
      <c r="C1386" s="5" t="s">
        <v>61</v>
      </c>
      <c r="D1386" s="5">
        <v>1399740</v>
      </c>
      <c r="E1386" s="5">
        <v>77950</v>
      </c>
      <c r="F1386" s="5">
        <v>78090392</v>
      </c>
      <c r="G1386" s="5">
        <v>5.5688913655393142</v>
      </c>
      <c r="H1386" s="5">
        <v>1001.8010519563823</v>
      </c>
      <c r="I1386" s="5">
        <v>55.789212282280992</v>
      </c>
    </row>
    <row r="1387" spans="1:9" x14ac:dyDescent="0.2">
      <c r="A1387" s="5" t="s">
        <v>83</v>
      </c>
      <c r="B1387" s="5" t="s">
        <v>64</v>
      </c>
      <c r="C1387" s="5" t="s">
        <v>62</v>
      </c>
      <c r="D1387" s="5">
        <v>1409756</v>
      </c>
      <c r="E1387" s="5">
        <v>75276</v>
      </c>
      <c r="F1387" s="5">
        <v>76769350</v>
      </c>
      <c r="G1387" s="5">
        <v>5.3396474283493029</v>
      </c>
      <c r="H1387" s="5">
        <v>1019.8383282852436</v>
      </c>
      <c r="I1387" s="5">
        <v>54.455771069603536</v>
      </c>
    </row>
    <row r="1388" spans="1:9" x14ac:dyDescent="0.2">
      <c r="A1388" s="5" t="s">
        <v>83</v>
      </c>
      <c r="B1388" s="5" t="s">
        <v>65</v>
      </c>
      <c r="C1388" s="5" t="s">
        <v>45</v>
      </c>
      <c r="D1388" s="5">
        <v>1186343</v>
      </c>
      <c r="E1388" s="5">
        <v>64017</v>
      </c>
      <c r="F1388" s="5">
        <v>191277980</v>
      </c>
      <c r="G1388" s="5">
        <v>5.3961628298055455</v>
      </c>
      <c r="H1388" s="5">
        <v>2987.9247699829734</v>
      </c>
      <c r="I1388" s="5">
        <v>161.23328582037405</v>
      </c>
    </row>
    <row r="1389" spans="1:9" x14ac:dyDescent="0.2">
      <c r="A1389" s="5" t="s">
        <v>83</v>
      </c>
      <c r="B1389" s="5" t="s">
        <v>65</v>
      </c>
      <c r="C1389" s="5" t="s">
        <v>46</v>
      </c>
      <c r="D1389" s="5">
        <v>1197236</v>
      </c>
      <c r="E1389" s="5">
        <v>63981</v>
      </c>
      <c r="F1389" s="5">
        <v>192128057</v>
      </c>
      <c r="G1389" s="5">
        <v>5.3440591495745196</v>
      </c>
      <c r="H1389" s="5">
        <v>3002.8923742986199</v>
      </c>
      <c r="I1389" s="5">
        <v>160.47634468058095</v>
      </c>
    </row>
    <row r="1390" spans="1:9" x14ac:dyDescent="0.2">
      <c r="A1390" s="5" t="s">
        <v>83</v>
      </c>
      <c r="B1390" s="5" t="s">
        <v>65</v>
      </c>
      <c r="C1390" s="5" t="s">
        <v>47</v>
      </c>
      <c r="D1390" s="5">
        <v>1206835</v>
      </c>
      <c r="E1390" s="5">
        <v>64663</v>
      </c>
      <c r="F1390" s="5">
        <v>196134853</v>
      </c>
      <c r="G1390" s="5">
        <v>5.3580646898706119</v>
      </c>
      <c r="H1390" s="5">
        <v>3033.1851754480922</v>
      </c>
      <c r="I1390" s="5">
        <v>162.5200238640742</v>
      </c>
    </row>
    <row r="1391" spans="1:9" x14ac:dyDescent="0.2">
      <c r="A1391" s="5" t="s">
        <v>83</v>
      </c>
      <c r="B1391" s="5" t="s">
        <v>65</v>
      </c>
      <c r="C1391" s="5" t="s">
        <v>48</v>
      </c>
      <c r="D1391" s="5">
        <v>1216202</v>
      </c>
      <c r="E1391" s="5">
        <v>65312</v>
      </c>
      <c r="F1391" s="5">
        <v>198466472</v>
      </c>
      <c r="G1391" s="5">
        <v>5.3701605489877506</v>
      </c>
      <c r="H1391" s="5">
        <v>3038.7443655071042</v>
      </c>
      <c r="I1391" s="5">
        <v>163.18545110105066</v>
      </c>
    </row>
    <row r="1392" spans="1:9" x14ac:dyDescent="0.2">
      <c r="A1392" s="5" t="s">
        <v>83</v>
      </c>
      <c r="B1392" s="5" t="s">
        <v>65</v>
      </c>
      <c r="C1392" s="5" t="s">
        <v>49</v>
      </c>
      <c r="D1392" s="5">
        <v>1222779</v>
      </c>
      <c r="E1392" s="5">
        <v>65176</v>
      </c>
      <c r="F1392" s="5">
        <v>201347404</v>
      </c>
      <c r="G1392" s="5">
        <v>5.3301536908959015</v>
      </c>
      <c r="H1392" s="5">
        <v>3089.2875291518349</v>
      </c>
      <c r="I1392" s="5">
        <v>164.66377325747334</v>
      </c>
    </row>
    <row r="1393" spans="1:9" x14ac:dyDescent="0.2">
      <c r="A1393" s="5" t="s">
        <v>83</v>
      </c>
      <c r="B1393" s="5" t="s">
        <v>65</v>
      </c>
      <c r="C1393" s="5" t="s">
        <v>50</v>
      </c>
      <c r="D1393" s="5">
        <v>1226725</v>
      </c>
      <c r="E1393" s="5">
        <v>65758</v>
      </c>
      <c r="F1393" s="5">
        <v>206439242</v>
      </c>
      <c r="G1393" s="5">
        <v>5.3604516089588135</v>
      </c>
      <c r="H1393" s="5">
        <v>3139.3783570059918</v>
      </c>
      <c r="I1393" s="5">
        <v>168.28485764943244</v>
      </c>
    </row>
    <row r="1394" spans="1:9" x14ac:dyDescent="0.2">
      <c r="A1394" s="5" t="s">
        <v>83</v>
      </c>
      <c r="B1394" s="5" t="s">
        <v>65</v>
      </c>
      <c r="C1394" s="5" t="s">
        <v>51</v>
      </c>
      <c r="D1394" s="5">
        <v>1229915</v>
      </c>
      <c r="E1394" s="5">
        <v>64693</v>
      </c>
      <c r="F1394" s="5">
        <v>203198344</v>
      </c>
      <c r="G1394" s="5">
        <v>5.2599569888976063</v>
      </c>
      <c r="H1394" s="5">
        <v>3140.9633808912868</v>
      </c>
      <c r="I1394" s="5">
        <v>165.21332287190577</v>
      </c>
    </row>
    <row r="1395" spans="1:9" x14ac:dyDescent="0.2">
      <c r="A1395" s="5" t="s">
        <v>83</v>
      </c>
      <c r="B1395" s="5" t="s">
        <v>65</v>
      </c>
      <c r="C1395" s="5" t="s">
        <v>52</v>
      </c>
      <c r="D1395" s="5">
        <v>1231003</v>
      </c>
      <c r="E1395" s="5">
        <v>63915</v>
      </c>
      <c r="F1395" s="5">
        <v>203912070</v>
      </c>
      <c r="G1395" s="5">
        <v>5.1921075740676503</v>
      </c>
      <c r="H1395" s="5">
        <v>3190.3632950011734</v>
      </c>
      <c r="I1395" s="5">
        <v>165.64709428003019</v>
      </c>
    </row>
    <row r="1396" spans="1:9" x14ac:dyDescent="0.2">
      <c r="A1396" s="5" t="s">
        <v>83</v>
      </c>
      <c r="B1396" s="5" t="s">
        <v>65</v>
      </c>
      <c r="C1396" s="5" t="s">
        <v>53</v>
      </c>
      <c r="D1396" s="5">
        <v>1232899</v>
      </c>
      <c r="E1396" s="5">
        <v>62691</v>
      </c>
      <c r="F1396" s="5">
        <v>199128224</v>
      </c>
      <c r="G1396" s="5">
        <v>5.0848447439733508</v>
      </c>
      <c r="H1396" s="5">
        <v>3176.3446746741956</v>
      </c>
      <c r="I1396" s="5">
        <v>161.51219524064825</v>
      </c>
    </row>
    <row r="1397" spans="1:9" x14ac:dyDescent="0.2">
      <c r="A1397" s="5" t="s">
        <v>83</v>
      </c>
      <c r="B1397" s="5" t="s">
        <v>65</v>
      </c>
      <c r="C1397" s="5" t="s">
        <v>54</v>
      </c>
      <c r="D1397" s="5">
        <v>1234947</v>
      </c>
      <c r="E1397" s="5">
        <v>61322</v>
      </c>
      <c r="F1397" s="5">
        <v>193337724</v>
      </c>
      <c r="G1397" s="5">
        <v>4.965557226342507</v>
      </c>
      <c r="H1397" s="5">
        <v>3152.8280877988323</v>
      </c>
      <c r="I1397" s="5">
        <v>156.5554829478512</v>
      </c>
    </row>
    <row r="1398" spans="1:9" x14ac:dyDescent="0.2">
      <c r="A1398" s="5" t="s">
        <v>83</v>
      </c>
      <c r="B1398" s="5" t="s">
        <v>65</v>
      </c>
      <c r="C1398" s="5" t="s">
        <v>55</v>
      </c>
      <c r="D1398" s="5">
        <v>1236795</v>
      </c>
      <c r="E1398" s="5">
        <v>60828</v>
      </c>
      <c r="F1398" s="5">
        <v>191825052</v>
      </c>
      <c r="G1398" s="5">
        <v>4.9181958206493395</v>
      </c>
      <c r="H1398" s="5">
        <v>3153.5650029591634</v>
      </c>
      <c r="I1398" s="5">
        <v>155.09850217699781</v>
      </c>
    </row>
    <row r="1399" spans="1:9" x14ac:dyDescent="0.2">
      <c r="A1399" s="5" t="s">
        <v>83</v>
      </c>
      <c r="B1399" s="5" t="s">
        <v>65</v>
      </c>
      <c r="C1399" s="5" t="s">
        <v>56</v>
      </c>
      <c r="D1399" s="5">
        <v>1238589</v>
      </c>
      <c r="E1399" s="5">
        <v>59977</v>
      </c>
      <c r="F1399" s="5">
        <v>188938872</v>
      </c>
      <c r="G1399" s="5">
        <v>4.8423649814425929</v>
      </c>
      <c r="H1399" s="5">
        <v>3150.1887723627392</v>
      </c>
      <c r="I1399" s="5">
        <v>152.54363796222961</v>
      </c>
    </row>
    <row r="1400" spans="1:9" x14ac:dyDescent="0.2">
      <c r="A1400" s="5" t="s">
        <v>83</v>
      </c>
      <c r="B1400" s="5" t="s">
        <v>65</v>
      </c>
      <c r="C1400" s="5" t="s">
        <v>57</v>
      </c>
      <c r="D1400" s="5">
        <v>1240237</v>
      </c>
      <c r="E1400" s="5">
        <v>59261</v>
      </c>
      <c r="F1400" s="5">
        <v>188641353</v>
      </c>
      <c r="G1400" s="5">
        <v>4.7781996505506612</v>
      </c>
      <c r="H1400" s="5">
        <v>3183.2293245135925</v>
      </c>
      <c r="I1400" s="5">
        <v>152.10105246013464</v>
      </c>
    </row>
    <row r="1401" spans="1:9" x14ac:dyDescent="0.2">
      <c r="A1401" s="5" t="s">
        <v>83</v>
      </c>
      <c r="B1401" s="5" t="s">
        <v>65</v>
      </c>
      <c r="C1401" s="5" t="s">
        <v>58</v>
      </c>
      <c r="D1401" s="5">
        <v>1242446</v>
      </c>
      <c r="E1401" s="5">
        <v>58802</v>
      </c>
      <c r="F1401" s="5">
        <v>188197020</v>
      </c>
      <c r="G1401" s="5">
        <v>4.7327610214045519</v>
      </c>
      <c r="H1401" s="5">
        <v>3200.5207305873951</v>
      </c>
      <c r="I1401" s="5">
        <v>151.47299761921244</v>
      </c>
    </row>
    <row r="1402" spans="1:9" x14ac:dyDescent="0.2">
      <c r="A1402" s="5" t="s">
        <v>83</v>
      </c>
      <c r="B1402" s="5" t="s">
        <v>65</v>
      </c>
      <c r="C1402" s="5" t="s">
        <v>59</v>
      </c>
      <c r="D1402" s="5">
        <v>1246338</v>
      </c>
      <c r="E1402" s="5">
        <v>58876</v>
      </c>
      <c r="F1402" s="5">
        <v>190526398</v>
      </c>
      <c r="G1402" s="5">
        <v>4.7239191936697749</v>
      </c>
      <c r="H1402" s="5">
        <v>3236.0621985189209</v>
      </c>
      <c r="I1402" s="5">
        <v>152.86896331492741</v>
      </c>
    </row>
    <row r="1403" spans="1:9" x14ac:dyDescent="0.2">
      <c r="A1403" s="5" t="s">
        <v>83</v>
      </c>
      <c r="B1403" s="5" t="s">
        <v>65</v>
      </c>
      <c r="C1403" s="5" t="s">
        <v>60</v>
      </c>
      <c r="D1403" s="5">
        <v>1252781</v>
      </c>
      <c r="E1403" s="5">
        <v>58541</v>
      </c>
      <c r="F1403" s="5">
        <v>190894206</v>
      </c>
      <c r="G1403" s="5">
        <v>4.6728837681925253</v>
      </c>
      <c r="H1403" s="5">
        <v>3260.8634290497257</v>
      </c>
      <c r="I1403" s="5">
        <v>152.37635787899083</v>
      </c>
    </row>
    <row r="1404" spans="1:9" x14ac:dyDescent="0.2">
      <c r="A1404" s="5" t="s">
        <v>83</v>
      </c>
      <c r="B1404" s="5" t="s">
        <v>65</v>
      </c>
      <c r="C1404" s="5" t="s">
        <v>61</v>
      </c>
      <c r="D1404" s="5">
        <v>1260817</v>
      </c>
      <c r="E1404" s="5">
        <v>57985</v>
      </c>
      <c r="F1404" s="5">
        <v>190707844</v>
      </c>
      <c r="G1404" s="5">
        <v>4.599002075638257</v>
      </c>
      <c r="H1404" s="5">
        <v>3288.9168578080539</v>
      </c>
      <c r="I1404" s="5">
        <v>151.25735455660893</v>
      </c>
    </row>
    <row r="1405" spans="1:9" x14ac:dyDescent="0.2">
      <c r="A1405" s="5" t="s">
        <v>83</v>
      </c>
      <c r="B1405" s="5" t="s">
        <v>65</v>
      </c>
      <c r="C1405" s="5" t="s">
        <v>62</v>
      </c>
      <c r="D1405" s="5">
        <v>1270198</v>
      </c>
      <c r="E1405" s="5">
        <v>56346</v>
      </c>
      <c r="F1405" s="5">
        <v>186654567</v>
      </c>
      <c r="G1405" s="5">
        <v>4.4360013163302101</v>
      </c>
      <c r="H1405" s="5">
        <v>3312.6498242998614</v>
      </c>
      <c r="I1405" s="5">
        <v>146.94918981135226</v>
      </c>
    </row>
    <row r="1406" spans="1:9" x14ac:dyDescent="0.2">
      <c r="A1406" s="5" t="s">
        <v>84</v>
      </c>
      <c r="B1406" s="5" t="s">
        <v>44</v>
      </c>
      <c r="C1406" s="5" t="s">
        <v>45</v>
      </c>
      <c r="D1406" s="5">
        <v>1887348</v>
      </c>
      <c r="E1406" s="5">
        <v>38875</v>
      </c>
      <c r="F1406" s="5">
        <v>347562311</v>
      </c>
      <c r="G1406" s="5">
        <v>2.0597685217564541</v>
      </c>
      <c r="H1406" s="5">
        <v>8940.5096077170419</v>
      </c>
      <c r="I1406" s="5">
        <v>184.15380258436707</v>
      </c>
    </row>
    <row r="1407" spans="1:9" x14ac:dyDescent="0.2">
      <c r="A1407" s="5" t="s">
        <v>84</v>
      </c>
      <c r="B1407" s="5" t="s">
        <v>44</v>
      </c>
      <c r="C1407" s="5" t="s">
        <v>46</v>
      </c>
      <c r="D1407" s="5">
        <v>1911266</v>
      </c>
      <c r="E1407" s="5">
        <v>39302</v>
      </c>
      <c r="F1407" s="5">
        <v>356385859</v>
      </c>
      <c r="G1407" s="5">
        <v>2.056333341355939</v>
      </c>
      <c r="H1407" s="5">
        <v>9067.8809984224717</v>
      </c>
      <c r="I1407" s="5">
        <v>186.46586032504109</v>
      </c>
    </row>
    <row r="1408" spans="1:9" x14ac:dyDescent="0.2">
      <c r="A1408" s="5" t="s">
        <v>84</v>
      </c>
      <c r="B1408" s="5" t="s">
        <v>44</v>
      </c>
      <c r="C1408" s="5" t="s">
        <v>47</v>
      </c>
      <c r="D1408" s="5">
        <v>1936040</v>
      </c>
      <c r="E1408" s="5">
        <v>40397</v>
      </c>
      <c r="F1408" s="5">
        <v>365208326</v>
      </c>
      <c r="G1408" s="5">
        <v>2.0865787896944279</v>
      </c>
      <c r="H1408" s="5">
        <v>9040.4813723791376</v>
      </c>
      <c r="I1408" s="5">
        <v>188.6367668023388</v>
      </c>
    </row>
    <row r="1409" spans="1:9" x14ac:dyDescent="0.2">
      <c r="A1409" s="5" t="s">
        <v>84</v>
      </c>
      <c r="B1409" s="5" t="s">
        <v>44</v>
      </c>
      <c r="C1409" s="5" t="s">
        <v>48</v>
      </c>
      <c r="D1409" s="5">
        <v>1950748</v>
      </c>
      <c r="E1409" s="5">
        <v>41088</v>
      </c>
      <c r="F1409" s="5">
        <v>374910068</v>
      </c>
      <c r="G1409" s="5">
        <v>2.1062689798989926</v>
      </c>
      <c r="H1409" s="5">
        <v>9124.5635708722748</v>
      </c>
      <c r="I1409" s="5">
        <v>192.18785204444654</v>
      </c>
    </row>
    <row r="1410" spans="1:9" x14ac:dyDescent="0.2">
      <c r="A1410" s="5" t="s">
        <v>84</v>
      </c>
      <c r="B1410" s="5" t="s">
        <v>44</v>
      </c>
      <c r="C1410" s="5" t="s">
        <v>49</v>
      </c>
      <c r="D1410" s="5">
        <v>1954484</v>
      </c>
      <c r="E1410" s="5">
        <v>40792</v>
      </c>
      <c r="F1410" s="5">
        <v>374995134</v>
      </c>
      <c r="G1410" s="5">
        <v>2.0870981803892996</v>
      </c>
      <c r="H1410" s="5">
        <v>9192.8597273975283</v>
      </c>
      <c r="I1410" s="5">
        <v>191.86400809625457</v>
      </c>
    </row>
    <row r="1411" spans="1:9" x14ac:dyDescent="0.2">
      <c r="A1411" s="5" t="s">
        <v>84</v>
      </c>
      <c r="B1411" s="5" t="s">
        <v>44</v>
      </c>
      <c r="C1411" s="5" t="s">
        <v>50</v>
      </c>
      <c r="D1411" s="5">
        <v>1951485</v>
      </c>
      <c r="E1411" s="5">
        <v>40962</v>
      </c>
      <c r="F1411" s="5">
        <v>380143183</v>
      </c>
      <c r="G1411" s="5">
        <v>2.0990169025127017</v>
      </c>
      <c r="H1411" s="5">
        <v>9280.3862848493718</v>
      </c>
      <c r="I1411" s="5">
        <v>194.79687673745892</v>
      </c>
    </row>
    <row r="1412" spans="1:9" x14ac:dyDescent="0.2">
      <c r="A1412" s="5" t="s">
        <v>84</v>
      </c>
      <c r="B1412" s="5" t="s">
        <v>44</v>
      </c>
      <c r="C1412" s="5" t="s">
        <v>51</v>
      </c>
      <c r="D1412" s="5">
        <v>1943636</v>
      </c>
      <c r="E1412" s="5">
        <v>40606</v>
      </c>
      <c r="F1412" s="5">
        <v>379741201</v>
      </c>
      <c r="G1412" s="5">
        <v>2.0891771916140676</v>
      </c>
      <c r="H1412" s="5">
        <v>9351.8495049992616</v>
      </c>
      <c r="I1412" s="5">
        <v>195.37670685251766</v>
      </c>
    </row>
    <row r="1413" spans="1:9" x14ac:dyDescent="0.2">
      <c r="A1413" s="5" t="s">
        <v>84</v>
      </c>
      <c r="B1413" s="5" t="s">
        <v>44</v>
      </c>
      <c r="C1413" s="5" t="s">
        <v>52</v>
      </c>
      <c r="D1413" s="5">
        <v>1937028</v>
      </c>
      <c r="E1413" s="5">
        <v>40714</v>
      </c>
      <c r="F1413" s="5">
        <v>388993979</v>
      </c>
      <c r="G1413" s="5">
        <v>2.1018797869726198</v>
      </c>
      <c r="H1413" s="5">
        <v>9554.3051284570411</v>
      </c>
      <c r="I1413" s="5">
        <v>200.82000828072697</v>
      </c>
    </row>
    <row r="1414" spans="1:9" x14ac:dyDescent="0.2">
      <c r="A1414" s="5" t="s">
        <v>84</v>
      </c>
      <c r="B1414" s="5" t="s">
        <v>44</v>
      </c>
      <c r="C1414" s="5" t="s">
        <v>53</v>
      </c>
      <c r="D1414" s="5">
        <v>1934441</v>
      </c>
      <c r="E1414" s="5">
        <v>40832</v>
      </c>
      <c r="F1414" s="5">
        <v>393366569</v>
      </c>
      <c r="G1414" s="5">
        <v>2.1107906625221444</v>
      </c>
      <c r="H1414" s="5">
        <v>9633.7815683777426</v>
      </c>
      <c r="I1414" s="5">
        <v>203.34896179309681</v>
      </c>
    </row>
    <row r="1415" spans="1:9" x14ac:dyDescent="0.2">
      <c r="A1415" s="5" t="s">
        <v>84</v>
      </c>
      <c r="B1415" s="5" t="s">
        <v>44</v>
      </c>
      <c r="C1415" s="5" t="s">
        <v>54</v>
      </c>
      <c r="D1415" s="5">
        <v>1934363</v>
      </c>
      <c r="E1415" s="5">
        <v>40657</v>
      </c>
      <c r="F1415" s="5">
        <v>390857308</v>
      </c>
      <c r="G1415" s="5">
        <v>2.101828870796226</v>
      </c>
      <c r="H1415" s="5">
        <v>9613.5304621590385</v>
      </c>
      <c r="I1415" s="5">
        <v>202.05995875644851</v>
      </c>
    </row>
    <row r="1416" spans="1:9" x14ac:dyDescent="0.2">
      <c r="A1416" s="5" t="s">
        <v>84</v>
      </c>
      <c r="B1416" s="5" t="s">
        <v>44</v>
      </c>
      <c r="C1416" s="5" t="s">
        <v>55</v>
      </c>
      <c r="D1416" s="5">
        <v>1934668</v>
      </c>
      <c r="E1416" s="5">
        <v>40324</v>
      </c>
      <c r="F1416" s="5">
        <v>390644635</v>
      </c>
      <c r="G1416" s="5">
        <v>2.0842852623809356</v>
      </c>
      <c r="H1416" s="5">
        <v>9687.6459428628114</v>
      </c>
      <c r="I1416" s="5">
        <v>201.91817665873421</v>
      </c>
    </row>
    <row r="1417" spans="1:9" x14ac:dyDescent="0.2">
      <c r="A1417" s="5" t="s">
        <v>84</v>
      </c>
      <c r="B1417" s="5" t="s">
        <v>44</v>
      </c>
      <c r="C1417" s="5" t="s">
        <v>56</v>
      </c>
      <c r="D1417" s="5">
        <v>1938303</v>
      </c>
      <c r="E1417" s="5">
        <v>39551</v>
      </c>
      <c r="F1417" s="5">
        <v>389188143</v>
      </c>
      <c r="G1417" s="5">
        <v>2.040496248522548</v>
      </c>
      <c r="H1417" s="5">
        <v>9840.1593638593204</v>
      </c>
      <c r="I1417" s="5">
        <v>200.78808266818965</v>
      </c>
    </row>
    <row r="1418" spans="1:9" x14ac:dyDescent="0.2">
      <c r="A1418" s="5" t="s">
        <v>84</v>
      </c>
      <c r="B1418" s="5" t="s">
        <v>44</v>
      </c>
      <c r="C1418" s="5" t="s">
        <v>57</v>
      </c>
      <c r="D1418" s="5">
        <v>1942373</v>
      </c>
      <c r="E1418" s="5">
        <v>38852</v>
      </c>
      <c r="F1418" s="5">
        <v>390833116</v>
      </c>
      <c r="G1418" s="5">
        <v>2.0002337347152168</v>
      </c>
      <c r="H1418" s="5">
        <v>10059.53660043241</v>
      </c>
      <c r="I1418" s="5">
        <v>201.21424463787338</v>
      </c>
    </row>
    <row r="1419" spans="1:9" x14ac:dyDescent="0.2">
      <c r="A1419" s="5" t="s">
        <v>84</v>
      </c>
      <c r="B1419" s="5" t="s">
        <v>44</v>
      </c>
      <c r="C1419" s="5" t="s">
        <v>58</v>
      </c>
      <c r="D1419" s="5">
        <v>1948313</v>
      </c>
      <c r="E1419" s="5">
        <v>38126</v>
      </c>
      <c r="F1419" s="5">
        <v>391034875</v>
      </c>
      <c r="G1419" s="5">
        <v>1.9568724327148665</v>
      </c>
      <c r="H1419" s="5">
        <v>10256.383439122908</v>
      </c>
      <c r="I1419" s="5">
        <v>200.70434011372916</v>
      </c>
    </row>
    <row r="1420" spans="1:9" x14ac:dyDescent="0.2">
      <c r="A1420" s="5" t="s">
        <v>84</v>
      </c>
      <c r="B1420" s="5" t="s">
        <v>44</v>
      </c>
      <c r="C1420" s="5" t="s">
        <v>59</v>
      </c>
      <c r="D1420" s="5">
        <v>1953942</v>
      </c>
      <c r="E1420" s="5">
        <v>37643</v>
      </c>
      <c r="F1420" s="5">
        <v>398757313</v>
      </c>
      <c r="G1420" s="5">
        <v>1.9265157307637586</v>
      </c>
      <c r="H1420" s="5">
        <v>10593.133198735488</v>
      </c>
      <c r="I1420" s="5">
        <v>204.07837745439733</v>
      </c>
    </row>
    <row r="1421" spans="1:9" x14ac:dyDescent="0.2">
      <c r="A1421" s="5" t="s">
        <v>84</v>
      </c>
      <c r="B1421" s="5" t="s">
        <v>44</v>
      </c>
      <c r="C1421" s="5" t="s">
        <v>60</v>
      </c>
      <c r="D1421" s="5">
        <v>1956500</v>
      </c>
      <c r="E1421" s="5">
        <v>36135</v>
      </c>
      <c r="F1421" s="5">
        <v>378202288</v>
      </c>
      <c r="G1421" s="5">
        <v>1.846920521339126</v>
      </c>
      <c r="H1421" s="5">
        <v>10466.370222775702</v>
      </c>
      <c r="I1421" s="5">
        <v>193.30553948377204</v>
      </c>
    </row>
    <row r="1422" spans="1:9" x14ac:dyDescent="0.2">
      <c r="A1422" s="5" t="s">
        <v>84</v>
      </c>
      <c r="B1422" s="5" t="s">
        <v>44</v>
      </c>
      <c r="C1422" s="5" t="s">
        <v>61</v>
      </c>
      <c r="D1422" s="5">
        <v>1950457</v>
      </c>
      <c r="E1422" s="5">
        <v>34895</v>
      </c>
      <c r="F1422" s="5">
        <v>360856761</v>
      </c>
      <c r="G1422" s="5">
        <v>1.789067895370162</v>
      </c>
      <c r="H1422" s="5">
        <v>10341.216821894253</v>
      </c>
      <c r="I1422" s="5">
        <v>185.01139015112869</v>
      </c>
    </row>
    <row r="1423" spans="1:9" x14ac:dyDescent="0.2">
      <c r="A1423" s="5" t="s">
        <v>84</v>
      </c>
      <c r="B1423" s="5" t="s">
        <v>44</v>
      </c>
      <c r="C1423" s="5" t="s">
        <v>62</v>
      </c>
      <c r="D1423" s="5">
        <v>1939997</v>
      </c>
      <c r="E1423" s="5">
        <v>34591</v>
      </c>
      <c r="F1423" s="5">
        <v>359690001</v>
      </c>
      <c r="G1423" s="5">
        <v>1.7830439943979295</v>
      </c>
      <c r="H1423" s="5">
        <v>10398.369546991991</v>
      </c>
      <c r="I1423" s="5">
        <v>185.40750372294391</v>
      </c>
    </row>
    <row r="1424" spans="1:9" x14ac:dyDescent="0.2">
      <c r="A1424" s="5" t="s">
        <v>84</v>
      </c>
      <c r="B1424" s="5" t="s">
        <v>63</v>
      </c>
      <c r="C1424" s="5" t="s">
        <v>45</v>
      </c>
      <c r="D1424" s="5">
        <v>1887348</v>
      </c>
      <c r="E1424" s="5">
        <v>88405</v>
      </c>
      <c r="F1424" s="5">
        <v>206121664</v>
      </c>
      <c r="G1424" s="5">
        <v>4.6840858177718152</v>
      </c>
      <c r="H1424" s="5">
        <v>2331.5611560432103</v>
      </c>
      <c r="I1424" s="5">
        <v>109.2123254428966</v>
      </c>
    </row>
    <row r="1425" spans="1:9" x14ac:dyDescent="0.2">
      <c r="A1425" s="5" t="s">
        <v>84</v>
      </c>
      <c r="B1425" s="5" t="s">
        <v>63</v>
      </c>
      <c r="C1425" s="5" t="s">
        <v>46</v>
      </c>
      <c r="D1425" s="5">
        <v>1911266</v>
      </c>
      <c r="E1425" s="5">
        <v>89675</v>
      </c>
      <c r="F1425" s="5">
        <v>211587512</v>
      </c>
      <c r="G1425" s="5">
        <v>4.6919162481831416</v>
      </c>
      <c r="H1425" s="5">
        <v>2359.4927460273207</v>
      </c>
      <c r="I1425" s="5">
        <v>110.70542352555846</v>
      </c>
    </row>
    <row r="1426" spans="1:9" x14ac:dyDescent="0.2">
      <c r="A1426" s="5" t="s">
        <v>84</v>
      </c>
      <c r="B1426" s="5" t="s">
        <v>63</v>
      </c>
      <c r="C1426" s="5" t="s">
        <v>47</v>
      </c>
      <c r="D1426" s="5">
        <v>1936040</v>
      </c>
      <c r="E1426" s="5">
        <v>91825</v>
      </c>
      <c r="F1426" s="5">
        <v>219072028</v>
      </c>
      <c r="G1426" s="5">
        <v>4.7429288651060926</v>
      </c>
      <c r="H1426" s="5">
        <v>2385.755818132317</v>
      </c>
      <c r="I1426" s="5">
        <v>113.15470134914568</v>
      </c>
    </row>
    <row r="1427" spans="1:9" x14ac:dyDescent="0.2">
      <c r="A1427" s="5" t="s">
        <v>84</v>
      </c>
      <c r="B1427" s="5" t="s">
        <v>63</v>
      </c>
      <c r="C1427" s="5" t="s">
        <v>48</v>
      </c>
      <c r="D1427" s="5">
        <v>1950748</v>
      </c>
      <c r="E1427" s="5">
        <v>92727</v>
      </c>
      <c r="F1427" s="5">
        <v>224586110</v>
      </c>
      <c r="G1427" s="5">
        <v>4.7534074109008442</v>
      </c>
      <c r="H1427" s="5">
        <v>2422.0141921986046</v>
      </c>
      <c r="I1427" s="5">
        <v>115.12820210503868</v>
      </c>
    </row>
    <row r="1428" spans="1:9" x14ac:dyDescent="0.2">
      <c r="A1428" s="5" t="s">
        <v>84</v>
      </c>
      <c r="B1428" s="5" t="s">
        <v>63</v>
      </c>
      <c r="C1428" s="5" t="s">
        <v>49</v>
      </c>
      <c r="D1428" s="5">
        <v>1954484</v>
      </c>
      <c r="E1428" s="5">
        <v>92130</v>
      </c>
      <c r="F1428" s="5">
        <v>226557930</v>
      </c>
      <c r="G1428" s="5">
        <v>4.7137761168676748</v>
      </c>
      <c r="H1428" s="5">
        <v>2459.1113643764247</v>
      </c>
      <c r="I1428" s="5">
        <v>115.91700418115472</v>
      </c>
    </row>
    <row r="1429" spans="1:9" x14ac:dyDescent="0.2">
      <c r="A1429" s="5" t="s">
        <v>84</v>
      </c>
      <c r="B1429" s="5" t="s">
        <v>63</v>
      </c>
      <c r="C1429" s="5" t="s">
        <v>50</v>
      </c>
      <c r="D1429" s="5">
        <v>1951485</v>
      </c>
      <c r="E1429" s="5">
        <v>91785</v>
      </c>
      <c r="F1429" s="5">
        <v>229253376</v>
      </c>
      <c r="G1429" s="5">
        <v>4.7033413016241479</v>
      </c>
      <c r="H1429" s="5">
        <v>2497.7215884948523</v>
      </c>
      <c r="I1429" s="5">
        <v>117.47637107126111</v>
      </c>
    </row>
    <row r="1430" spans="1:9" x14ac:dyDescent="0.2">
      <c r="A1430" s="5" t="s">
        <v>84</v>
      </c>
      <c r="B1430" s="5" t="s">
        <v>63</v>
      </c>
      <c r="C1430" s="5" t="s">
        <v>51</v>
      </c>
      <c r="D1430" s="5">
        <v>1943636</v>
      </c>
      <c r="E1430" s="5">
        <v>90211</v>
      </c>
      <c r="F1430" s="5">
        <v>229128374</v>
      </c>
      <c r="G1430" s="5">
        <v>4.6413525989434232</v>
      </c>
      <c r="H1430" s="5">
        <v>2539.9161299619782</v>
      </c>
      <c r="I1430" s="5">
        <v>117.88646330897349</v>
      </c>
    </row>
    <row r="1431" spans="1:9" x14ac:dyDescent="0.2">
      <c r="A1431" s="5" t="s">
        <v>84</v>
      </c>
      <c r="B1431" s="5" t="s">
        <v>63</v>
      </c>
      <c r="C1431" s="5" t="s">
        <v>52</v>
      </c>
      <c r="D1431" s="5">
        <v>1937028</v>
      </c>
      <c r="E1431" s="5">
        <v>89990</v>
      </c>
      <c r="F1431" s="5">
        <v>231078348</v>
      </c>
      <c r="G1431" s="5">
        <v>4.6457769324965872</v>
      </c>
      <c r="H1431" s="5">
        <v>2567.8225136126234</v>
      </c>
      <c r="I1431" s="5">
        <v>119.29530600486932</v>
      </c>
    </row>
    <row r="1432" spans="1:9" x14ac:dyDescent="0.2">
      <c r="A1432" s="5" t="s">
        <v>84</v>
      </c>
      <c r="B1432" s="5" t="s">
        <v>63</v>
      </c>
      <c r="C1432" s="5" t="s">
        <v>53</v>
      </c>
      <c r="D1432" s="5">
        <v>1934441</v>
      </c>
      <c r="E1432" s="5">
        <v>89305</v>
      </c>
      <c r="F1432" s="5">
        <v>229755916</v>
      </c>
      <c r="G1432" s="5">
        <v>4.616579156459153</v>
      </c>
      <c r="H1432" s="5">
        <v>2572.7105537203965</v>
      </c>
      <c r="I1432" s="5">
        <v>118.77121917908067</v>
      </c>
    </row>
    <row r="1433" spans="1:9" x14ac:dyDescent="0.2">
      <c r="A1433" s="5" t="s">
        <v>84</v>
      </c>
      <c r="B1433" s="5" t="s">
        <v>63</v>
      </c>
      <c r="C1433" s="5" t="s">
        <v>54</v>
      </c>
      <c r="D1433" s="5">
        <v>1934363</v>
      </c>
      <c r="E1433" s="5">
        <v>88088</v>
      </c>
      <c r="F1433" s="5">
        <v>227048400</v>
      </c>
      <c r="G1433" s="5">
        <v>4.5538505440809196</v>
      </c>
      <c r="H1433" s="5">
        <v>2577.5179366088455</v>
      </c>
      <c r="I1433" s="5">
        <v>117.37631458004522</v>
      </c>
    </row>
    <row r="1434" spans="1:9" x14ac:dyDescent="0.2">
      <c r="A1434" s="5" t="s">
        <v>84</v>
      </c>
      <c r="B1434" s="5" t="s">
        <v>63</v>
      </c>
      <c r="C1434" s="5" t="s">
        <v>55</v>
      </c>
      <c r="D1434" s="5">
        <v>1934668</v>
      </c>
      <c r="E1434" s="5">
        <v>87298</v>
      </c>
      <c r="F1434" s="5">
        <v>223747356</v>
      </c>
      <c r="G1434" s="5">
        <v>4.5122987510001717</v>
      </c>
      <c r="H1434" s="5">
        <v>2563.0295768517035</v>
      </c>
      <c r="I1434" s="5">
        <v>115.6515515840444</v>
      </c>
    </row>
    <row r="1435" spans="1:9" x14ac:dyDescent="0.2">
      <c r="A1435" s="5" t="s">
        <v>84</v>
      </c>
      <c r="B1435" s="5" t="s">
        <v>63</v>
      </c>
      <c r="C1435" s="5" t="s">
        <v>56</v>
      </c>
      <c r="D1435" s="5">
        <v>1938303</v>
      </c>
      <c r="E1435" s="5">
        <v>85285</v>
      </c>
      <c r="F1435" s="5">
        <v>216986130</v>
      </c>
      <c r="G1435" s="5">
        <v>4.3999828716150162</v>
      </c>
      <c r="H1435" s="5">
        <v>2544.2472885032539</v>
      </c>
      <c r="I1435" s="5">
        <v>111.94644490567265</v>
      </c>
    </row>
    <row r="1436" spans="1:9" x14ac:dyDescent="0.2">
      <c r="A1436" s="5" t="s">
        <v>84</v>
      </c>
      <c r="B1436" s="5" t="s">
        <v>63</v>
      </c>
      <c r="C1436" s="5" t="s">
        <v>57</v>
      </c>
      <c r="D1436" s="5">
        <v>1942373</v>
      </c>
      <c r="E1436" s="5">
        <v>84614</v>
      </c>
      <c r="F1436" s="5">
        <v>216650137</v>
      </c>
      <c r="G1436" s="5">
        <v>4.3562178840006531</v>
      </c>
      <c r="H1436" s="5">
        <v>2560.4526083154087</v>
      </c>
      <c r="I1436" s="5">
        <v>111.53889443479703</v>
      </c>
    </row>
    <row r="1437" spans="1:9" x14ac:dyDescent="0.2">
      <c r="A1437" s="5" t="s">
        <v>84</v>
      </c>
      <c r="B1437" s="5" t="s">
        <v>63</v>
      </c>
      <c r="C1437" s="5" t="s">
        <v>58</v>
      </c>
      <c r="D1437" s="5">
        <v>1948313</v>
      </c>
      <c r="E1437" s="5">
        <v>83920</v>
      </c>
      <c r="F1437" s="5">
        <v>215648002</v>
      </c>
      <c r="G1437" s="5">
        <v>4.307316124257242</v>
      </c>
      <c r="H1437" s="5">
        <v>2569.6854385128695</v>
      </c>
      <c r="I1437" s="5">
        <v>110.68447523575524</v>
      </c>
    </row>
    <row r="1438" spans="1:9" x14ac:dyDescent="0.2">
      <c r="A1438" s="5" t="s">
        <v>84</v>
      </c>
      <c r="B1438" s="5" t="s">
        <v>63</v>
      </c>
      <c r="C1438" s="5" t="s">
        <v>59</v>
      </c>
      <c r="D1438" s="5">
        <v>1953942</v>
      </c>
      <c r="E1438" s="5">
        <v>84243</v>
      </c>
      <c r="F1438" s="5">
        <v>218819408</v>
      </c>
      <c r="G1438" s="5">
        <v>4.31143810819359</v>
      </c>
      <c r="H1438" s="5">
        <v>2597.478817231105</v>
      </c>
      <c r="I1438" s="5">
        <v>111.988691578358</v>
      </c>
    </row>
    <row r="1439" spans="1:9" x14ac:dyDescent="0.2">
      <c r="A1439" s="5" t="s">
        <v>84</v>
      </c>
      <c r="B1439" s="5" t="s">
        <v>63</v>
      </c>
      <c r="C1439" s="5" t="s">
        <v>60</v>
      </c>
      <c r="D1439" s="5">
        <v>1956500</v>
      </c>
      <c r="E1439" s="5">
        <v>82328</v>
      </c>
      <c r="F1439" s="5">
        <v>216321659</v>
      </c>
      <c r="G1439" s="5">
        <v>4.2079223102478913</v>
      </c>
      <c r="H1439" s="5">
        <v>2627.5587770867746</v>
      </c>
      <c r="I1439" s="5">
        <v>110.56563199591106</v>
      </c>
    </row>
    <row r="1440" spans="1:9" x14ac:dyDescent="0.2">
      <c r="A1440" s="5" t="s">
        <v>84</v>
      </c>
      <c r="B1440" s="5" t="s">
        <v>63</v>
      </c>
      <c r="C1440" s="5" t="s">
        <v>61</v>
      </c>
      <c r="D1440" s="5">
        <v>1950457</v>
      </c>
      <c r="E1440" s="5">
        <v>81830</v>
      </c>
      <c r="F1440" s="5">
        <v>218495081</v>
      </c>
      <c r="G1440" s="5">
        <v>4.1954270204367488</v>
      </c>
      <c r="H1440" s="5">
        <v>2670.1097519247219</v>
      </c>
      <c r="I1440" s="5">
        <v>112.02250600756643</v>
      </c>
    </row>
    <row r="1441" spans="1:9" x14ac:dyDescent="0.2">
      <c r="A1441" s="5" t="s">
        <v>84</v>
      </c>
      <c r="B1441" s="5" t="s">
        <v>63</v>
      </c>
      <c r="C1441" s="5" t="s">
        <v>62</v>
      </c>
      <c r="D1441" s="5">
        <v>1939997</v>
      </c>
      <c r="E1441" s="5">
        <v>82414</v>
      </c>
      <c r="F1441" s="5">
        <v>225523388</v>
      </c>
      <c r="G1441" s="5">
        <v>4.2481508992024217</v>
      </c>
      <c r="H1441" s="5">
        <v>2736.469386269323</v>
      </c>
      <c r="I1441" s="5">
        <v>116.24934883919924</v>
      </c>
    </row>
    <row r="1442" spans="1:9" x14ac:dyDescent="0.2">
      <c r="A1442" s="5" t="s">
        <v>84</v>
      </c>
      <c r="B1442" s="5" t="s">
        <v>64</v>
      </c>
      <c r="C1442" s="5" t="s">
        <v>45</v>
      </c>
      <c r="D1442" s="5">
        <v>1487268</v>
      </c>
      <c r="E1442" s="5">
        <v>252426</v>
      </c>
      <c r="F1442" s="5">
        <v>171726444</v>
      </c>
      <c r="G1442" s="5">
        <v>16.972462259659995</v>
      </c>
      <c r="H1442" s="5">
        <v>680.3041049654156</v>
      </c>
      <c r="I1442" s="5">
        <v>115.46435746617287</v>
      </c>
    </row>
    <row r="1443" spans="1:9" x14ac:dyDescent="0.2">
      <c r="A1443" s="5" t="s">
        <v>84</v>
      </c>
      <c r="B1443" s="5" t="s">
        <v>64</v>
      </c>
      <c r="C1443" s="5" t="s">
        <v>46</v>
      </c>
      <c r="D1443" s="5">
        <v>1506548</v>
      </c>
      <c r="E1443" s="5">
        <v>253310</v>
      </c>
      <c r="F1443" s="5">
        <v>171751008</v>
      </c>
      <c r="G1443" s="5">
        <v>16.813934902837481</v>
      </c>
      <c r="H1443" s="5">
        <v>678.02695511428681</v>
      </c>
      <c r="I1443" s="5">
        <v>114.00301085660729</v>
      </c>
    </row>
    <row r="1444" spans="1:9" x14ac:dyDescent="0.2">
      <c r="A1444" s="5" t="s">
        <v>84</v>
      </c>
      <c r="B1444" s="5" t="s">
        <v>64</v>
      </c>
      <c r="C1444" s="5" t="s">
        <v>47</v>
      </c>
      <c r="D1444" s="5">
        <v>1525981</v>
      </c>
      <c r="E1444" s="5">
        <v>247155</v>
      </c>
      <c r="F1444" s="5">
        <v>155561104</v>
      </c>
      <c r="G1444" s="5">
        <v>16.196466404234389</v>
      </c>
      <c r="H1444" s="5">
        <v>629.4070684388339</v>
      </c>
      <c r="I1444" s="5">
        <v>101.94170438557229</v>
      </c>
    </row>
    <row r="1445" spans="1:9" x14ac:dyDescent="0.2">
      <c r="A1445" s="5" t="s">
        <v>84</v>
      </c>
      <c r="B1445" s="5" t="s">
        <v>64</v>
      </c>
      <c r="C1445" s="5" t="s">
        <v>48</v>
      </c>
      <c r="D1445" s="5">
        <v>1537969</v>
      </c>
      <c r="E1445" s="5">
        <v>247006</v>
      </c>
      <c r="F1445" s="5">
        <v>149621224</v>
      </c>
      <c r="G1445" s="5">
        <v>16.060531779249125</v>
      </c>
      <c r="H1445" s="5">
        <v>605.73922900658283</v>
      </c>
      <c r="I1445" s="5">
        <v>97.284941373980885</v>
      </c>
    </row>
    <row r="1446" spans="1:9" x14ac:dyDescent="0.2">
      <c r="A1446" s="5" t="s">
        <v>84</v>
      </c>
      <c r="B1446" s="5" t="s">
        <v>64</v>
      </c>
      <c r="C1446" s="5" t="s">
        <v>49</v>
      </c>
      <c r="D1446" s="5">
        <v>1541891</v>
      </c>
      <c r="E1446" s="5">
        <v>258762</v>
      </c>
      <c r="F1446" s="5">
        <v>171822105</v>
      </c>
      <c r="G1446" s="5">
        <v>16.782120136896836</v>
      </c>
      <c r="H1446" s="5">
        <v>664.01598766434017</v>
      </c>
      <c r="I1446" s="5">
        <v>111.43596077803166</v>
      </c>
    </row>
    <row r="1447" spans="1:9" x14ac:dyDescent="0.2">
      <c r="A1447" s="5" t="s">
        <v>84</v>
      </c>
      <c r="B1447" s="5" t="s">
        <v>64</v>
      </c>
      <c r="C1447" s="5" t="s">
        <v>50</v>
      </c>
      <c r="D1447" s="5">
        <v>1539863</v>
      </c>
      <c r="E1447" s="5">
        <v>261295</v>
      </c>
      <c r="F1447" s="5">
        <v>173188970</v>
      </c>
      <c r="G1447" s="5">
        <v>16.968717346932813</v>
      </c>
      <c r="H1447" s="5">
        <v>662.81011883120607</v>
      </c>
      <c r="I1447" s="5">
        <v>112.47037561133685</v>
      </c>
    </row>
    <row r="1448" spans="1:9" x14ac:dyDescent="0.2">
      <c r="A1448" s="5" t="s">
        <v>84</v>
      </c>
      <c r="B1448" s="5" t="s">
        <v>64</v>
      </c>
      <c r="C1448" s="5" t="s">
        <v>51</v>
      </c>
      <c r="D1448" s="5">
        <v>1532923</v>
      </c>
      <c r="E1448" s="5">
        <v>268859</v>
      </c>
      <c r="F1448" s="5">
        <v>193537654</v>
      </c>
      <c r="G1448" s="5">
        <v>17.538976191237264</v>
      </c>
      <c r="H1448" s="5">
        <v>719.84815088949972</v>
      </c>
      <c r="I1448" s="5">
        <v>126.25399579757105</v>
      </c>
    </row>
    <row r="1449" spans="1:9" x14ac:dyDescent="0.2">
      <c r="A1449" s="5" t="s">
        <v>84</v>
      </c>
      <c r="B1449" s="5" t="s">
        <v>64</v>
      </c>
      <c r="C1449" s="5" t="s">
        <v>52</v>
      </c>
      <c r="D1449" s="5">
        <v>1525740</v>
      </c>
      <c r="E1449" s="5">
        <v>266331</v>
      </c>
      <c r="F1449" s="5">
        <v>194370854</v>
      </c>
      <c r="G1449" s="5">
        <v>17.455857485547995</v>
      </c>
      <c r="H1449" s="5">
        <v>729.80935001933688</v>
      </c>
      <c r="I1449" s="5">
        <v>127.39448005557959</v>
      </c>
    </row>
    <row r="1450" spans="1:9" x14ac:dyDescent="0.2">
      <c r="A1450" s="5" t="s">
        <v>84</v>
      </c>
      <c r="B1450" s="5" t="s">
        <v>64</v>
      </c>
      <c r="C1450" s="5" t="s">
        <v>53</v>
      </c>
      <c r="D1450" s="5">
        <v>1520312</v>
      </c>
      <c r="E1450" s="5">
        <v>246117</v>
      </c>
      <c r="F1450" s="5">
        <v>163598288</v>
      </c>
      <c r="G1450" s="5">
        <v>16.188584974663094</v>
      </c>
      <c r="H1450" s="5">
        <v>664.71754490750334</v>
      </c>
      <c r="I1450" s="5">
        <v>107.6083645988455</v>
      </c>
    </row>
    <row r="1451" spans="1:9" x14ac:dyDescent="0.2">
      <c r="A1451" s="5" t="s">
        <v>84</v>
      </c>
      <c r="B1451" s="5" t="s">
        <v>64</v>
      </c>
      <c r="C1451" s="5" t="s">
        <v>54</v>
      </c>
      <c r="D1451" s="5">
        <v>1516695</v>
      </c>
      <c r="E1451" s="5">
        <v>240103</v>
      </c>
      <c r="F1451" s="5">
        <v>156599410</v>
      </c>
      <c r="G1451" s="5">
        <v>15.830671295151628</v>
      </c>
      <c r="H1451" s="5">
        <v>652.21763159977172</v>
      </c>
      <c r="I1451" s="5">
        <v>103.25042938758287</v>
      </c>
    </row>
    <row r="1452" spans="1:9" x14ac:dyDescent="0.2">
      <c r="A1452" s="5" t="s">
        <v>84</v>
      </c>
      <c r="B1452" s="5" t="s">
        <v>64</v>
      </c>
      <c r="C1452" s="5" t="s">
        <v>55</v>
      </c>
      <c r="D1452" s="5">
        <v>1513793</v>
      </c>
      <c r="E1452" s="5">
        <v>230028</v>
      </c>
      <c r="F1452" s="5">
        <v>135281591</v>
      </c>
      <c r="G1452" s="5">
        <v>15.195472564610881</v>
      </c>
      <c r="H1452" s="5">
        <v>588.10923452797056</v>
      </c>
      <c r="I1452" s="5">
        <v>89.365977382640821</v>
      </c>
    </row>
    <row r="1453" spans="1:9" x14ac:dyDescent="0.2">
      <c r="A1453" s="5" t="s">
        <v>84</v>
      </c>
      <c r="B1453" s="5" t="s">
        <v>64</v>
      </c>
      <c r="C1453" s="5" t="s">
        <v>56</v>
      </c>
      <c r="D1453" s="5">
        <v>1512559</v>
      </c>
      <c r="E1453" s="5">
        <v>224880</v>
      </c>
      <c r="F1453" s="5">
        <v>125379132</v>
      </c>
      <c r="G1453" s="5">
        <v>14.867519217432179</v>
      </c>
      <c r="H1453" s="5">
        <v>557.5379402347919</v>
      </c>
      <c r="I1453" s="5">
        <v>82.892060408883225</v>
      </c>
    </row>
    <row r="1454" spans="1:9" x14ac:dyDescent="0.2">
      <c r="A1454" s="5" t="s">
        <v>84</v>
      </c>
      <c r="B1454" s="5" t="s">
        <v>64</v>
      </c>
      <c r="C1454" s="5" t="s">
        <v>57</v>
      </c>
      <c r="D1454" s="5">
        <v>1512021</v>
      </c>
      <c r="E1454" s="5">
        <v>224912</v>
      </c>
      <c r="F1454" s="5">
        <v>125270389</v>
      </c>
      <c r="G1454" s="5">
        <v>14.87492567894229</v>
      </c>
      <c r="H1454" s="5">
        <v>556.9751236038984</v>
      </c>
      <c r="I1454" s="5">
        <v>82.849635686276841</v>
      </c>
    </row>
    <row r="1455" spans="1:9" x14ac:dyDescent="0.2">
      <c r="A1455" s="5" t="s">
        <v>84</v>
      </c>
      <c r="B1455" s="5" t="s">
        <v>64</v>
      </c>
      <c r="C1455" s="5" t="s">
        <v>58</v>
      </c>
      <c r="D1455" s="5">
        <v>1513221</v>
      </c>
      <c r="E1455" s="5">
        <v>224993</v>
      </c>
      <c r="F1455" s="5">
        <v>125689617</v>
      </c>
      <c r="G1455" s="5">
        <v>14.868482528328645</v>
      </c>
      <c r="H1455" s="5">
        <v>558.63789984577295</v>
      </c>
      <c r="I1455" s="5">
        <v>83.060978535190827</v>
      </c>
    </row>
    <row r="1456" spans="1:9" x14ac:dyDescent="0.2">
      <c r="A1456" s="5" t="s">
        <v>84</v>
      </c>
      <c r="B1456" s="5" t="s">
        <v>64</v>
      </c>
      <c r="C1456" s="5" t="s">
        <v>59</v>
      </c>
      <c r="D1456" s="5">
        <v>1514836</v>
      </c>
      <c r="E1456" s="5">
        <v>221997</v>
      </c>
      <c r="F1456" s="5">
        <v>122608535</v>
      </c>
      <c r="G1456" s="5">
        <v>14.654853726740056</v>
      </c>
      <c r="H1456" s="5">
        <v>552.29816168686966</v>
      </c>
      <c r="I1456" s="5">
        <v>80.93848773068504</v>
      </c>
    </row>
    <row r="1457" spans="1:9" x14ac:dyDescent="0.2">
      <c r="A1457" s="5" t="s">
        <v>84</v>
      </c>
      <c r="B1457" s="5" t="s">
        <v>64</v>
      </c>
      <c r="C1457" s="5" t="s">
        <v>60</v>
      </c>
      <c r="D1457" s="5">
        <v>1515349</v>
      </c>
      <c r="E1457" s="5">
        <v>228131</v>
      </c>
      <c r="F1457" s="5">
        <v>263006778</v>
      </c>
      <c r="G1457" s="5">
        <v>15.054683772517091</v>
      </c>
      <c r="H1457" s="5">
        <v>1152.876101888827</v>
      </c>
      <c r="I1457" s="5">
        <v>173.56185142828483</v>
      </c>
    </row>
    <row r="1458" spans="1:9" x14ac:dyDescent="0.2">
      <c r="A1458" s="5" t="s">
        <v>84</v>
      </c>
      <c r="B1458" s="5" t="s">
        <v>64</v>
      </c>
      <c r="C1458" s="5" t="s">
        <v>61</v>
      </c>
      <c r="D1458" s="5">
        <v>1512621</v>
      </c>
      <c r="E1458" s="5">
        <v>282565</v>
      </c>
      <c r="F1458" s="5">
        <v>754537231</v>
      </c>
      <c r="G1458" s="5">
        <v>18.680489031951826</v>
      </c>
      <c r="H1458" s="5">
        <v>2670.3138428326224</v>
      </c>
      <c r="I1458" s="5">
        <v>498.82768452903935</v>
      </c>
    </row>
    <row r="1459" spans="1:9" x14ac:dyDescent="0.2">
      <c r="A1459" s="5" t="s">
        <v>84</v>
      </c>
      <c r="B1459" s="5" t="s">
        <v>64</v>
      </c>
      <c r="C1459" s="5" t="s">
        <v>62</v>
      </c>
      <c r="D1459" s="5">
        <v>1508960</v>
      </c>
      <c r="E1459" s="5">
        <v>278012</v>
      </c>
      <c r="F1459" s="5">
        <v>760869424</v>
      </c>
      <c r="G1459" s="5">
        <v>18.424080161170608</v>
      </c>
      <c r="H1459" s="5">
        <v>2736.8222378890118</v>
      </c>
      <c r="I1459" s="5">
        <v>504.23432297741493</v>
      </c>
    </row>
    <row r="1460" spans="1:9" x14ac:dyDescent="0.2">
      <c r="A1460" s="5" t="s">
        <v>84</v>
      </c>
      <c r="B1460" s="5" t="s">
        <v>65</v>
      </c>
      <c r="C1460" s="5" t="s">
        <v>45</v>
      </c>
      <c r="D1460" s="5">
        <v>1431668</v>
      </c>
      <c r="E1460" s="5">
        <v>114269</v>
      </c>
      <c r="F1460" s="5">
        <v>297101943</v>
      </c>
      <c r="G1460" s="5">
        <v>7.9815292372253905</v>
      </c>
      <c r="H1460" s="5">
        <v>2600.0222545047213</v>
      </c>
      <c r="I1460" s="5">
        <v>207.52153641766108</v>
      </c>
    </row>
    <row r="1461" spans="1:9" x14ac:dyDescent="0.2">
      <c r="A1461" s="5" t="s">
        <v>84</v>
      </c>
      <c r="B1461" s="5" t="s">
        <v>65</v>
      </c>
      <c r="C1461" s="5" t="s">
        <v>46</v>
      </c>
      <c r="D1461" s="5">
        <v>1451119</v>
      </c>
      <c r="E1461" s="5">
        <v>115781</v>
      </c>
      <c r="F1461" s="5">
        <v>303325549</v>
      </c>
      <c r="G1461" s="5">
        <v>7.9787391661193876</v>
      </c>
      <c r="H1461" s="5">
        <v>2619.8214646617321</v>
      </c>
      <c r="I1461" s="5">
        <v>209.02872128336821</v>
      </c>
    </row>
    <row r="1462" spans="1:9" x14ac:dyDescent="0.2">
      <c r="A1462" s="5" t="s">
        <v>84</v>
      </c>
      <c r="B1462" s="5" t="s">
        <v>65</v>
      </c>
      <c r="C1462" s="5" t="s">
        <v>47</v>
      </c>
      <c r="D1462" s="5">
        <v>1470712</v>
      </c>
      <c r="E1462" s="5">
        <v>117500</v>
      </c>
      <c r="F1462" s="5">
        <v>307285902</v>
      </c>
      <c r="G1462" s="5">
        <v>7.9893276181876534</v>
      </c>
      <c r="H1462" s="5">
        <v>2615.1991659574469</v>
      </c>
      <c r="I1462" s="5">
        <v>208.93682923645147</v>
      </c>
    </row>
    <row r="1463" spans="1:9" x14ac:dyDescent="0.2">
      <c r="A1463" s="5" t="s">
        <v>84</v>
      </c>
      <c r="B1463" s="5" t="s">
        <v>65</v>
      </c>
      <c r="C1463" s="5" t="s">
        <v>48</v>
      </c>
      <c r="D1463" s="5">
        <v>1482961</v>
      </c>
      <c r="E1463" s="5">
        <v>117582</v>
      </c>
      <c r="F1463" s="5">
        <v>312981755</v>
      </c>
      <c r="G1463" s="5">
        <v>7.928866639109188</v>
      </c>
      <c r="H1463" s="5">
        <v>2661.8169022469424</v>
      </c>
      <c r="I1463" s="5">
        <v>211.05191235642744</v>
      </c>
    </row>
    <row r="1464" spans="1:9" x14ac:dyDescent="0.2">
      <c r="A1464" s="5" t="s">
        <v>84</v>
      </c>
      <c r="B1464" s="5" t="s">
        <v>65</v>
      </c>
      <c r="C1464" s="5" t="s">
        <v>49</v>
      </c>
      <c r="D1464" s="5">
        <v>1487227</v>
      </c>
      <c r="E1464" s="5">
        <v>116091</v>
      </c>
      <c r="F1464" s="5">
        <v>315956285</v>
      </c>
      <c r="G1464" s="5">
        <v>7.8058695814425105</v>
      </c>
      <c r="H1464" s="5">
        <v>2721.626008906806</v>
      </c>
      <c r="I1464" s="5">
        <v>212.44657674988417</v>
      </c>
    </row>
    <row r="1465" spans="1:9" x14ac:dyDescent="0.2">
      <c r="A1465" s="5" t="s">
        <v>84</v>
      </c>
      <c r="B1465" s="5" t="s">
        <v>65</v>
      </c>
      <c r="C1465" s="5" t="s">
        <v>50</v>
      </c>
      <c r="D1465" s="5">
        <v>1485554</v>
      </c>
      <c r="E1465" s="5">
        <v>113548</v>
      </c>
      <c r="F1465" s="5">
        <v>317575010</v>
      </c>
      <c r="G1465" s="5">
        <v>7.6434784598876915</v>
      </c>
      <c r="H1465" s="5">
        <v>2796.8349068235461</v>
      </c>
      <c r="I1465" s="5">
        <v>213.77547366167772</v>
      </c>
    </row>
    <row r="1466" spans="1:9" x14ac:dyDescent="0.2">
      <c r="A1466" s="5" t="s">
        <v>84</v>
      </c>
      <c r="B1466" s="5" t="s">
        <v>65</v>
      </c>
      <c r="C1466" s="5" t="s">
        <v>51</v>
      </c>
      <c r="D1466" s="5">
        <v>1478774</v>
      </c>
      <c r="E1466" s="5">
        <v>110384</v>
      </c>
      <c r="F1466" s="5">
        <v>317408148</v>
      </c>
      <c r="G1466" s="5">
        <v>7.4645618600272927</v>
      </c>
      <c r="H1466" s="5">
        <v>2875.4905421075518</v>
      </c>
      <c r="I1466" s="5">
        <v>214.64277029485237</v>
      </c>
    </row>
    <row r="1467" spans="1:9" x14ac:dyDescent="0.2">
      <c r="A1467" s="5" t="s">
        <v>84</v>
      </c>
      <c r="B1467" s="5" t="s">
        <v>65</v>
      </c>
      <c r="C1467" s="5" t="s">
        <v>52</v>
      </c>
      <c r="D1467" s="5">
        <v>1471752</v>
      </c>
      <c r="E1467" s="5">
        <v>108505</v>
      </c>
      <c r="F1467" s="5">
        <v>317325590</v>
      </c>
      <c r="G1467" s="5">
        <v>7.3725056938940803</v>
      </c>
      <c r="H1467" s="5">
        <v>2924.5250449288051</v>
      </c>
      <c r="I1467" s="5">
        <v>215.61077545673456</v>
      </c>
    </row>
    <row r="1468" spans="1:9" x14ac:dyDescent="0.2">
      <c r="A1468" s="5" t="s">
        <v>84</v>
      </c>
      <c r="B1468" s="5" t="s">
        <v>65</v>
      </c>
      <c r="C1468" s="5" t="s">
        <v>53</v>
      </c>
      <c r="D1468" s="5">
        <v>1466421</v>
      </c>
      <c r="E1468" s="5">
        <v>105955</v>
      </c>
      <c r="F1468" s="5">
        <v>308206776</v>
      </c>
      <c r="G1468" s="5">
        <v>7.2254148024339528</v>
      </c>
      <c r="H1468" s="5">
        <v>2908.8459817847202</v>
      </c>
      <c r="I1468" s="5">
        <v>210.17618814787841</v>
      </c>
    </row>
    <row r="1469" spans="1:9" x14ac:dyDescent="0.2">
      <c r="A1469" s="5" t="s">
        <v>84</v>
      </c>
      <c r="B1469" s="5" t="s">
        <v>65</v>
      </c>
      <c r="C1469" s="5" t="s">
        <v>54</v>
      </c>
      <c r="D1469" s="5">
        <v>1463001</v>
      </c>
      <c r="E1469" s="5">
        <v>104281</v>
      </c>
      <c r="F1469" s="5">
        <v>304053732</v>
      </c>
      <c r="G1469" s="5">
        <v>7.1278830294716133</v>
      </c>
      <c r="H1469" s="5">
        <v>2915.7155378256825</v>
      </c>
      <c r="I1469" s="5">
        <v>207.82879300834381</v>
      </c>
    </row>
    <row r="1470" spans="1:9" x14ac:dyDescent="0.2">
      <c r="A1470" s="5" t="s">
        <v>84</v>
      </c>
      <c r="B1470" s="5" t="s">
        <v>65</v>
      </c>
      <c r="C1470" s="5" t="s">
        <v>55</v>
      </c>
      <c r="D1470" s="5">
        <v>1460357</v>
      </c>
      <c r="E1470" s="5">
        <v>103089</v>
      </c>
      <c r="F1470" s="5">
        <v>300566704</v>
      </c>
      <c r="G1470" s="5">
        <v>7.0591643002361755</v>
      </c>
      <c r="H1470" s="5">
        <v>2915.6040314679549</v>
      </c>
      <c r="I1470" s="5">
        <v>205.81727892563256</v>
      </c>
    </row>
    <row r="1471" spans="1:9" x14ac:dyDescent="0.2">
      <c r="A1471" s="5" t="s">
        <v>84</v>
      </c>
      <c r="B1471" s="5" t="s">
        <v>65</v>
      </c>
      <c r="C1471" s="5" t="s">
        <v>56</v>
      </c>
      <c r="D1471" s="5">
        <v>1459256</v>
      </c>
      <c r="E1471" s="5">
        <v>100031</v>
      </c>
      <c r="F1471" s="5">
        <v>294537398</v>
      </c>
      <c r="G1471" s="5">
        <v>6.8549315541618467</v>
      </c>
      <c r="H1471" s="5">
        <v>2944.4611970289211</v>
      </c>
      <c r="I1471" s="5">
        <v>201.84079969518714</v>
      </c>
    </row>
    <row r="1472" spans="1:9" x14ac:dyDescent="0.2">
      <c r="A1472" s="5" t="s">
        <v>84</v>
      </c>
      <c r="B1472" s="5" t="s">
        <v>65</v>
      </c>
      <c r="C1472" s="5" t="s">
        <v>57</v>
      </c>
      <c r="D1472" s="5">
        <v>1458796</v>
      </c>
      <c r="E1472" s="5">
        <v>98956</v>
      </c>
      <c r="F1472" s="5">
        <v>297527410</v>
      </c>
      <c r="G1472" s="5">
        <v>6.7834022029125389</v>
      </c>
      <c r="H1472" s="5">
        <v>3006.663668701241</v>
      </c>
      <c r="I1472" s="5">
        <v>203.95408953685094</v>
      </c>
    </row>
    <row r="1473" spans="1:9" x14ac:dyDescent="0.2">
      <c r="A1473" s="5" t="s">
        <v>84</v>
      </c>
      <c r="B1473" s="5" t="s">
        <v>65</v>
      </c>
      <c r="C1473" s="5" t="s">
        <v>58</v>
      </c>
      <c r="D1473" s="5">
        <v>1459960</v>
      </c>
      <c r="E1473" s="5">
        <v>97627</v>
      </c>
      <c r="F1473" s="5">
        <v>297607013</v>
      </c>
      <c r="G1473" s="5">
        <v>6.6869640264116823</v>
      </c>
      <c r="H1473" s="5">
        <v>3048.4088725455049</v>
      </c>
      <c r="I1473" s="5">
        <v>203.84600468505985</v>
      </c>
    </row>
    <row r="1474" spans="1:9" x14ac:dyDescent="0.2">
      <c r="A1474" s="5" t="s">
        <v>84</v>
      </c>
      <c r="B1474" s="5" t="s">
        <v>65</v>
      </c>
      <c r="C1474" s="5" t="s">
        <v>59</v>
      </c>
      <c r="D1474" s="5">
        <v>1461566</v>
      </c>
      <c r="E1474" s="5">
        <v>96862</v>
      </c>
      <c r="F1474" s="5">
        <v>299237921</v>
      </c>
      <c r="G1474" s="5">
        <v>6.6272751281844267</v>
      </c>
      <c r="H1474" s="5">
        <v>3089.3221387128078</v>
      </c>
      <c r="I1474" s="5">
        <v>204.73787772840913</v>
      </c>
    </row>
    <row r="1475" spans="1:9" x14ac:dyDescent="0.2">
      <c r="A1475" s="5" t="s">
        <v>84</v>
      </c>
      <c r="B1475" s="5" t="s">
        <v>65</v>
      </c>
      <c r="C1475" s="5" t="s">
        <v>60</v>
      </c>
      <c r="D1475" s="5">
        <v>1462313</v>
      </c>
      <c r="E1475" s="5">
        <v>94794</v>
      </c>
      <c r="F1475" s="5">
        <v>289807150</v>
      </c>
      <c r="G1475" s="5">
        <v>6.4824698952960143</v>
      </c>
      <c r="H1475" s="5">
        <v>3057.2309428866806</v>
      </c>
      <c r="I1475" s="5">
        <v>198.18407550230353</v>
      </c>
    </row>
    <row r="1476" spans="1:9" x14ac:dyDescent="0.2">
      <c r="A1476" s="5" t="s">
        <v>84</v>
      </c>
      <c r="B1476" s="5" t="s">
        <v>65</v>
      </c>
      <c r="C1476" s="5" t="s">
        <v>61</v>
      </c>
      <c r="D1476" s="5">
        <v>1460185</v>
      </c>
      <c r="E1476" s="5">
        <v>96831</v>
      </c>
      <c r="F1476" s="5">
        <v>305960008</v>
      </c>
      <c r="G1476" s="5">
        <v>6.6314199913024723</v>
      </c>
      <c r="H1476" s="5">
        <v>3159.7319866571656</v>
      </c>
      <c r="I1476" s="5">
        <v>209.53509863476202</v>
      </c>
    </row>
    <row r="1477" spans="1:9" x14ac:dyDescent="0.2">
      <c r="A1477" s="5" t="s">
        <v>84</v>
      </c>
      <c r="B1477" s="5" t="s">
        <v>65</v>
      </c>
      <c r="C1477" s="5" t="s">
        <v>62</v>
      </c>
      <c r="D1477" s="5">
        <v>1457515</v>
      </c>
      <c r="E1477" s="5">
        <v>99000</v>
      </c>
      <c r="F1477" s="5">
        <v>323247058</v>
      </c>
      <c r="G1477" s="5">
        <v>6.7923829257331825</v>
      </c>
      <c r="H1477" s="5">
        <v>3265.121797979798</v>
      </c>
      <c r="I1477" s="5">
        <v>221.7795755103721</v>
      </c>
    </row>
    <row r="1478" spans="1:9" x14ac:dyDescent="0.2">
      <c r="A1478" s="5" t="s">
        <v>85</v>
      </c>
      <c r="B1478" s="5" t="s">
        <v>44</v>
      </c>
      <c r="C1478" s="5" t="s">
        <v>45</v>
      </c>
      <c r="D1478" s="5">
        <v>877260</v>
      </c>
      <c r="E1478" s="5">
        <v>19856</v>
      </c>
      <c r="F1478" s="5">
        <v>161176080</v>
      </c>
      <c r="G1478" s="5">
        <v>2.2634110753938401</v>
      </c>
      <c r="H1478" s="5">
        <v>8117.2481869460116</v>
      </c>
      <c r="I1478" s="5">
        <v>183.72669448054168</v>
      </c>
    </row>
    <row r="1479" spans="1:9" x14ac:dyDescent="0.2">
      <c r="A1479" s="5" t="s">
        <v>85</v>
      </c>
      <c r="B1479" s="5" t="s">
        <v>44</v>
      </c>
      <c r="C1479" s="5" t="s">
        <v>46</v>
      </c>
      <c r="D1479" s="5">
        <v>882586</v>
      </c>
      <c r="E1479" s="5">
        <v>20455</v>
      </c>
      <c r="F1479" s="5">
        <v>161521787</v>
      </c>
      <c r="G1479" s="5">
        <v>2.3176211723276827</v>
      </c>
      <c r="H1479" s="5">
        <v>7896.4452212173064</v>
      </c>
      <c r="I1479" s="5">
        <v>183.0096863081898</v>
      </c>
    </row>
    <row r="1480" spans="1:9" x14ac:dyDescent="0.2">
      <c r="A1480" s="5" t="s">
        <v>85</v>
      </c>
      <c r="B1480" s="5" t="s">
        <v>44</v>
      </c>
      <c r="C1480" s="5" t="s">
        <v>47</v>
      </c>
      <c r="D1480" s="5">
        <v>887903</v>
      </c>
      <c r="E1480" s="5">
        <v>20836</v>
      </c>
      <c r="F1480" s="5">
        <v>157880526</v>
      </c>
      <c r="G1480" s="5">
        <v>2.3466527312105039</v>
      </c>
      <c r="H1480" s="5">
        <v>7577.2953541946627</v>
      </c>
      <c r="I1480" s="5">
        <v>177.81280838109569</v>
      </c>
    </row>
    <row r="1481" spans="1:9" x14ac:dyDescent="0.2">
      <c r="A1481" s="5" t="s">
        <v>85</v>
      </c>
      <c r="B1481" s="5" t="s">
        <v>44</v>
      </c>
      <c r="C1481" s="5" t="s">
        <v>48</v>
      </c>
      <c r="D1481" s="5">
        <v>894424</v>
      </c>
      <c r="E1481" s="5">
        <v>21713</v>
      </c>
      <c r="F1481" s="5">
        <v>161604290</v>
      </c>
      <c r="G1481" s="5">
        <v>2.4275958605761923</v>
      </c>
      <c r="H1481" s="5">
        <v>7442.7435177082853</v>
      </c>
      <c r="I1481" s="5">
        <v>180.67973354918919</v>
      </c>
    </row>
    <row r="1482" spans="1:9" x14ac:dyDescent="0.2">
      <c r="A1482" s="5" t="s">
        <v>85</v>
      </c>
      <c r="B1482" s="5" t="s">
        <v>44</v>
      </c>
      <c r="C1482" s="5" t="s">
        <v>49</v>
      </c>
      <c r="D1482" s="5">
        <v>900736</v>
      </c>
      <c r="E1482" s="5">
        <v>22140</v>
      </c>
      <c r="F1482" s="5">
        <v>162255811</v>
      </c>
      <c r="G1482" s="5">
        <v>2.4579899104732128</v>
      </c>
      <c r="H1482" s="5">
        <v>7328.6274164408314</v>
      </c>
      <c r="I1482" s="5">
        <v>180.13692247228931</v>
      </c>
    </row>
    <row r="1483" spans="1:9" x14ac:dyDescent="0.2">
      <c r="A1483" s="5" t="s">
        <v>85</v>
      </c>
      <c r="B1483" s="5" t="s">
        <v>44</v>
      </c>
      <c r="C1483" s="5" t="s">
        <v>50</v>
      </c>
      <c r="D1483" s="5">
        <v>901290</v>
      </c>
      <c r="E1483" s="5">
        <v>22511</v>
      </c>
      <c r="F1483" s="5">
        <v>165242580</v>
      </c>
      <c r="G1483" s="5">
        <v>2.4976422683043196</v>
      </c>
      <c r="H1483" s="5">
        <v>7340.525965083737</v>
      </c>
      <c r="I1483" s="5">
        <v>183.34007921978497</v>
      </c>
    </row>
    <row r="1484" spans="1:9" x14ac:dyDescent="0.2">
      <c r="A1484" s="5" t="s">
        <v>85</v>
      </c>
      <c r="B1484" s="5" t="s">
        <v>44</v>
      </c>
      <c r="C1484" s="5" t="s">
        <v>51</v>
      </c>
      <c r="D1484" s="5">
        <v>899048</v>
      </c>
      <c r="E1484" s="5">
        <v>22915</v>
      </c>
      <c r="F1484" s="5">
        <v>170064612</v>
      </c>
      <c r="G1484" s="5">
        <v>2.548807182708821</v>
      </c>
      <c r="H1484" s="5">
        <v>7421.5409993454068</v>
      </c>
      <c r="I1484" s="5">
        <v>189.16077005899575</v>
      </c>
    </row>
    <row r="1485" spans="1:9" x14ac:dyDescent="0.2">
      <c r="A1485" s="5" t="s">
        <v>85</v>
      </c>
      <c r="B1485" s="5" t="s">
        <v>44</v>
      </c>
      <c r="C1485" s="5" t="s">
        <v>52</v>
      </c>
      <c r="D1485" s="5">
        <v>893148</v>
      </c>
      <c r="E1485" s="5">
        <v>23633</v>
      </c>
      <c r="F1485" s="5">
        <v>175372955</v>
      </c>
      <c r="G1485" s="5">
        <v>2.6460340279550532</v>
      </c>
      <c r="H1485" s="5">
        <v>7420.6810392248126</v>
      </c>
      <c r="I1485" s="5">
        <v>196.35374540389722</v>
      </c>
    </row>
    <row r="1486" spans="1:9" x14ac:dyDescent="0.2">
      <c r="A1486" s="5" t="s">
        <v>85</v>
      </c>
      <c r="B1486" s="5" t="s">
        <v>44</v>
      </c>
      <c r="C1486" s="5" t="s">
        <v>53</v>
      </c>
      <c r="D1486" s="5">
        <v>885774</v>
      </c>
      <c r="E1486" s="5">
        <v>24078</v>
      </c>
      <c r="F1486" s="5">
        <v>181601638</v>
      </c>
      <c r="G1486" s="5">
        <v>2.718300604894702</v>
      </c>
      <c r="H1486" s="5">
        <v>7542.2226929146937</v>
      </c>
      <c r="I1486" s="5">
        <v>205.02028508400562</v>
      </c>
    </row>
    <row r="1487" spans="1:9" x14ac:dyDescent="0.2">
      <c r="A1487" s="5" t="s">
        <v>85</v>
      </c>
      <c r="B1487" s="5" t="s">
        <v>44</v>
      </c>
      <c r="C1487" s="5" t="s">
        <v>54</v>
      </c>
      <c r="D1487" s="5">
        <v>881491</v>
      </c>
      <c r="E1487" s="5">
        <v>24622</v>
      </c>
      <c r="F1487" s="5">
        <v>185056583</v>
      </c>
      <c r="G1487" s="5">
        <v>2.7932219387378883</v>
      </c>
      <c r="H1487" s="5">
        <v>7515.9037852327183</v>
      </c>
      <c r="I1487" s="5">
        <v>209.9358734235517</v>
      </c>
    </row>
    <row r="1488" spans="1:9" x14ac:dyDescent="0.2">
      <c r="A1488" s="5" t="s">
        <v>85</v>
      </c>
      <c r="B1488" s="5" t="s">
        <v>44</v>
      </c>
      <c r="C1488" s="5" t="s">
        <v>55</v>
      </c>
      <c r="D1488" s="5">
        <v>878443</v>
      </c>
      <c r="E1488" s="5">
        <v>24684</v>
      </c>
      <c r="F1488" s="5">
        <v>184334044</v>
      </c>
      <c r="G1488" s="5">
        <v>2.8099717340795021</v>
      </c>
      <c r="H1488" s="5">
        <v>7467.7541727434773</v>
      </c>
      <c r="I1488" s="5">
        <v>209.84178142463426</v>
      </c>
    </row>
    <row r="1489" spans="1:9" x14ac:dyDescent="0.2">
      <c r="A1489" s="5" t="s">
        <v>85</v>
      </c>
      <c r="B1489" s="5" t="s">
        <v>44</v>
      </c>
      <c r="C1489" s="5" t="s">
        <v>56</v>
      </c>
      <c r="D1489" s="5">
        <v>878133</v>
      </c>
      <c r="E1489" s="5">
        <v>24286</v>
      </c>
      <c r="F1489" s="5">
        <v>181412540</v>
      </c>
      <c r="G1489" s="5">
        <v>2.7656402845582617</v>
      </c>
      <c r="H1489" s="5">
        <v>7469.8402371736802</v>
      </c>
      <c r="I1489" s="5">
        <v>206.5889107914177</v>
      </c>
    </row>
    <row r="1490" spans="1:9" x14ac:dyDescent="0.2">
      <c r="A1490" s="5" t="s">
        <v>85</v>
      </c>
      <c r="B1490" s="5" t="s">
        <v>44</v>
      </c>
      <c r="C1490" s="5" t="s">
        <v>57</v>
      </c>
      <c r="D1490" s="5">
        <v>878130</v>
      </c>
      <c r="E1490" s="5">
        <v>23837</v>
      </c>
      <c r="F1490" s="5">
        <v>175367490</v>
      </c>
      <c r="G1490" s="5">
        <v>2.7145183514969311</v>
      </c>
      <c r="H1490" s="5">
        <v>7356.9446658556026</v>
      </c>
      <c r="I1490" s="5">
        <v>199.70561306412489</v>
      </c>
    </row>
    <row r="1491" spans="1:9" x14ac:dyDescent="0.2">
      <c r="A1491" s="5" t="s">
        <v>85</v>
      </c>
      <c r="B1491" s="5" t="s">
        <v>44</v>
      </c>
      <c r="C1491" s="5" t="s">
        <v>58</v>
      </c>
      <c r="D1491" s="5">
        <v>875851</v>
      </c>
      <c r="E1491" s="5">
        <v>23176</v>
      </c>
      <c r="F1491" s="5">
        <v>171623901</v>
      </c>
      <c r="G1491" s="5">
        <v>2.6461121811815023</v>
      </c>
      <c r="H1491" s="5">
        <v>7405.2425353814288</v>
      </c>
      <c r="I1491" s="5">
        <v>195.95102477476192</v>
      </c>
    </row>
    <row r="1492" spans="1:9" x14ac:dyDescent="0.2">
      <c r="A1492" s="5" t="s">
        <v>85</v>
      </c>
      <c r="B1492" s="5" t="s">
        <v>44</v>
      </c>
      <c r="C1492" s="5" t="s">
        <v>59</v>
      </c>
      <c r="D1492" s="5">
        <v>873016</v>
      </c>
      <c r="E1492" s="5">
        <v>22375</v>
      </c>
      <c r="F1492" s="5">
        <v>166932992</v>
      </c>
      <c r="G1492" s="5">
        <v>2.5629541726612111</v>
      </c>
      <c r="H1492" s="5">
        <v>7460.6923798882681</v>
      </c>
      <c r="I1492" s="5">
        <v>191.21412665976339</v>
      </c>
    </row>
    <row r="1493" spans="1:9" x14ac:dyDescent="0.2">
      <c r="A1493" s="5" t="s">
        <v>85</v>
      </c>
      <c r="B1493" s="5" t="s">
        <v>44</v>
      </c>
      <c r="C1493" s="5" t="s">
        <v>60</v>
      </c>
      <c r="D1493" s="5">
        <v>867949</v>
      </c>
      <c r="E1493" s="5">
        <v>21456</v>
      </c>
      <c r="F1493" s="5">
        <v>162923041</v>
      </c>
      <c r="G1493" s="5">
        <v>2.4720346471970127</v>
      </c>
      <c r="H1493" s="5">
        <v>7593.3557513049964</v>
      </c>
      <c r="I1493" s="5">
        <v>187.71038505718653</v>
      </c>
    </row>
    <row r="1494" spans="1:9" x14ac:dyDescent="0.2">
      <c r="A1494" s="5" t="s">
        <v>85</v>
      </c>
      <c r="B1494" s="5" t="s">
        <v>44</v>
      </c>
      <c r="C1494" s="5" t="s">
        <v>61</v>
      </c>
      <c r="D1494" s="5">
        <v>861557</v>
      </c>
      <c r="E1494" s="5">
        <v>20240</v>
      </c>
      <c r="F1494" s="5">
        <v>157574344</v>
      </c>
      <c r="G1494" s="5">
        <v>2.3492351637790652</v>
      </c>
      <c r="H1494" s="5">
        <v>7785.2936758893284</v>
      </c>
      <c r="I1494" s="5">
        <v>182.89485663745987</v>
      </c>
    </row>
    <row r="1495" spans="1:9" x14ac:dyDescent="0.2">
      <c r="A1495" s="5" t="s">
        <v>85</v>
      </c>
      <c r="B1495" s="5" t="s">
        <v>44</v>
      </c>
      <c r="C1495" s="5" t="s">
        <v>62</v>
      </c>
      <c r="D1495" s="5">
        <v>855605</v>
      </c>
      <c r="E1495" s="5">
        <v>19532</v>
      </c>
      <c r="F1495" s="5">
        <v>151222674</v>
      </c>
      <c r="G1495" s="5">
        <v>2.2828291092268045</v>
      </c>
      <c r="H1495" s="5">
        <v>7742.3036043415932</v>
      </c>
      <c r="I1495" s="5">
        <v>176.74356040462595</v>
      </c>
    </row>
    <row r="1496" spans="1:9" x14ac:dyDescent="0.2">
      <c r="A1496" s="5" t="s">
        <v>85</v>
      </c>
      <c r="B1496" s="5" t="s">
        <v>63</v>
      </c>
      <c r="C1496" s="5" t="s">
        <v>45</v>
      </c>
      <c r="D1496" s="5">
        <v>877260</v>
      </c>
      <c r="E1496" s="5">
        <v>58066</v>
      </c>
      <c r="F1496" s="5">
        <v>119883170</v>
      </c>
      <c r="G1496" s="5">
        <v>6.6190183070013449</v>
      </c>
      <c r="H1496" s="5">
        <v>2064.6018323976164</v>
      </c>
      <c r="I1496" s="5">
        <v>136.65637325308347</v>
      </c>
    </row>
    <row r="1497" spans="1:9" x14ac:dyDescent="0.2">
      <c r="A1497" s="5" t="s">
        <v>85</v>
      </c>
      <c r="B1497" s="5" t="s">
        <v>63</v>
      </c>
      <c r="C1497" s="5" t="s">
        <v>46</v>
      </c>
      <c r="D1497" s="5">
        <v>882586</v>
      </c>
      <c r="E1497" s="5">
        <v>58158</v>
      </c>
      <c r="F1497" s="5">
        <v>123127842</v>
      </c>
      <c r="G1497" s="5">
        <v>6.5894994935337747</v>
      </c>
      <c r="H1497" s="5">
        <v>2117.1264830289902</v>
      </c>
      <c r="I1497" s="5">
        <v>139.5080388766647</v>
      </c>
    </row>
    <row r="1498" spans="1:9" x14ac:dyDescent="0.2">
      <c r="A1498" s="5" t="s">
        <v>85</v>
      </c>
      <c r="B1498" s="5" t="s">
        <v>63</v>
      </c>
      <c r="C1498" s="5" t="s">
        <v>47</v>
      </c>
      <c r="D1498" s="5">
        <v>887903</v>
      </c>
      <c r="E1498" s="5">
        <v>57677</v>
      </c>
      <c r="F1498" s="5">
        <v>123358964</v>
      </c>
      <c r="G1498" s="5">
        <v>6.4958672287400763</v>
      </c>
      <c r="H1498" s="5">
        <v>2138.7895348232396</v>
      </c>
      <c r="I1498" s="5">
        <v>138.93292848430517</v>
      </c>
    </row>
    <row r="1499" spans="1:9" x14ac:dyDescent="0.2">
      <c r="A1499" s="5" t="s">
        <v>85</v>
      </c>
      <c r="B1499" s="5" t="s">
        <v>63</v>
      </c>
      <c r="C1499" s="5" t="s">
        <v>48</v>
      </c>
      <c r="D1499" s="5">
        <v>894424</v>
      </c>
      <c r="E1499" s="5">
        <v>58437</v>
      </c>
      <c r="F1499" s="5">
        <v>125089880</v>
      </c>
      <c r="G1499" s="5">
        <v>6.5334785291986801</v>
      </c>
      <c r="H1499" s="5">
        <v>2140.5938018721017</v>
      </c>
      <c r="I1499" s="5">
        <v>139.8552364426715</v>
      </c>
    </row>
    <row r="1500" spans="1:9" x14ac:dyDescent="0.2">
      <c r="A1500" s="5" t="s">
        <v>85</v>
      </c>
      <c r="B1500" s="5" t="s">
        <v>63</v>
      </c>
      <c r="C1500" s="5" t="s">
        <v>49</v>
      </c>
      <c r="D1500" s="5">
        <v>900736</v>
      </c>
      <c r="E1500" s="5">
        <v>58875</v>
      </c>
      <c r="F1500" s="5">
        <v>126934550</v>
      </c>
      <c r="G1500" s="5">
        <v>6.5363214082705703</v>
      </c>
      <c r="H1500" s="5">
        <v>2156.0008492569004</v>
      </c>
      <c r="I1500" s="5">
        <v>140.92314507247406</v>
      </c>
    </row>
    <row r="1501" spans="1:9" x14ac:dyDescent="0.2">
      <c r="A1501" s="5" t="s">
        <v>85</v>
      </c>
      <c r="B1501" s="5" t="s">
        <v>63</v>
      </c>
      <c r="C1501" s="5" t="s">
        <v>50</v>
      </c>
      <c r="D1501" s="5">
        <v>901290</v>
      </c>
      <c r="E1501" s="5">
        <v>60250</v>
      </c>
      <c r="F1501" s="5">
        <v>129940206</v>
      </c>
      <c r="G1501" s="5">
        <v>6.6848628077533316</v>
      </c>
      <c r="H1501" s="5">
        <v>2156.6839170124481</v>
      </c>
      <c r="I1501" s="5">
        <v>144.17136104916287</v>
      </c>
    </row>
    <row r="1502" spans="1:9" x14ac:dyDescent="0.2">
      <c r="A1502" s="5" t="s">
        <v>85</v>
      </c>
      <c r="B1502" s="5" t="s">
        <v>63</v>
      </c>
      <c r="C1502" s="5" t="s">
        <v>51</v>
      </c>
      <c r="D1502" s="5">
        <v>899048</v>
      </c>
      <c r="E1502" s="5">
        <v>62353</v>
      </c>
      <c r="F1502" s="5">
        <v>135196407</v>
      </c>
      <c r="G1502" s="5">
        <v>6.9354472731155621</v>
      </c>
      <c r="H1502" s="5">
        <v>2168.2422176960208</v>
      </c>
      <c r="I1502" s="5">
        <v>150.37729576173908</v>
      </c>
    </row>
    <row r="1503" spans="1:9" x14ac:dyDescent="0.2">
      <c r="A1503" s="5" t="s">
        <v>85</v>
      </c>
      <c r="B1503" s="5" t="s">
        <v>63</v>
      </c>
      <c r="C1503" s="5" t="s">
        <v>52</v>
      </c>
      <c r="D1503" s="5">
        <v>893148</v>
      </c>
      <c r="E1503" s="5">
        <v>62700</v>
      </c>
      <c r="F1503" s="5">
        <v>137364108</v>
      </c>
      <c r="G1503" s="5">
        <v>7.0201131279474396</v>
      </c>
      <c r="H1503" s="5">
        <v>2190.8151196172248</v>
      </c>
      <c r="I1503" s="5">
        <v>153.79769982130622</v>
      </c>
    </row>
    <row r="1504" spans="1:9" x14ac:dyDescent="0.2">
      <c r="A1504" s="5" t="s">
        <v>85</v>
      </c>
      <c r="B1504" s="5" t="s">
        <v>63</v>
      </c>
      <c r="C1504" s="5" t="s">
        <v>53</v>
      </c>
      <c r="D1504" s="5">
        <v>885774</v>
      </c>
      <c r="E1504" s="5">
        <v>61602</v>
      </c>
      <c r="F1504" s="5">
        <v>135459364</v>
      </c>
      <c r="G1504" s="5">
        <v>6.9545956417776997</v>
      </c>
      <c r="H1504" s="5">
        <v>2198.9442550566541</v>
      </c>
      <c r="I1504" s="5">
        <v>152.92768132729117</v>
      </c>
    </row>
    <row r="1505" spans="1:9" x14ac:dyDescent="0.2">
      <c r="A1505" s="5" t="s">
        <v>85</v>
      </c>
      <c r="B1505" s="5" t="s">
        <v>63</v>
      </c>
      <c r="C1505" s="5" t="s">
        <v>54</v>
      </c>
      <c r="D1505" s="5">
        <v>881491</v>
      </c>
      <c r="E1505" s="5">
        <v>60659</v>
      </c>
      <c r="F1505" s="5">
        <v>133308577</v>
      </c>
      <c r="G1505" s="5">
        <v>6.8814088856267395</v>
      </c>
      <c r="H1505" s="5">
        <v>2197.6718541354126</v>
      </c>
      <c r="I1505" s="5">
        <v>151.23078624739219</v>
      </c>
    </row>
    <row r="1506" spans="1:9" x14ac:dyDescent="0.2">
      <c r="A1506" s="5" t="s">
        <v>85</v>
      </c>
      <c r="B1506" s="5" t="s">
        <v>63</v>
      </c>
      <c r="C1506" s="5" t="s">
        <v>55</v>
      </c>
      <c r="D1506" s="5">
        <v>878443</v>
      </c>
      <c r="E1506" s="5">
        <v>58659</v>
      </c>
      <c r="F1506" s="5">
        <v>129082496</v>
      </c>
      <c r="G1506" s="5">
        <v>6.6776102718104644</v>
      </c>
      <c r="H1506" s="5">
        <v>2200.5573910226904</v>
      </c>
      <c r="I1506" s="5">
        <v>146.94464638001554</v>
      </c>
    </row>
    <row r="1507" spans="1:9" x14ac:dyDescent="0.2">
      <c r="A1507" s="5" t="s">
        <v>85</v>
      </c>
      <c r="B1507" s="5" t="s">
        <v>63</v>
      </c>
      <c r="C1507" s="5" t="s">
        <v>56</v>
      </c>
      <c r="D1507" s="5">
        <v>878133</v>
      </c>
      <c r="E1507" s="5">
        <v>57798</v>
      </c>
      <c r="F1507" s="5">
        <v>127154141</v>
      </c>
      <c r="G1507" s="5">
        <v>6.5819186842995308</v>
      </c>
      <c r="H1507" s="5">
        <v>2199.9747569120041</v>
      </c>
      <c r="I1507" s="5">
        <v>144.80054957506437</v>
      </c>
    </row>
    <row r="1508" spans="1:9" x14ac:dyDescent="0.2">
      <c r="A1508" s="5" t="s">
        <v>85</v>
      </c>
      <c r="B1508" s="5" t="s">
        <v>63</v>
      </c>
      <c r="C1508" s="5" t="s">
        <v>57</v>
      </c>
      <c r="D1508" s="5">
        <v>878130</v>
      </c>
      <c r="E1508" s="5">
        <v>57028</v>
      </c>
      <c r="F1508" s="5">
        <v>124829699</v>
      </c>
      <c r="G1508" s="5">
        <v>6.494254836983135</v>
      </c>
      <c r="H1508" s="5">
        <v>2188.919460615838</v>
      </c>
      <c r="I1508" s="5">
        <v>142.15400794870919</v>
      </c>
    </row>
    <row r="1509" spans="1:9" x14ac:dyDescent="0.2">
      <c r="A1509" s="5" t="s">
        <v>85</v>
      </c>
      <c r="B1509" s="5" t="s">
        <v>63</v>
      </c>
      <c r="C1509" s="5" t="s">
        <v>58</v>
      </c>
      <c r="D1509" s="5">
        <v>875851</v>
      </c>
      <c r="E1509" s="5">
        <v>56187</v>
      </c>
      <c r="F1509" s="5">
        <v>122648496</v>
      </c>
      <c r="G1509" s="5">
        <v>6.415132254230457</v>
      </c>
      <c r="H1509" s="5">
        <v>2182.8625126808693</v>
      </c>
      <c r="I1509" s="5">
        <v>140.03351711649583</v>
      </c>
    </row>
    <row r="1510" spans="1:9" x14ac:dyDescent="0.2">
      <c r="A1510" s="5" t="s">
        <v>85</v>
      </c>
      <c r="B1510" s="5" t="s">
        <v>63</v>
      </c>
      <c r="C1510" s="5" t="s">
        <v>59</v>
      </c>
      <c r="D1510" s="5">
        <v>873016</v>
      </c>
      <c r="E1510" s="5">
        <v>56393</v>
      </c>
      <c r="F1510" s="5">
        <v>123414147</v>
      </c>
      <c r="G1510" s="5">
        <v>6.4595608786093264</v>
      </c>
      <c r="H1510" s="5">
        <v>2188.4657138297307</v>
      </c>
      <c r="I1510" s="5">
        <v>141.36527509232363</v>
      </c>
    </row>
    <row r="1511" spans="1:9" x14ac:dyDescent="0.2">
      <c r="A1511" s="5" t="s">
        <v>85</v>
      </c>
      <c r="B1511" s="5" t="s">
        <v>63</v>
      </c>
      <c r="C1511" s="5" t="s">
        <v>60</v>
      </c>
      <c r="D1511" s="5">
        <v>867949</v>
      </c>
      <c r="E1511" s="5">
        <v>55453</v>
      </c>
      <c r="F1511" s="5">
        <v>122347501</v>
      </c>
      <c r="G1511" s="5">
        <v>6.3889698588281112</v>
      </c>
      <c r="H1511" s="5">
        <v>2206.3278993021117</v>
      </c>
      <c r="I1511" s="5">
        <v>140.96162447332736</v>
      </c>
    </row>
    <row r="1512" spans="1:9" x14ac:dyDescent="0.2">
      <c r="A1512" s="5" t="s">
        <v>85</v>
      </c>
      <c r="B1512" s="5" t="s">
        <v>63</v>
      </c>
      <c r="C1512" s="5" t="s">
        <v>61</v>
      </c>
      <c r="D1512" s="5">
        <v>861557</v>
      </c>
      <c r="E1512" s="5">
        <v>54256</v>
      </c>
      <c r="F1512" s="5">
        <v>120773711</v>
      </c>
      <c r="G1512" s="5">
        <v>6.2974359212449089</v>
      </c>
      <c r="H1512" s="5">
        <v>2225.9973274845179</v>
      </c>
      <c r="I1512" s="5">
        <v>140.18075530696169</v>
      </c>
    </row>
    <row r="1513" spans="1:9" x14ac:dyDescent="0.2">
      <c r="A1513" s="5" t="s">
        <v>85</v>
      </c>
      <c r="B1513" s="5" t="s">
        <v>63</v>
      </c>
      <c r="C1513" s="5" t="s">
        <v>62</v>
      </c>
      <c r="D1513" s="5">
        <v>855605</v>
      </c>
      <c r="E1513" s="5">
        <v>53652</v>
      </c>
      <c r="F1513" s="5">
        <v>121767572</v>
      </c>
      <c r="G1513" s="5">
        <v>6.2706505922709663</v>
      </c>
      <c r="H1513" s="5">
        <v>2269.5812271676732</v>
      </c>
      <c r="I1513" s="5">
        <v>142.31750866346036</v>
      </c>
    </row>
    <row r="1514" spans="1:9" x14ac:dyDescent="0.2">
      <c r="A1514" s="5" t="s">
        <v>85</v>
      </c>
      <c r="B1514" s="5" t="s">
        <v>73</v>
      </c>
      <c r="C1514" s="5" t="s">
        <v>45</v>
      </c>
      <c r="D1514" s="5">
        <v>877260</v>
      </c>
      <c r="E1514" s="5">
        <v>21850</v>
      </c>
      <c r="F1514" s="5">
        <v>37714803</v>
      </c>
      <c r="G1514" s="5">
        <v>2.490709709778173</v>
      </c>
      <c r="H1514" s="5">
        <v>1726.0779405034325</v>
      </c>
      <c r="I1514" s="5">
        <v>42.991590862458111</v>
      </c>
    </row>
    <row r="1515" spans="1:9" x14ac:dyDescent="0.2">
      <c r="A1515" s="5" t="s">
        <v>85</v>
      </c>
      <c r="B1515" s="5" t="s">
        <v>73</v>
      </c>
      <c r="C1515" s="5" t="s">
        <v>46</v>
      </c>
      <c r="D1515" s="5">
        <v>882586</v>
      </c>
      <c r="E1515" s="5">
        <v>22762</v>
      </c>
      <c r="F1515" s="5">
        <v>37591732</v>
      </c>
      <c r="G1515" s="5">
        <v>2.5790121302626599</v>
      </c>
      <c r="H1515" s="5">
        <v>1651.5126965995958</v>
      </c>
      <c r="I1515" s="5">
        <v>42.592712778131535</v>
      </c>
    </row>
    <row r="1516" spans="1:9" x14ac:dyDescent="0.2">
      <c r="A1516" s="5" t="s">
        <v>85</v>
      </c>
      <c r="B1516" s="5" t="s">
        <v>73</v>
      </c>
      <c r="C1516" s="5" t="s">
        <v>47</v>
      </c>
      <c r="D1516" s="5">
        <v>887903</v>
      </c>
      <c r="E1516" s="5">
        <v>23362</v>
      </c>
      <c r="F1516" s="5">
        <v>34823504</v>
      </c>
      <c r="G1516" s="5">
        <v>2.6311432667757626</v>
      </c>
      <c r="H1516" s="5">
        <v>1490.6045715264104</v>
      </c>
      <c r="I1516" s="5">
        <v>39.219941817968852</v>
      </c>
    </row>
    <row r="1517" spans="1:9" x14ac:dyDescent="0.2">
      <c r="A1517" s="5" t="s">
        <v>85</v>
      </c>
      <c r="B1517" s="5" t="s">
        <v>73</v>
      </c>
      <c r="C1517" s="5" t="s">
        <v>48</v>
      </c>
      <c r="D1517" s="5">
        <v>894424</v>
      </c>
      <c r="E1517" s="5">
        <v>23331</v>
      </c>
      <c r="F1517" s="5">
        <v>35979839</v>
      </c>
      <c r="G1517" s="5">
        <v>2.6084944053379604</v>
      </c>
      <c r="H1517" s="5">
        <v>1542.1473147314732</v>
      </c>
      <c r="I1517" s="5">
        <v>40.22682642684007</v>
      </c>
    </row>
    <row r="1518" spans="1:9" x14ac:dyDescent="0.2">
      <c r="A1518" s="5" t="s">
        <v>85</v>
      </c>
      <c r="B1518" s="5" t="s">
        <v>73</v>
      </c>
      <c r="C1518" s="5" t="s">
        <v>49</v>
      </c>
      <c r="D1518" s="5">
        <v>900736</v>
      </c>
      <c r="E1518" s="5">
        <v>22759</v>
      </c>
      <c r="F1518" s="5">
        <v>35140311</v>
      </c>
      <c r="G1518" s="5">
        <v>2.5267114892709963</v>
      </c>
      <c r="H1518" s="5">
        <v>1544.0182345445758</v>
      </c>
      <c r="I1518" s="5">
        <v>39.012886128676996</v>
      </c>
    </row>
    <row r="1519" spans="1:9" x14ac:dyDescent="0.2">
      <c r="A1519" s="5" t="s">
        <v>85</v>
      </c>
      <c r="B1519" s="5" t="s">
        <v>73</v>
      </c>
      <c r="C1519" s="5" t="s">
        <v>50</v>
      </c>
      <c r="D1519" s="5">
        <v>901290</v>
      </c>
      <c r="E1519" s="5">
        <v>22601</v>
      </c>
      <c r="F1519" s="5">
        <v>35991173</v>
      </c>
      <c r="G1519" s="5">
        <v>2.5076279554860257</v>
      </c>
      <c r="H1519" s="5">
        <v>1592.4593159594708</v>
      </c>
      <c r="I1519" s="5">
        <v>39.93295498674123</v>
      </c>
    </row>
    <row r="1520" spans="1:9" x14ac:dyDescent="0.2">
      <c r="A1520" s="5" t="s">
        <v>85</v>
      </c>
      <c r="B1520" s="5" t="s">
        <v>73</v>
      </c>
      <c r="C1520" s="5" t="s">
        <v>51</v>
      </c>
      <c r="D1520" s="5">
        <v>899048</v>
      </c>
      <c r="E1520" s="5">
        <v>22922</v>
      </c>
      <c r="F1520" s="5">
        <v>40523919</v>
      </c>
      <c r="G1520" s="5">
        <v>2.5495857840738205</v>
      </c>
      <c r="H1520" s="5">
        <v>1767.9050257394642</v>
      </c>
      <c r="I1520" s="5">
        <v>45.074255212179992</v>
      </c>
    </row>
    <row r="1521" spans="1:9" x14ac:dyDescent="0.2">
      <c r="A1521" s="5" t="s">
        <v>85</v>
      </c>
      <c r="B1521" s="5" t="s">
        <v>73</v>
      </c>
      <c r="C1521" s="5" t="s">
        <v>52</v>
      </c>
      <c r="D1521" s="5">
        <v>893148</v>
      </c>
      <c r="E1521" s="5">
        <v>23707</v>
      </c>
      <c r="F1521" s="5">
        <v>40749287</v>
      </c>
      <c r="G1521" s="5">
        <v>2.6543193289354061</v>
      </c>
      <c r="H1521" s="5">
        <v>1718.8715147424812</v>
      </c>
      <c r="I1521" s="5">
        <v>45.624338855374475</v>
      </c>
    </row>
    <row r="1522" spans="1:9" x14ac:dyDescent="0.2">
      <c r="A1522" s="5" t="s">
        <v>85</v>
      </c>
      <c r="B1522" s="5" t="s">
        <v>73</v>
      </c>
      <c r="C1522" s="5" t="s">
        <v>53</v>
      </c>
      <c r="D1522" s="5">
        <v>885774</v>
      </c>
      <c r="E1522" s="5">
        <v>24038</v>
      </c>
      <c r="F1522" s="5">
        <v>40005423</v>
      </c>
      <c r="G1522" s="5">
        <v>2.7137847803164239</v>
      </c>
      <c r="H1522" s="5">
        <v>1664.2575505449704</v>
      </c>
      <c r="I1522" s="5">
        <v>45.164368111956321</v>
      </c>
    </row>
    <row r="1523" spans="1:9" x14ac:dyDescent="0.2">
      <c r="A1523" s="5" t="s">
        <v>85</v>
      </c>
      <c r="B1523" s="5" t="s">
        <v>73</v>
      </c>
      <c r="C1523" s="5" t="s">
        <v>54</v>
      </c>
      <c r="D1523" s="5">
        <v>881491</v>
      </c>
      <c r="E1523" s="5">
        <v>24312</v>
      </c>
      <c r="F1523" s="5">
        <v>40594195</v>
      </c>
      <c r="G1523" s="5">
        <v>2.7580542512629171</v>
      </c>
      <c r="H1523" s="5">
        <v>1669.7184517933531</v>
      </c>
      <c r="I1523" s="5">
        <v>46.051740743807933</v>
      </c>
    </row>
    <row r="1524" spans="1:9" x14ac:dyDescent="0.2">
      <c r="A1524" s="5" t="s">
        <v>85</v>
      </c>
      <c r="B1524" s="5" t="s">
        <v>73</v>
      </c>
      <c r="C1524" s="5" t="s">
        <v>55</v>
      </c>
      <c r="D1524" s="5">
        <v>878443</v>
      </c>
      <c r="E1524" s="5">
        <v>23331</v>
      </c>
      <c r="F1524" s="5">
        <v>36653326</v>
      </c>
      <c r="G1524" s="5">
        <v>2.6559492192435936</v>
      </c>
      <c r="H1524" s="5">
        <v>1571.013929964425</v>
      </c>
      <c r="I1524" s="5">
        <v>41.725332207098241</v>
      </c>
    </row>
    <row r="1525" spans="1:9" x14ac:dyDescent="0.2">
      <c r="A1525" s="5" t="s">
        <v>85</v>
      </c>
      <c r="B1525" s="5" t="s">
        <v>73</v>
      </c>
      <c r="C1525" s="5" t="s">
        <v>56</v>
      </c>
      <c r="D1525" s="5">
        <v>878133</v>
      </c>
      <c r="E1525" s="5">
        <v>22353</v>
      </c>
      <c r="F1525" s="5">
        <v>35374677</v>
      </c>
      <c r="G1525" s="5">
        <v>2.5455141760986093</v>
      </c>
      <c r="H1525" s="5">
        <v>1582.5471748758555</v>
      </c>
      <c r="I1525" s="5">
        <v>40.283962679912953</v>
      </c>
    </row>
    <row r="1526" spans="1:9" x14ac:dyDescent="0.2">
      <c r="A1526" s="5" t="s">
        <v>85</v>
      </c>
      <c r="B1526" s="5" t="s">
        <v>73</v>
      </c>
      <c r="C1526" s="5" t="s">
        <v>57</v>
      </c>
      <c r="D1526" s="5">
        <v>878130</v>
      </c>
      <c r="E1526" s="5">
        <v>21395</v>
      </c>
      <c r="F1526" s="5">
        <v>32740898</v>
      </c>
      <c r="G1526" s="5">
        <v>2.4364274082425155</v>
      </c>
      <c r="H1526" s="5">
        <v>1530.3060528160786</v>
      </c>
      <c r="I1526" s="5">
        <v>37.284796100805117</v>
      </c>
    </row>
    <row r="1527" spans="1:9" x14ac:dyDescent="0.2">
      <c r="A1527" s="5" t="s">
        <v>85</v>
      </c>
      <c r="B1527" s="5" t="s">
        <v>73</v>
      </c>
      <c r="C1527" s="5" t="s">
        <v>58</v>
      </c>
      <c r="D1527" s="5">
        <v>875851</v>
      </c>
      <c r="E1527" s="5">
        <v>19948</v>
      </c>
      <c r="F1527" s="5">
        <v>28440853</v>
      </c>
      <c r="G1527" s="5">
        <v>2.2775563423459011</v>
      </c>
      <c r="H1527" s="5">
        <v>1425.749598957289</v>
      </c>
      <c r="I1527" s="5">
        <v>32.472250417022984</v>
      </c>
    </row>
    <row r="1528" spans="1:9" x14ac:dyDescent="0.2">
      <c r="A1528" s="5" t="s">
        <v>85</v>
      </c>
      <c r="B1528" s="5" t="s">
        <v>73</v>
      </c>
      <c r="C1528" s="5" t="s">
        <v>59</v>
      </c>
      <c r="D1528" s="5">
        <v>873016</v>
      </c>
      <c r="E1528" s="5">
        <v>19185</v>
      </c>
      <c r="F1528" s="5">
        <v>29165072</v>
      </c>
      <c r="G1528" s="5">
        <v>2.1975542258102942</v>
      </c>
      <c r="H1528" s="5">
        <v>1520.2018243419338</v>
      </c>
      <c r="I1528" s="5">
        <v>33.407259431671356</v>
      </c>
    </row>
    <row r="1529" spans="1:9" x14ac:dyDescent="0.2">
      <c r="A1529" s="5" t="s">
        <v>85</v>
      </c>
      <c r="B1529" s="5" t="s">
        <v>73</v>
      </c>
      <c r="C1529" s="5" t="s">
        <v>60</v>
      </c>
      <c r="D1529" s="5">
        <v>867949</v>
      </c>
      <c r="E1529" s="5">
        <v>18353</v>
      </c>
      <c r="F1529" s="5">
        <v>29521162</v>
      </c>
      <c r="G1529" s="5">
        <v>2.1145251621927095</v>
      </c>
      <c r="H1529" s="5">
        <v>1608.5196970522532</v>
      </c>
      <c r="I1529" s="5">
        <v>34.012553732995833</v>
      </c>
    </row>
    <row r="1530" spans="1:9" x14ac:dyDescent="0.2">
      <c r="A1530" s="5" t="s">
        <v>85</v>
      </c>
      <c r="B1530" s="5" t="s">
        <v>73</v>
      </c>
      <c r="C1530" s="5" t="s">
        <v>61</v>
      </c>
      <c r="D1530" s="5">
        <v>861557</v>
      </c>
      <c r="E1530" s="5">
        <v>17334</v>
      </c>
      <c r="F1530" s="5">
        <v>31860448</v>
      </c>
      <c r="G1530" s="5">
        <v>2.0119388502443831</v>
      </c>
      <c r="H1530" s="5">
        <v>1838.0320756893966</v>
      </c>
      <c r="I1530" s="5">
        <v>36.980081410748213</v>
      </c>
    </row>
    <row r="1531" spans="1:9" x14ac:dyDescent="0.2">
      <c r="A1531" s="5" t="s">
        <v>85</v>
      </c>
      <c r="B1531" s="5" t="s">
        <v>73</v>
      </c>
      <c r="C1531" s="5" t="s">
        <v>62</v>
      </c>
      <c r="D1531" s="5">
        <v>855605</v>
      </c>
      <c r="E1531" s="5">
        <v>16877</v>
      </c>
      <c r="F1531" s="5">
        <v>31655027</v>
      </c>
      <c r="G1531" s="5">
        <v>1.9725223672138428</v>
      </c>
      <c r="H1531" s="5">
        <v>1875.6311548260946</v>
      </c>
      <c r="I1531" s="5">
        <v>36.997244055376022</v>
      </c>
    </row>
    <row r="1532" spans="1:9" x14ac:dyDescent="0.2">
      <c r="A1532" s="5" t="s">
        <v>85</v>
      </c>
      <c r="B1532" s="5" t="s">
        <v>64</v>
      </c>
      <c r="C1532" s="5" t="s">
        <v>45</v>
      </c>
      <c r="D1532" s="5">
        <v>668985</v>
      </c>
      <c r="E1532" s="5">
        <v>91477</v>
      </c>
      <c r="F1532" s="5">
        <v>87448767</v>
      </c>
      <c r="G1532" s="5">
        <v>13.673998669626375</v>
      </c>
      <c r="H1532" s="5">
        <v>955.96452660231535</v>
      </c>
      <c r="I1532" s="5">
        <v>130.71857664970068</v>
      </c>
    </row>
    <row r="1533" spans="1:9" x14ac:dyDescent="0.2">
      <c r="A1533" s="5" t="s">
        <v>85</v>
      </c>
      <c r="B1533" s="5" t="s">
        <v>64</v>
      </c>
      <c r="C1533" s="5" t="s">
        <v>46</v>
      </c>
      <c r="D1533" s="5">
        <v>657681</v>
      </c>
      <c r="E1533" s="5">
        <v>89486</v>
      </c>
      <c r="F1533" s="5">
        <v>85486289</v>
      </c>
      <c r="G1533" s="5">
        <v>13.606292412278901</v>
      </c>
      <c r="H1533" s="5">
        <v>955.30349998882502</v>
      </c>
      <c r="I1533" s="5">
        <v>129.98138763321427</v>
      </c>
    </row>
    <row r="1534" spans="1:9" x14ac:dyDescent="0.2">
      <c r="A1534" s="5" t="s">
        <v>85</v>
      </c>
      <c r="B1534" s="5" t="s">
        <v>64</v>
      </c>
      <c r="C1534" s="5" t="s">
        <v>47</v>
      </c>
      <c r="D1534" s="5">
        <v>645418</v>
      </c>
      <c r="E1534" s="5">
        <v>84834</v>
      </c>
      <c r="F1534" s="5">
        <v>80822001</v>
      </c>
      <c r="G1534" s="5">
        <v>13.144039986489377</v>
      </c>
      <c r="H1534" s="5">
        <v>952.70765259212112</v>
      </c>
      <c r="I1534" s="5">
        <v>125.22427481105268</v>
      </c>
    </row>
    <row r="1535" spans="1:9" x14ac:dyDescent="0.2">
      <c r="A1535" s="5" t="s">
        <v>85</v>
      </c>
      <c r="B1535" s="5" t="s">
        <v>64</v>
      </c>
      <c r="C1535" s="5" t="s">
        <v>48</v>
      </c>
      <c r="D1535" s="5">
        <v>634630</v>
      </c>
      <c r="E1535" s="5">
        <v>81177</v>
      </c>
      <c r="F1535" s="5">
        <v>77932935</v>
      </c>
      <c r="G1535" s="5">
        <v>12.791232686762365</v>
      </c>
      <c r="H1535" s="5">
        <v>960.03714106212351</v>
      </c>
      <c r="I1535" s="5">
        <v>122.80058459259726</v>
      </c>
    </row>
    <row r="1536" spans="1:9" x14ac:dyDescent="0.2">
      <c r="A1536" s="5" t="s">
        <v>85</v>
      </c>
      <c r="B1536" s="5" t="s">
        <v>64</v>
      </c>
      <c r="C1536" s="5" t="s">
        <v>49</v>
      </c>
      <c r="D1536" s="5">
        <v>625321</v>
      </c>
      <c r="E1536" s="5">
        <v>80284</v>
      </c>
      <c r="F1536" s="5">
        <v>77767026</v>
      </c>
      <c r="G1536" s="5">
        <v>12.838845968710471</v>
      </c>
      <c r="H1536" s="5">
        <v>968.64912062179269</v>
      </c>
      <c r="I1536" s="5">
        <v>124.36336857390044</v>
      </c>
    </row>
    <row r="1537" spans="1:9" x14ac:dyDescent="0.2">
      <c r="A1537" s="5" t="s">
        <v>85</v>
      </c>
      <c r="B1537" s="5" t="s">
        <v>64</v>
      </c>
      <c r="C1537" s="5" t="s">
        <v>50</v>
      </c>
      <c r="D1537" s="5">
        <v>622362</v>
      </c>
      <c r="E1537" s="5">
        <v>82304</v>
      </c>
      <c r="F1537" s="5">
        <v>79650563</v>
      </c>
      <c r="G1537" s="5">
        <v>13.224457791446136</v>
      </c>
      <c r="H1537" s="5">
        <v>967.76053411741839</v>
      </c>
      <c r="I1537" s="5">
        <v>127.98108335663167</v>
      </c>
    </row>
    <row r="1538" spans="1:9" x14ac:dyDescent="0.2">
      <c r="A1538" s="5" t="s">
        <v>85</v>
      </c>
      <c r="B1538" s="5" t="s">
        <v>64</v>
      </c>
      <c r="C1538" s="5" t="s">
        <v>51</v>
      </c>
      <c r="D1538" s="5">
        <v>621215</v>
      </c>
      <c r="E1538" s="5">
        <v>86965</v>
      </c>
      <c r="F1538" s="5">
        <v>83078916</v>
      </c>
      <c r="G1538" s="5">
        <v>13.999179028194748</v>
      </c>
      <c r="H1538" s="5">
        <v>955.31439084689248</v>
      </c>
      <c r="I1538" s="5">
        <v>133.73617185676457</v>
      </c>
    </row>
    <row r="1539" spans="1:9" x14ac:dyDescent="0.2">
      <c r="A1539" s="5" t="s">
        <v>85</v>
      </c>
      <c r="B1539" s="5" t="s">
        <v>64</v>
      </c>
      <c r="C1539" s="5" t="s">
        <v>52</v>
      </c>
      <c r="D1539" s="5">
        <v>619641</v>
      </c>
      <c r="E1539" s="5">
        <v>87806</v>
      </c>
      <c r="F1539" s="5">
        <v>82599303</v>
      </c>
      <c r="G1539" s="5">
        <v>14.170463219832129</v>
      </c>
      <c r="H1539" s="5">
        <v>940.70226408218116</v>
      </c>
      <c r="I1539" s="5">
        <v>133.30186833989359</v>
      </c>
    </row>
    <row r="1540" spans="1:9" x14ac:dyDescent="0.2">
      <c r="A1540" s="5" t="s">
        <v>85</v>
      </c>
      <c r="B1540" s="5" t="s">
        <v>64</v>
      </c>
      <c r="C1540" s="5" t="s">
        <v>53</v>
      </c>
      <c r="D1540" s="5">
        <v>618342</v>
      </c>
      <c r="E1540" s="5">
        <v>87439</v>
      </c>
      <c r="F1540" s="5">
        <v>81707877</v>
      </c>
      <c r="G1540" s="5">
        <v>14.140879966102901</v>
      </c>
      <c r="H1540" s="5">
        <v>934.45575772824486</v>
      </c>
      <c r="I1540" s="5">
        <v>132.14026703668844</v>
      </c>
    </row>
    <row r="1541" spans="1:9" x14ac:dyDescent="0.2">
      <c r="A1541" s="5" t="s">
        <v>85</v>
      </c>
      <c r="B1541" s="5" t="s">
        <v>64</v>
      </c>
      <c r="C1541" s="5" t="s">
        <v>54</v>
      </c>
      <c r="D1541" s="5">
        <v>617533</v>
      </c>
      <c r="E1541" s="5">
        <v>84841</v>
      </c>
      <c r="F1541" s="5">
        <v>77718169</v>
      </c>
      <c r="G1541" s="5">
        <v>13.73869898450771</v>
      </c>
      <c r="H1541" s="5">
        <v>916.04494289317665</v>
      </c>
      <c r="I1541" s="5">
        <v>125.8526572668991</v>
      </c>
    </row>
    <row r="1542" spans="1:9" x14ac:dyDescent="0.2">
      <c r="A1542" s="5" t="s">
        <v>85</v>
      </c>
      <c r="B1542" s="5" t="s">
        <v>64</v>
      </c>
      <c r="C1542" s="5" t="s">
        <v>55</v>
      </c>
      <c r="D1542" s="5">
        <v>616393</v>
      </c>
      <c r="E1542" s="5">
        <v>81210</v>
      </c>
      <c r="F1542" s="5">
        <v>73630984</v>
      </c>
      <c r="G1542" s="5">
        <v>13.175036056541849</v>
      </c>
      <c r="H1542" s="5">
        <v>906.67385789927346</v>
      </c>
      <c r="I1542" s="5">
        <v>119.45460769346829</v>
      </c>
    </row>
    <row r="1543" spans="1:9" x14ac:dyDescent="0.2">
      <c r="A1543" s="5" t="s">
        <v>85</v>
      </c>
      <c r="B1543" s="5" t="s">
        <v>64</v>
      </c>
      <c r="C1543" s="5" t="s">
        <v>56</v>
      </c>
      <c r="D1543" s="5">
        <v>616460</v>
      </c>
      <c r="E1543" s="5">
        <v>78710</v>
      </c>
      <c r="F1543" s="5">
        <v>69870216</v>
      </c>
      <c r="G1543" s="5">
        <v>12.768062810239106</v>
      </c>
      <c r="H1543" s="5">
        <v>887.69172913225771</v>
      </c>
      <c r="I1543" s="5">
        <v>113.34103753690427</v>
      </c>
    </row>
    <row r="1544" spans="1:9" x14ac:dyDescent="0.2">
      <c r="A1544" s="5" t="s">
        <v>85</v>
      </c>
      <c r="B1544" s="5" t="s">
        <v>64</v>
      </c>
      <c r="C1544" s="5" t="s">
        <v>57</v>
      </c>
      <c r="D1544" s="5">
        <v>616765</v>
      </c>
      <c r="E1544" s="5">
        <v>77111</v>
      </c>
      <c r="F1544" s="5">
        <v>66256040</v>
      </c>
      <c r="G1544" s="5">
        <v>12.502492845735409</v>
      </c>
      <c r="H1544" s="5">
        <v>859.22942252078178</v>
      </c>
      <c r="I1544" s="5">
        <v>107.42509707911441</v>
      </c>
    </row>
    <row r="1545" spans="1:9" x14ac:dyDescent="0.2">
      <c r="A1545" s="5" t="s">
        <v>85</v>
      </c>
      <c r="B1545" s="5" t="s">
        <v>64</v>
      </c>
      <c r="C1545" s="5" t="s">
        <v>58</v>
      </c>
      <c r="D1545" s="5">
        <v>614776</v>
      </c>
      <c r="E1545" s="5">
        <v>80403</v>
      </c>
      <c r="F1545" s="5">
        <v>67094178</v>
      </c>
      <c r="G1545" s="5">
        <v>13.078422059416763</v>
      </c>
      <c r="H1545" s="5">
        <v>834.47356441923807</v>
      </c>
      <c r="I1545" s="5">
        <v>109.13597472900699</v>
      </c>
    </row>
    <row r="1546" spans="1:9" x14ac:dyDescent="0.2">
      <c r="A1546" s="5" t="s">
        <v>85</v>
      </c>
      <c r="B1546" s="5" t="s">
        <v>64</v>
      </c>
      <c r="C1546" s="5" t="s">
        <v>59</v>
      </c>
      <c r="D1546" s="5">
        <v>611960</v>
      </c>
      <c r="E1546" s="5">
        <v>83494</v>
      </c>
      <c r="F1546" s="5">
        <v>67482852</v>
      </c>
      <c r="G1546" s="5">
        <v>13.64370220275835</v>
      </c>
      <c r="H1546" s="5">
        <v>808.2359450978513</v>
      </c>
      <c r="I1546" s="5">
        <v>110.27330544480031</v>
      </c>
    </row>
    <row r="1547" spans="1:9" x14ac:dyDescent="0.2">
      <c r="A1547" s="5" t="s">
        <v>85</v>
      </c>
      <c r="B1547" s="5" t="s">
        <v>64</v>
      </c>
      <c r="C1547" s="5" t="s">
        <v>60</v>
      </c>
      <c r="D1547" s="5">
        <v>607756</v>
      </c>
      <c r="E1547" s="5">
        <v>85082</v>
      </c>
      <c r="F1547" s="5">
        <v>68571663</v>
      </c>
      <c r="G1547" s="5">
        <v>13.999368167488269</v>
      </c>
      <c r="H1547" s="5">
        <v>805.94794433605227</v>
      </c>
      <c r="I1547" s="5">
        <v>112.82761996590737</v>
      </c>
    </row>
    <row r="1548" spans="1:9" x14ac:dyDescent="0.2">
      <c r="A1548" s="5" t="s">
        <v>85</v>
      </c>
      <c r="B1548" s="5" t="s">
        <v>64</v>
      </c>
      <c r="C1548" s="5" t="s">
        <v>61</v>
      </c>
      <c r="D1548" s="5">
        <v>602883</v>
      </c>
      <c r="E1548" s="5">
        <v>84635</v>
      </c>
      <c r="F1548" s="5">
        <v>68993013</v>
      </c>
      <c r="G1548" s="5">
        <v>14.038378922610191</v>
      </c>
      <c r="H1548" s="5">
        <v>815.18299757783427</v>
      </c>
      <c r="I1548" s="5">
        <v>114.43847811266863</v>
      </c>
    </row>
    <row r="1549" spans="1:9" x14ac:dyDescent="0.2">
      <c r="A1549" s="5" t="s">
        <v>85</v>
      </c>
      <c r="B1549" s="5" t="s">
        <v>64</v>
      </c>
      <c r="C1549" s="5" t="s">
        <v>62</v>
      </c>
      <c r="D1549" s="5">
        <v>598503</v>
      </c>
      <c r="E1549" s="5">
        <v>80487</v>
      </c>
      <c r="F1549" s="5">
        <v>66328139</v>
      </c>
      <c r="G1549" s="5">
        <v>13.448052891965453</v>
      </c>
      <c r="H1549" s="5">
        <v>824.08511933604188</v>
      </c>
      <c r="I1549" s="5">
        <v>110.82340272312754</v>
      </c>
    </row>
    <row r="1550" spans="1:9" x14ac:dyDescent="0.2">
      <c r="A1550" s="5" t="s">
        <v>85</v>
      </c>
      <c r="B1550" s="5" t="s">
        <v>65</v>
      </c>
      <c r="C1550" s="5" t="s">
        <v>45</v>
      </c>
      <c r="D1550" s="5">
        <v>649043</v>
      </c>
      <c r="E1550" s="5">
        <v>79961</v>
      </c>
      <c r="F1550" s="5">
        <v>179911175</v>
      </c>
      <c r="G1550" s="5">
        <v>12.319830889478817</v>
      </c>
      <c r="H1550" s="5">
        <v>2249.9865559460236</v>
      </c>
      <c r="I1550" s="5">
        <v>277.19453872855883</v>
      </c>
    </row>
    <row r="1551" spans="1:9" x14ac:dyDescent="0.2">
      <c r="A1551" s="5" t="s">
        <v>85</v>
      </c>
      <c r="B1551" s="5" t="s">
        <v>65</v>
      </c>
      <c r="C1551" s="5" t="s">
        <v>46</v>
      </c>
      <c r="D1551" s="5">
        <v>654278</v>
      </c>
      <c r="E1551" s="5">
        <v>75808</v>
      </c>
      <c r="F1551" s="5">
        <v>167830702</v>
      </c>
      <c r="G1551" s="5">
        <v>11.586512155383492</v>
      </c>
      <c r="H1551" s="5">
        <v>2213.891700084424</v>
      </c>
      <c r="I1551" s="5">
        <v>256.51283093730797</v>
      </c>
    </row>
    <row r="1552" spans="1:9" x14ac:dyDescent="0.2">
      <c r="A1552" s="5" t="s">
        <v>85</v>
      </c>
      <c r="B1552" s="5" t="s">
        <v>65</v>
      </c>
      <c r="C1552" s="5" t="s">
        <v>47</v>
      </c>
      <c r="D1552" s="5">
        <v>659218</v>
      </c>
      <c r="E1552" s="5">
        <v>76129</v>
      </c>
      <c r="F1552" s="5">
        <v>166421242</v>
      </c>
      <c r="G1552" s="5">
        <v>11.548380050302024</v>
      </c>
      <c r="H1552" s="5">
        <v>2186.0426644248578</v>
      </c>
      <c r="I1552" s="5">
        <v>252.45251494953112</v>
      </c>
    </row>
    <row r="1553" spans="1:9" x14ac:dyDescent="0.2">
      <c r="A1553" s="5" t="s">
        <v>85</v>
      </c>
      <c r="B1553" s="5" t="s">
        <v>65</v>
      </c>
      <c r="C1553" s="5" t="s">
        <v>48</v>
      </c>
      <c r="D1553" s="5">
        <v>664826</v>
      </c>
      <c r="E1553" s="5">
        <v>77593</v>
      </c>
      <c r="F1553" s="5">
        <v>173071459</v>
      </c>
      <c r="G1553" s="5">
        <v>11.671174111722467</v>
      </c>
      <c r="H1553" s="5">
        <v>2230.5035119147346</v>
      </c>
      <c r="I1553" s="5">
        <v>260.32594844365292</v>
      </c>
    </row>
    <row r="1554" spans="1:9" x14ac:dyDescent="0.2">
      <c r="A1554" s="5" t="s">
        <v>85</v>
      </c>
      <c r="B1554" s="5" t="s">
        <v>65</v>
      </c>
      <c r="C1554" s="5" t="s">
        <v>49</v>
      </c>
      <c r="D1554" s="5">
        <v>670373</v>
      </c>
      <c r="E1554" s="5">
        <v>80031</v>
      </c>
      <c r="F1554" s="5">
        <v>183986346</v>
      </c>
      <c r="G1554" s="5">
        <v>11.938279137137087</v>
      </c>
      <c r="H1554" s="5">
        <v>2298.9384863365444</v>
      </c>
      <c r="I1554" s="5">
        <v>274.45369368993084</v>
      </c>
    </row>
    <row r="1555" spans="1:9" x14ac:dyDescent="0.2">
      <c r="A1555" s="5" t="s">
        <v>85</v>
      </c>
      <c r="B1555" s="5" t="s">
        <v>65</v>
      </c>
      <c r="C1555" s="5" t="s">
        <v>50</v>
      </c>
      <c r="D1555" s="5">
        <v>671532</v>
      </c>
      <c r="E1555" s="5">
        <v>86331</v>
      </c>
      <c r="F1555" s="5">
        <v>200625674</v>
      </c>
      <c r="G1555" s="5">
        <v>12.85582816604421</v>
      </c>
      <c r="H1555" s="5">
        <v>2323.9123142324311</v>
      </c>
      <c r="I1555" s="5">
        <v>298.7581738472627</v>
      </c>
    </row>
    <row r="1556" spans="1:9" x14ac:dyDescent="0.2">
      <c r="A1556" s="5" t="s">
        <v>85</v>
      </c>
      <c r="B1556" s="5" t="s">
        <v>65</v>
      </c>
      <c r="C1556" s="5" t="s">
        <v>51</v>
      </c>
      <c r="D1556" s="5">
        <v>670273</v>
      </c>
      <c r="E1556" s="5">
        <v>86773</v>
      </c>
      <c r="F1556" s="5">
        <v>204742136</v>
      </c>
      <c r="G1556" s="5">
        <v>12.945919050894188</v>
      </c>
      <c r="H1556" s="5">
        <v>2359.5143189701867</v>
      </c>
      <c r="I1556" s="5">
        <v>305.46081372813762</v>
      </c>
    </row>
    <row r="1557" spans="1:9" x14ac:dyDescent="0.2">
      <c r="A1557" s="5" t="s">
        <v>85</v>
      </c>
      <c r="B1557" s="5" t="s">
        <v>65</v>
      </c>
      <c r="C1557" s="5" t="s">
        <v>52</v>
      </c>
      <c r="D1557" s="5">
        <v>665218</v>
      </c>
      <c r="E1557" s="5">
        <v>86047</v>
      </c>
      <c r="F1557" s="5">
        <v>202998115</v>
      </c>
      <c r="G1557" s="5">
        <v>12.935158098548145</v>
      </c>
      <c r="H1557" s="5">
        <v>2359.153892640069</v>
      </c>
      <c r="I1557" s="5">
        <v>305.16028580104569</v>
      </c>
    </row>
    <row r="1558" spans="1:9" x14ac:dyDescent="0.2">
      <c r="A1558" s="5" t="s">
        <v>85</v>
      </c>
      <c r="B1558" s="5" t="s">
        <v>65</v>
      </c>
      <c r="C1558" s="5" t="s">
        <v>53</v>
      </c>
      <c r="D1558" s="5">
        <v>658601</v>
      </c>
      <c r="E1558" s="5">
        <v>83905</v>
      </c>
      <c r="F1558" s="5">
        <v>195532913</v>
      </c>
      <c r="G1558" s="5">
        <v>12.739883480286244</v>
      </c>
      <c r="H1558" s="5">
        <v>2330.4083546868483</v>
      </c>
      <c r="I1558" s="5">
        <v>296.89130900196022</v>
      </c>
    </row>
    <row r="1559" spans="1:9" x14ac:dyDescent="0.2">
      <c r="A1559" s="5" t="s">
        <v>85</v>
      </c>
      <c r="B1559" s="5" t="s">
        <v>65</v>
      </c>
      <c r="C1559" s="5" t="s">
        <v>54</v>
      </c>
      <c r="D1559" s="5">
        <v>653901</v>
      </c>
      <c r="E1559" s="5">
        <v>79356</v>
      </c>
      <c r="F1559" s="5">
        <v>185356466</v>
      </c>
      <c r="G1559" s="5">
        <v>12.135782022049209</v>
      </c>
      <c r="H1559" s="5">
        <v>2335.7586823932656</v>
      </c>
      <c r="I1559" s="5">
        <v>283.46258225633545</v>
      </c>
    </row>
    <row r="1560" spans="1:9" x14ac:dyDescent="0.2">
      <c r="A1560" s="5" t="s">
        <v>85</v>
      </c>
      <c r="B1560" s="5" t="s">
        <v>65</v>
      </c>
      <c r="C1560" s="5" t="s">
        <v>55</v>
      </c>
      <c r="D1560" s="5">
        <v>649849</v>
      </c>
      <c r="E1560" s="5">
        <v>77006</v>
      </c>
      <c r="F1560" s="5">
        <v>179399664</v>
      </c>
      <c r="G1560" s="5">
        <v>11.849829729675664</v>
      </c>
      <c r="H1560" s="5">
        <v>2329.6842323974756</v>
      </c>
      <c r="I1560" s="5">
        <v>276.06361477820229</v>
      </c>
    </row>
    <row r="1561" spans="1:9" x14ac:dyDescent="0.2">
      <c r="A1561" s="5" t="s">
        <v>85</v>
      </c>
      <c r="B1561" s="5" t="s">
        <v>65</v>
      </c>
      <c r="C1561" s="5" t="s">
        <v>56</v>
      </c>
      <c r="D1561" s="5">
        <v>648648</v>
      </c>
      <c r="E1561" s="5">
        <v>74746</v>
      </c>
      <c r="F1561" s="5">
        <v>174590358</v>
      </c>
      <c r="G1561" s="5">
        <v>11.523353190019856</v>
      </c>
      <c r="H1561" s="5">
        <v>2335.781954887218</v>
      </c>
      <c r="I1561" s="5">
        <v>269.1604044104044</v>
      </c>
    </row>
    <row r="1562" spans="1:9" x14ac:dyDescent="0.2">
      <c r="A1562" s="5" t="s">
        <v>85</v>
      </c>
      <c r="B1562" s="5" t="s">
        <v>65</v>
      </c>
      <c r="C1562" s="5" t="s">
        <v>57</v>
      </c>
      <c r="D1562" s="5">
        <v>647413</v>
      </c>
      <c r="E1562" s="5">
        <v>72613</v>
      </c>
      <c r="F1562" s="5">
        <v>168970181</v>
      </c>
      <c r="G1562" s="5">
        <v>11.215869931558371</v>
      </c>
      <c r="H1562" s="5">
        <v>2326.9962816575544</v>
      </c>
      <c r="I1562" s="5">
        <v>260.99287626291101</v>
      </c>
    </row>
    <row r="1563" spans="1:9" x14ac:dyDescent="0.2">
      <c r="A1563" s="5" t="s">
        <v>85</v>
      </c>
      <c r="B1563" s="5" t="s">
        <v>65</v>
      </c>
      <c r="C1563" s="5" t="s">
        <v>58</v>
      </c>
      <c r="D1563" s="5">
        <v>643870</v>
      </c>
      <c r="E1563" s="5">
        <v>73936</v>
      </c>
      <c r="F1563" s="5">
        <v>171602225</v>
      </c>
      <c r="G1563" s="5">
        <v>11.483063351297622</v>
      </c>
      <c r="H1563" s="5">
        <v>2320.9563000432809</v>
      </c>
      <c r="I1563" s="5">
        <v>266.51688228990326</v>
      </c>
    </row>
    <row r="1564" spans="1:9" x14ac:dyDescent="0.2">
      <c r="A1564" s="5" t="s">
        <v>85</v>
      </c>
      <c r="B1564" s="5" t="s">
        <v>65</v>
      </c>
      <c r="C1564" s="5" t="s">
        <v>59</v>
      </c>
      <c r="D1564" s="5">
        <v>639474</v>
      </c>
      <c r="E1564" s="5">
        <v>72670</v>
      </c>
      <c r="F1564" s="5">
        <v>168731086</v>
      </c>
      <c r="G1564" s="5">
        <v>11.364027309945362</v>
      </c>
      <c r="H1564" s="5">
        <v>2321.880913719554</v>
      </c>
      <c r="I1564" s="5">
        <v>263.85918113949901</v>
      </c>
    </row>
    <row r="1565" spans="1:9" x14ac:dyDescent="0.2">
      <c r="A1565" s="5" t="s">
        <v>85</v>
      </c>
      <c r="B1565" s="5" t="s">
        <v>65</v>
      </c>
      <c r="C1565" s="5" t="s">
        <v>60</v>
      </c>
      <c r="D1565" s="5">
        <v>632953</v>
      </c>
      <c r="E1565" s="5">
        <v>71137</v>
      </c>
      <c r="F1565" s="5">
        <v>166343559</v>
      </c>
      <c r="G1565" s="5">
        <v>11.23890715424368</v>
      </c>
      <c r="H1565" s="5">
        <v>2338.3549910735624</v>
      </c>
      <c r="I1565" s="5">
        <v>262.80554638338077</v>
      </c>
    </row>
    <row r="1566" spans="1:9" x14ac:dyDescent="0.2">
      <c r="A1566" s="5" t="s">
        <v>85</v>
      </c>
      <c r="B1566" s="5" t="s">
        <v>65</v>
      </c>
      <c r="C1566" s="5" t="s">
        <v>61</v>
      </c>
      <c r="D1566" s="5">
        <v>625224</v>
      </c>
      <c r="E1566" s="5">
        <v>70071</v>
      </c>
      <c r="F1566" s="5">
        <v>166869111</v>
      </c>
      <c r="G1566" s="5">
        <v>11.207343288165521</v>
      </c>
      <c r="H1566" s="5">
        <v>2381.4289934495014</v>
      </c>
      <c r="I1566" s="5">
        <v>266.89492245979039</v>
      </c>
    </row>
    <row r="1567" spans="1:9" x14ac:dyDescent="0.2">
      <c r="A1567" s="5" t="s">
        <v>85</v>
      </c>
      <c r="B1567" s="5" t="s">
        <v>65</v>
      </c>
      <c r="C1567" s="5" t="s">
        <v>62</v>
      </c>
      <c r="D1567" s="5">
        <v>617932</v>
      </c>
      <c r="E1567" s="5">
        <v>64424</v>
      </c>
      <c r="F1567" s="5">
        <v>154672279</v>
      </c>
      <c r="G1567" s="5">
        <v>10.425742638348556</v>
      </c>
      <c r="H1567" s="5">
        <v>2400.8487364957159</v>
      </c>
      <c r="I1567" s="5">
        <v>250.30631040308643</v>
      </c>
    </row>
    <row r="1568" spans="1:9" x14ac:dyDescent="0.2">
      <c r="A1568" s="5" t="s">
        <v>86</v>
      </c>
      <c r="B1568" s="5" t="s">
        <v>44</v>
      </c>
      <c r="C1568" s="5" t="s">
        <v>45</v>
      </c>
      <c r="D1568" s="5">
        <v>2490251</v>
      </c>
      <c r="E1568" s="5">
        <v>38773</v>
      </c>
      <c r="F1568" s="5">
        <v>345354790</v>
      </c>
      <c r="G1568" s="5">
        <v>1.5569916446173497</v>
      </c>
      <c r="H1568" s="5">
        <v>8907.0948856162795</v>
      </c>
      <c r="I1568" s="5">
        <v>138.68272314718476</v>
      </c>
    </row>
    <row r="1569" spans="1:9" x14ac:dyDescent="0.2">
      <c r="A1569" s="5" t="s">
        <v>86</v>
      </c>
      <c r="B1569" s="5" t="s">
        <v>44</v>
      </c>
      <c r="C1569" s="5" t="s">
        <v>46</v>
      </c>
      <c r="D1569" s="5">
        <v>2500341</v>
      </c>
      <c r="E1569" s="5">
        <v>38469</v>
      </c>
      <c r="F1569" s="5">
        <v>344708138</v>
      </c>
      <c r="G1569" s="5">
        <v>1.5385501417606637</v>
      </c>
      <c r="H1569" s="5">
        <v>8960.6732173958244</v>
      </c>
      <c r="I1569" s="5">
        <v>137.86445048895331</v>
      </c>
    </row>
    <row r="1570" spans="1:9" x14ac:dyDescent="0.2">
      <c r="A1570" s="5" t="s">
        <v>86</v>
      </c>
      <c r="B1570" s="5" t="s">
        <v>44</v>
      </c>
      <c r="C1570" s="5" t="s">
        <v>47</v>
      </c>
      <c r="D1570" s="5">
        <v>2509165</v>
      </c>
      <c r="E1570" s="5">
        <v>38384</v>
      </c>
      <c r="F1570" s="5">
        <v>344419767</v>
      </c>
      <c r="G1570" s="5">
        <v>1.5297519294267217</v>
      </c>
      <c r="H1570" s="5">
        <v>8973.0035170904539</v>
      </c>
      <c r="I1570" s="5">
        <v>137.26469443021881</v>
      </c>
    </row>
    <row r="1571" spans="1:9" x14ac:dyDescent="0.2">
      <c r="A1571" s="5" t="s">
        <v>86</v>
      </c>
      <c r="B1571" s="5" t="s">
        <v>44</v>
      </c>
      <c r="C1571" s="5" t="s">
        <v>48</v>
      </c>
      <c r="D1571" s="5">
        <v>2520116</v>
      </c>
      <c r="E1571" s="5">
        <v>38685</v>
      </c>
      <c r="F1571" s="5">
        <v>340605854</v>
      </c>
      <c r="G1571" s="5">
        <v>1.5350483866615663</v>
      </c>
      <c r="H1571" s="5">
        <v>8804.5974925681785</v>
      </c>
      <c r="I1571" s="5">
        <v>135.15483176171256</v>
      </c>
    </row>
    <row r="1572" spans="1:9" x14ac:dyDescent="0.2">
      <c r="A1572" s="5" t="s">
        <v>86</v>
      </c>
      <c r="B1572" s="5" t="s">
        <v>44</v>
      </c>
      <c r="C1572" s="5" t="s">
        <v>49</v>
      </c>
      <c r="D1572" s="5">
        <v>2525835</v>
      </c>
      <c r="E1572" s="5">
        <v>38230</v>
      </c>
      <c r="F1572" s="5">
        <v>336846130</v>
      </c>
      <c r="G1572" s="5">
        <v>1.5135588825081607</v>
      </c>
      <c r="H1572" s="5">
        <v>8811.0418519487321</v>
      </c>
      <c r="I1572" s="5">
        <v>133.36030659168156</v>
      </c>
    </row>
    <row r="1573" spans="1:9" x14ac:dyDescent="0.2">
      <c r="A1573" s="5" t="s">
        <v>86</v>
      </c>
      <c r="B1573" s="5" t="s">
        <v>44</v>
      </c>
      <c r="C1573" s="5" t="s">
        <v>50</v>
      </c>
      <c r="D1573" s="5">
        <v>2528029</v>
      </c>
      <c r="E1573" s="5">
        <v>37748</v>
      </c>
      <c r="F1573" s="5">
        <v>337890121</v>
      </c>
      <c r="G1573" s="5">
        <v>1.4931790734995525</v>
      </c>
      <c r="H1573" s="5">
        <v>8951.2059181943423</v>
      </c>
      <c r="I1573" s="5">
        <v>133.65753359633138</v>
      </c>
    </row>
    <row r="1574" spans="1:9" x14ac:dyDescent="0.2">
      <c r="A1574" s="5" t="s">
        <v>86</v>
      </c>
      <c r="B1574" s="5" t="s">
        <v>44</v>
      </c>
      <c r="C1574" s="5" t="s">
        <v>51</v>
      </c>
      <c r="D1574" s="5">
        <v>2534117</v>
      </c>
      <c r="E1574" s="5">
        <v>37517</v>
      </c>
      <c r="F1574" s="5">
        <v>338479182</v>
      </c>
      <c r="G1574" s="5">
        <v>1.4804762368904041</v>
      </c>
      <c r="H1574" s="5">
        <v>9022.0215369032703</v>
      </c>
      <c r="I1574" s="5">
        <v>133.56888494098735</v>
      </c>
    </row>
    <row r="1575" spans="1:9" x14ac:dyDescent="0.2">
      <c r="A1575" s="5" t="s">
        <v>86</v>
      </c>
      <c r="B1575" s="5" t="s">
        <v>44</v>
      </c>
      <c r="C1575" s="5" t="s">
        <v>52</v>
      </c>
      <c r="D1575" s="5">
        <v>2541008</v>
      </c>
      <c r="E1575" s="5">
        <v>37033</v>
      </c>
      <c r="F1575" s="5">
        <v>345949264</v>
      </c>
      <c r="G1575" s="5">
        <v>1.4574137507634766</v>
      </c>
      <c r="H1575" s="5">
        <v>9341.6483676720763</v>
      </c>
      <c r="I1575" s="5">
        <v>136.1464678584247</v>
      </c>
    </row>
    <row r="1576" spans="1:9" x14ac:dyDescent="0.2">
      <c r="A1576" s="5" t="s">
        <v>86</v>
      </c>
      <c r="B1576" s="5" t="s">
        <v>44</v>
      </c>
      <c r="C1576" s="5" t="s">
        <v>53</v>
      </c>
      <c r="D1576" s="5">
        <v>2554285</v>
      </c>
      <c r="E1576" s="5">
        <v>36637</v>
      </c>
      <c r="F1576" s="5">
        <v>353590889</v>
      </c>
      <c r="G1576" s="5">
        <v>1.4343348530019164</v>
      </c>
      <c r="H1576" s="5">
        <v>9651.1965772306685</v>
      </c>
      <c r="I1576" s="5">
        <v>138.43047623894751</v>
      </c>
    </row>
    <row r="1577" spans="1:9" x14ac:dyDescent="0.2">
      <c r="A1577" s="5" t="s">
        <v>86</v>
      </c>
      <c r="B1577" s="5" t="s">
        <v>44</v>
      </c>
      <c r="C1577" s="5" t="s">
        <v>54</v>
      </c>
      <c r="D1577" s="5">
        <v>2567668</v>
      </c>
      <c r="E1577" s="5">
        <v>36232</v>
      </c>
      <c r="F1577" s="5">
        <v>353642762</v>
      </c>
      <c r="G1577" s="5">
        <v>1.4110858568942715</v>
      </c>
      <c r="H1577" s="5">
        <v>9760.5089975712071</v>
      </c>
      <c r="I1577" s="5">
        <v>137.72916202562013</v>
      </c>
    </row>
    <row r="1578" spans="1:9" x14ac:dyDescent="0.2">
      <c r="A1578" s="5" t="s">
        <v>86</v>
      </c>
      <c r="B1578" s="5" t="s">
        <v>44</v>
      </c>
      <c r="C1578" s="5" t="s">
        <v>55</v>
      </c>
      <c r="D1578" s="5">
        <v>2582213</v>
      </c>
      <c r="E1578" s="5">
        <v>35790</v>
      </c>
      <c r="F1578" s="5">
        <v>356466232</v>
      </c>
      <c r="G1578" s="5">
        <v>1.386020440606565</v>
      </c>
      <c r="H1578" s="5">
        <v>9959.9394244202285</v>
      </c>
      <c r="I1578" s="5">
        <v>138.04679629449623</v>
      </c>
    </row>
    <row r="1579" spans="1:9" x14ac:dyDescent="0.2">
      <c r="A1579" s="5" t="s">
        <v>86</v>
      </c>
      <c r="B1579" s="5" t="s">
        <v>44</v>
      </c>
      <c r="C1579" s="5" t="s">
        <v>56</v>
      </c>
      <c r="D1579" s="5">
        <v>2599524</v>
      </c>
      <c r="E1579" s="5">
        <v>35722</v>
      </c>
      <c r="F1579" s="5">
        <v>357408199</v>
      </c>
      <c r="G1579" s="5">
        <v>1.3741746565909758</v>
      </c>
      <c r="H1579" s="5">
        <v>10005.268434018251</v>
      </c>
      <c r="I1579" s="5">
        <v>137.48986314417562</v>
      </c>
    </row>
    <row r="1580" spans="1:9" x14ac:dyDescent="0.2">
      <c r="A1580" s="5" t="s">
        <v>86</v>
      </c>
      <c r="B1580" s="5" t="s">
        <v>44</v>
      </c>
      <c r="C1580" s="5" t="s">
        <v>57</v>
      </c>
      <c r="D1580" s="5">
        <v>2616765</v>
      </c>
      <c r="E1580" s="5">
        <v>35635</v>
      </c>
      <c r="F1580" s="5">
        <v>358243637</v>
      </c>
      <c r="G1580" s="5">
        <v>1.3617959579862922</v>
      </c>
      <c r="H1580" s="5">
        <v>10053.139806370142</v>
      </c>
      <c r="I1580" s="5">
        <v>136.90325153385956</v>
      </c>
    </row>
    <row r="1581" spans="1:9" x14ac:dyDescent="0.2">
      <c r="A1581" s="5" t="s">
        <v>86</v>
      </c>
      <c r="B1581" s="5" t="s">
        <v>44</v>
      </c>
      <c r="C1581" s="5" t="s">
        <v>58</v>
      </c>
      <c r="D1581" s="5">
        <v>2638413</v>
      </c>
      <c r="E1581" s="5">
        <v>36255</v>
      </c>
      <c r="F1581" s="5">
        <v>364502468</v>
      </c>
      <c r="G1581" s="5">
        <v>1.3741214889405109</v>
      </c>
      <c r="H1581" s="5">
        <v>10053.85375810233</v>
      </c>
      <c r="I1581" s="5">
        <v>138.15216495673724</v>
      </c>
    </row>
    <row r="1582" spans="1:9" x14ac:dyDescent="0.2">
      <c r="A1582" s="5" t="s">
        <v>86</v>
      </c>
      <c r="B1582" s="5" t="s">
        <v>44</v>
      </c>
      <c r="C1582" s="5" t="s">
        <v>59</v>
      </c>
      <c r="D1582" s="5">
        <v>2661381</v>
      </c>
      <c r="E1582" s="5">
        <v>36542</v>
      </c>
      <c r="F1582" s="5">
        <v>366252183</v>
      </c>
      <c r="G1582" s="5">
        <v>1.373046549892706</v>
      </c>
      <c r="H1582" s="5">
        <v>10022.773329319687</v>
      </c>
      <c r="I1582" s="5">
        <v>137.61734340179027</v>
      </c>
    </row>
    <row r="1583" spans="1:9" x14ac:dyDescent="0.2">
      <c r="A1583" s="5" t="s">
        <v>86</v>
      </c>
      <c r="B1583" s="5" t="s">
        <v>44</v>
      </c>
      <c r="C1583" s="5" t="s">
        <v>60</v>
      </c>
      <c r="D1583" s="5">
        <v>2689152</v>
      </c>
      <c r="E1583" s="5">
        <v>36628</v>
      </c>
      <c r="F1583" s="5">
        <v>369965942</v>
      </c>
      <c r="G1583" s="5">
        <v>1.3620650673520871</v>
      </c>
      <c r="H1583" s="5">
        <v>10100.631811728732</v>
      </c>
      <c r="I1583" s="5">
        <v>137.57717748940931</v>
      </c>
    </row>
    <row r="1584" spans="1:9" x14ac:dyDescent="0.2">
      <c r="A1584" s="5" t="s">
        <v>86</v>
      </c>
      <c r="B1584" s="5" t="s">
        <v>44</v>
      </c>
      <c r="C1584" s="5" t="s">
        <v>61</v>
      </c>
      <c r="D1584" s="5">
        <v>2717325</v>
      </c>
      <c r="E1584" s="5">
        <v>36483</v>
      </c>
      <c r="F1584" s="5">
        <v>364934299</v>
      </c>
      <c r="G1584" s="5">
        <v>1.3426071596146947</v>
      </c>
      <c r="H1584" s="5">
        <v>10002.858838363074</v>
      </c>
      <c r="I1584" s="5">
        <v>134.29909893001388</v>
      </c>
    </row>
    <row r="1585" spans="1:9" x14ac:dyDescent="0.2">
      <c r="A1585" s="5" t="s">
        <v>86</v>
      </c>
      <c r="B1585" s="5" t="s">
        <v>44</v>
      </c>
      <c r="C1585" s="5" t="s">
        <v>62</v>
      </c>
      <c r="D1585" s="5">
        <v>2744594</v>
      </c>
      <c r="E1585" s="5">
        <v>36471</v>
      </c>
      <c r="F1585" s="5">
        <v>363785829</v>
      </c>
      <c r="G1585" s="5">
        <v>1.3288304208199828</v>
      </c>
      <c r="H1585" s="5">
        <v>9974.6601135148467</v>
      </c>
      <c r="I1585" s="5">
        <v>132.54631796178234</v>
      </c>
    </row>
    <row r="1586" spans="1:9" x14ac:dyDescent="0.2">
      <c r="A1586" s="5" t="s">
        <v>86</v>
      </c>
      <c r="B1586" s="5" t="s">
        <v>63</v>
      </c>
      <c r="C1586" s="5" t="s">
        <v>45</v>
      </c>
      <c r="D1586" s="5">
        <v>2490251</v>
      </c>
      <c r="E1586" s="5">
        <v>120291</v>
      </c>
      <c r="F1586" s="5">
        <v>272913914</v>
      </c>
      <c r="G1586" s="5">
        <v>4.8304769278277568</v>
      </c>
      <c r="H1586" s="5">
        <v>2268.7808231704785</v>
      </c>
      <c r="I1586" s="5">
        <v>109.59293420623062</v>
      </c>
    </row>
    <row r="1587" spans="1:9" x14ac:dyDescent="0.2">
      <c r="A1587" s="5" t="s">
        <v>86</v>
      </c>
      <c r="B1587" s="5" t="s">
        <v>63</v>
      </c>
      <c r="C1587" s="5" t="s">
        <v>46</v>
      </c>
      <c r="D1587" s="5">
        <v>2500341</v>
      </c>
      <c r="E1587" s="5">
        <v>119877</v>
      </c>
      <c r="F1587" s="5">
        <v>274192854</v>
      </c>
      <c r="G1587" s="5">
        <v>4.7944260402881049</v>
      </c>
      <c r="H1587" s="5">
        <v>2287.2849170399659</v>
      </c>
      <c r="I1587" s="5">
        <v>109.66218367814631</v>
      </c>
    </row>
    <row r="1588" spans="1:9" x14ac:dyDescent="0.2">
      <c r="A1588" s="5" t="s">
        <v>86</v>
      </c>
      <c r="B1588" s="5" t="s">
        <v>63</v>
      </c>
      <c r="C1588" s="5" t="s">
        <v>47</v>
      </c>
      <c r="D1588" s="5">
        <v>2509165</v>
      </c>
      <c r="E1588" s="5">
        <v>119946</v>
      </c>
      <c r="F1588" s="5">
        <v>278175487</v>
      </c>
      <c r="G1588" s="5">
        <v>4.7803153638760305</v>
      </c>
      <c r="H1588" s="5">
        <v>2319.1726860420522</v>
      </c>
      <c r="I1588" s="5">
        <v>110.86376822568464</v>
      </c>
    </row>
    <row r="1589" spans="1:9" x14ac:dyDescent="0.2">
      <c r="A1589" s="5" t="s">
        <v>86</v>
      </c>
      <c r="B1589" s="5" t="s">
        <v>63</v>
      </c>
      <c r="C1589" s="5" t="s">
        <v>48</v>
      </c>
      <c r="D1589" s="5">
        <v>2520116</v>
      </c>
      <c r="E1589" s="5">
        <v>120719</v>
      </c>
      <c r="F1589" s="5">
        <v>283709610</v>
      </c>
      <c r="G1589" s="5">
        <v>4.7902160059298859</v>
      </c>
      <c r="H1589" s="5">
        <v>2350.1653426552571</v>
      </c>
      <c r="I1589" s="5">
        <v>112.57799640968908</v>
      </c>
    </row>
    <row r="1590" spans="1:9" x14ac:dyDescent="0.2">
      <c r="A1590" s="5" t="s">
        <v>86</v>
      </c>
      <c r="B1590" s="5" t="s">
        <v>63</v>
      </c>
      <c r="C1590" s="5" t="s">
        <v>49</v>
      </c>
      <c r="D1590" s="5">
        <v>2525835</v>
      </c>
      <c r="E1590" s="5">
        <v>119741</v>
      </c>
      <c r="F1590" s="5">
        <v>285145712</v>
      </c>
      <c r="G1590" s="5">
        <v>4.7406501216429415</v>
      </c>
      <c r="H1590" s="5">
        <v>2381.3540224317485</v>
      </c>
      <c r="I1590" s="5">
        <v>112.89166236115977</v>
      </c>
    </row>
    <row r="1591" spans="1:9" x14ac:dyDescent="0.2">
      <c r="A1591" s="5" t="s">
        <v>86</v>
      </c>
      <c r="B1591" s="5" t="s">
        <v>63</v>
      </c>
      <c r="C1591" s="5" t="s">
        <v>50</v>
      </c>
      <c r="D1591" s="5">
        <v>2528029</v>
      </c>
      <c r="E1591" s="5">
        <v>119174</v>
      </c>
      <c r="F1591" s="5">
        <v>286439343</v>
      </c>
      <c r="G1591" s="5">
        <v>4.7141073144334973</v>
      </c>
      <c r="H1591" s="5">
        <v>2403.5388843204055</v>
      </c>
      <c r="I1591" s="5">
        <v>113.30540235100152</v>
      </c>
    </row>
    <row r="1592" spans="1:9" x14ac:dyDescent="0.2">
      <c r="A1592" s="5" t="s">
        <v>86</v>
      </c>
      <c r="B1592" s="5" t="s">
        <v>63</v>
      </c>
      <c r="C1592" s="5" t="s">
        <v>51</v>
      </c>
      <c r="D1592" s="5">
        <v>2534117</v>
      </c>
      <c r="E1592" s="5">
        <v>120168</v>
      </c>
      <c r="F1592" s="5">
        <v>291074142</v>
      </c>
      <c r="G1592" s="5">
        <v>4.7420067818494571</v>
      </c>
      <c r="H1592" s="5">
        <v>2422.226732574396</v>
      </c>
      <c r="I1592" s="5">
        <v>114.86215593044835</v>
      </c>
    </row>
    <row r="1593" spans="1:9" x14ac:dyDescent="0.2">
      <c r="A1593" s="5" t="s">
        <v>86</v>
      </c>
      <c r="B1593" s="5" t="s">
        <v>63</v>
      </c>
      <c r="C1593" s="5" t="s">
        <v>52</v>
      </c>
      <c r="D1593" s="5">
        <v>2541008</v>
      </c>
      <c r="E1593" s="5">
        <v>120839</v>
      </c>
      <c r="F1593" s="5">
        <v>295356771</v>
      </c>
      <c r="G1593" s="5">
        <v>4.7555537015231755</v>
      </c>
      <c r="H1593" s="5">
        <v>2444.2172725692863</v>
      </c>
      <c r="I1593" s="5">
        <v>116.23606497893749</v>
      </c>
    </row>
    <row r="1594" spans="1:9" x14ac:dyDescent="0.2">
      <c r="A1594" s="5" t="s">
        <v>86</v>
      </c>
      <c r="B1594" s="5" t="s">
        <v>63</v>
      </c>
      <c r="C1594" s="5" t="s">
        <v>53</v>
      </c>
      <c r="D1594" s="5">
        <v>2554285</v>
      </c>
      <c r="E1594" s="5">
        <v>120635</v>
      </c>
      <c r="F1594" s="5">
        <v>296437121</v>
      </c>
      <c r="G1594" s="5">
        <v>4.7228480768590817</v>
      </c>
      <c r="H1594" s="5">
        <v>2457.3060969038838</v>
      </c>
      <c r="I1594" s="5">
        <v>116.05483374016603</v>
      </c>
    </row>
    <row r="1595" spans="1:9" x14ac:dyDescent="0.2">
      <c r="A1595" s="5" t="s">
        <v>86</v>
      </c>
      <c r="B1595" s="5" t="s">
        <v>63</v>
      </c>
      <c r="C1595" s="5" t="s">
        <v>54</v>
      </c>
      <c r="D1595" s="5">
        <v>2567668</v>
      </c>
      <c r="E1595" s="5">
        <v>120495</v>
      </c>
      <c r="F1595" s="5">
        <v>297503035</v>
      </c>
      <c r="G1595" s="5">
        <v>4.6927795961160088</v>
      </c>
      <c r="H1595" s="5">
        <v>2469.007303207602</v>
      </c>
      <c r="I1595" s="5">
        <v>115.86507095154046</v>
      </c>
    </row>
    <row r="1596" spans="1:9" x14ac:dyDescent="0.2">
      <c r="A1596" s="5" t="s">
        <v>86</v>
      </c>
      <c r="B1596" s="5" t="s">
        <v>63</v>
      </c>
      <c r="C1596" s="5" t="s">
        <v>55</v>
      </c>
      <c r="D1596" s="5">
        <v>2582213</v>
      </c>
      <c r="E1596" s="5">
        <v>120227</v>
      </c>
      <c r="F1596" s="5">
        <v>298013505</v>
      </c>
      <c r="G1596" s="5">
        <v>4.6559675750993428</v>
      </c>
      <c r="H1596" s="5">
        <v>2478.7568932103436</v>
      </c>
      <c r="I1596" s="5">
        <v>115.41011721341346</v>
      </c>
    </row>
    <row r="1597" spans="1:9" x14ac:dyDescent="0.2">
      <c r="A1597" s="5" t="s">
        <v>86</v>
      </c>
      <c r="B1597" s="5" t="s">
        <v>63</v>
      </c>
      <c r="C1597" s="5" t="s">
        <v>56</v>
      </c>
      <c r="D1597" s="5">
        <v>2599524</v>
      </c>
      <c r="E1597" s="5">
        <v>120011</v>
      </c>
      <c r="F1597" s="5">
        <v>298233988</v>
      </c>
      <c r="G1597" s="5">
        <v>4.6166528949146075</v>
      </c>
      <c r="H1597" s="5">
        <v>2485.0554365849798</v>
      </c>
      <c r="I1597" s="5">
        <v>114.72638375333331</v>
      </c>
    </row>
    <row r="1598" spans="1:9" x14ac:dyDescent="0.2">
      <c r="A1598" s="5" t="s">
        <v>86</v>
      </c>
      <c r="B1598" s="5" t="s">
        <v>63</v>
      </c>
      <c r="C1598" s="5" t="s">
        <v>57</v>
      </c>
      <c r="D1598" s="5">
        <v>2616765</v>
      </c>
      <c r="E1598" s="5">
        <v>119714</v>
      </c>
      <c r="F1598" s="5">
        <v>299978214</v>
      </c>
      <c r="G1598" s="5">
        <v>4.5748854023957062</v>
      </c>
      <c r="H1598" s="5">
        <v>2505.7905842257378</v>
      </c>
      <c r="I1598" s="5">
        <v>114.63704765234937</v>
      </c>
    </row>
    <row r="1599" spans="1:9" x14ac:dyDescent="0.2">
      <c r="A1599" s="5" t="s">
        <v>86</v>
      </c>
      <c r="B1599" s="5" t="s">
        <v>63</v>
      </c>
      <c r="C1599" s="5" t="s">
        <v>58</v>
      </c>
      <c r="D1599" s="5">
        <v>2638413</v>
      </c>
      <c r="E1599" s="5">
        <v>121154</v>
      </c>
      <c r="F1599" s="5">
        <v>306557372</v>
      </c>
      <c r="G1599" s="5">
        <v>4.5919270409901713</v>
      </c>
      <c r="H1599" s="5">
        <v>2530.311603413837</v>
      </c>
      <c r="I1599" s="5">
        <v>116.19006273847195</v>
      </c>
    </row>
    <row r="1600" spans="1:9" x14ac:dyDescent="0.2">
      <c r="A1600" s="5" t="s">
        <v>86</v>
      </c>
      <c r="B1600" s="5" t="s">
        <v>63</v>
      </c>
      <c r="C1600" s="5" t="s">
        <v>59</v>
      </c>
      <c r="D1600" s="5">
        <v>2661381</v>
      </c>
      <c r="E1600" s="5">
        <v>121512</v>
      </c>
      <c r="F1600" s="5">
        <v>310158291</v>
      </c>
      <c r="G1600" s="5">
        <v>4.5657498869947597</v>
      </c>
      <c r="H1600" s="5">
        <v>2552.4910379221806</v>
      </c>
      <c r="I1600" s="5">
        <v>116.54035667948332</v>
      </c>
    </row>
    <row r="1601" spans="1:9" x14ac:dyDescent="0.2">
      <c r="A1601" s="5" t="s">
        <v>86</v>
      </c>
      <c r="B1601" s="5" t="s">
        <v>63</v>
      </c>
      <c r="C1601" s="5" t="s">
        <v>60</v>
      </c>
      <c r="D1601" s="5">
        <v>2689152</v>
      </c>
      <c r="E1601" s="5">
        <v>122670</v>
      </c>
      <c r="F1601" s="5">
        <v>315729273</v>
      </c>
      <c r="G1601" s="5">
        <v>4.561661073825503</v>
      </c>
      <c r="H1601" s="5">
        <v>2573.8100024455857</v>
      </c>
      <c r="I1601" s="5">
        <v>117.40848899578752</v>
      </c>
    </row>
    <row r="1602" spans="1:9" x14ac:dyDescent="0.2">
      <c r="A1602" s="5" t="s">
        <v>86</v>
      </c>
      <c r="B1602" s="5" t="s">
        <v>63</v>
      </c>
      <c r="C1602" s="5" t="s">
        <v>61</v>
      </c>
      <c r="D1602" s="5">
        <v>2717325</v>
      </c>
      <c r="E1602" s="5">
        <v>123086</v>
      </c>
      <c r="F1602" s="5">
        <v>321340874</v>
      </c>
      <c r="G1602" s="5">
        <v>4.5296753240779077</v>
      </c>
      <c r="H1602" s="5">
        <v>2610.7020619729296</v>
      </c>
      <c r="I1602" s="5">
        <v>118.25632708638091</v>
      </c>
    </row>
    <row r="1603" spans="1:9" x14ac:dyDescent="0.2">
      <c r="A1603" s="5" t="s">
        <v>86</v>
      </c>
      <c r="B1603" s="5" t="s">
        <v>63</v>
      </c>
      <c r="C1603" s="5" t="s">
        <v>62</v>
      </c>
      <c r="D1603" s="5">
        <v>2744594</v>
      </c>
      <c r="E1603" s="5">
        <v>123414</v>
      </c>
      <c r="F1603" s="5">
        <v>326556957</v>
      </c>
      <c r="G1603" s="5">
        <v>4.4966213582045285</v>
      </c>
      <c r="H1603" s="5">
        <v>2646.0284651660268</v>
      </c>
      <c r="I1603" s="5">
        <v>118.98188110882703</v>
      </c>
    </row>
    <row r="1604" spans="1:9" x14ac:dyDescent="0.2">
      <c r="A1604" s="5" t="s">
        <v>86</v>
      </c>
      <c r="B1604" s="5" t="s">
        <v>73</v>
      </c>
      <c r="C1604" s="5" t="s">
        <v>45</v>
      </c>
      <c r="D1604" s="5">
        <v>2490251</v>
      </c>
      <c r="E1604" s="5">
        <v>49340</v>
      </c>
      <c r="F1604" s="5">
        <v>123349950</v>
      </c>
      <c r="G1604" s="5">
        <v>1.9813263803528238</v>
      </c>
      <c r="H1604" s="5">
        <v>2499.9989866234291</v>
      </c>
      <c r="I1604" s="5">
        <v>49.533139430523271</v>
      </c>
    </row>
    <row r="1605" spans="1:9" x14ac:dyDescent="0.2">
      <c r="A1605" s="5" t="s">
        <v>86</v>
      </c>
      <c r="B1605" s="5" t="s">
        <v>73</v>
      </c>
      <c r="C1605" s="5" t="s">
        <v>46</v>
      </c>
      <c r="D1605" s="5">
        <v>2500341</v>
      </c>
      <c r="E1605" s="5">
        <v>49960</v>
      </c>
      <c r="F1605" s="5">
        <v>124173784</v>
      </c>
      <c r="G1605" s="5">
        <v>1.9981274554150814</v>
      </c>
      <c r="H1605" s="5">
        <v>2485.4640512409928</v>
      </c>
      <c r="I1605" s="5">
        <v>49.662739602318247</v>
      </c>
    </row>
    <row r="1606" spans="1:9" x14ac:dyDescent="0.2">
      <c r="A1606" s="5" t="s">
        <v>86</v>
      </c>
      <c r="B1606" s="5" t="s">
        <v>73</v>
      </c>
      <c r="C1606" s="5" t="s">
        <v>47</v>
      </c>
      <c r="D1606" s="5">
        <v>2509165</v>
      </c>
      <c r="E1606" s="5">
        <v>50392</v>
      </c>
      <c r="F1606" s="5">
        <v>126002067</v>
      </c>
      <c r="G1606" s="5">
        <v>2.0083175080156148</v>
      </c>
      <c r="H1606" s="5">
        <v>2500.437906810605</v>
      </c>
      <c r="I1606" s="5">
        <v>50.216732259536542</v>
      </c>
    </row>
    <row r="1607" spans="1:9" x14ac:dyDescent="0.2">
      <c r="A1607" s="5" t="s">
        <v>86</v>
      </c>
      <c r="B1607" s="5" t="s">
        <v>73</v>
      </c>
      <c r="C1607" s="5" t="s">
        <v>48</v>
      </c>
      <c r="D1607" s="5">
        <v>2520116</v>
      </c>
      <c r="E1607" s="5">
        <v>52246</v>
      </c>
      <c r="F1607" s="5">
        <v>128083043</v>
      </c>
      <c r="G1607" s="5">
        <v>2.073158537146703</v>
      </c>
      <c r="H1607" s="5">
        <v>2451.5377827967691</v>
      </c>
      <c r="I1607" s="5">
        <v>50.82426483542821</v>
      </c>
    </row>
    <row r="1608" spans="1:9" x14ac:dyDescent="0.2">
      <c r="A1608" s="5" t="s">
        <v>86</v>
      </c>
      <c r="B1608" s="5" t="s">
        <v>73</v>
      </c>
      <c r="C1608" s="5" t="s">
        <v>49</v>
      </c>
      <c r="D1608" s="5">
        <v>2525835</v>
      </c>
      <c r="E1608" s="5">
        <v>52556</v>
      </c>
      <c r="F1608" s="5">
        <v>128996707</v>
      </c>
      <c r="G1608" s="5">
        <v>2.0807376570520244</v>
      </c>
      <c r="H1608" s="5">
        <v>2454.4620404901439</v>
      </c>
      <c r="I1608" s="5">
        <v>51.07091595452593</v>
      </c>
    </row>
    <row r="1609" spans="1:9" x14ac:dyDescent="0.2">
      <c r="A1609" s="5" t="s">
        <v>86</v>
      </c>
      <c r="B1609" s="5" t="s">
        <v>73</v>
      </c>
      <c r="C1609" s="5" t="s">
        <v>50</v>
      </c>
      <c r="D1609" s="5">
        <v>2528029</v>
      </c>
      <c r="E1609" s="5">
        <v>52279</v>
      </c>
      <c r="F1609" s="5">
        <v>127133069</v>
      </c>
      <c r="G1609" s="5">
        <v>2.0679746949105411</v>
      </c>
      <c r="H1609" s="5">
        <v>2431.8190669293599</v>
      </c>
      <c r="I1609" s="5">
        <v>50.289402930108793</v>
      </c>
    </row>
    <row r="1610" spans="1:9" x14ac:dyDescent="0.2">
      <c r="A1610" s="5" t="s">
        <v>86</v>
      </c>
      <c r="B1610" s="5" t="s">
        <v>73</v>
      </c>
      <c r="C1610" s="5" t="s">
        <v>51</v>
      </c>
      <c r="D1610" s="5">
        <v>2534117</v>
      </c>
      <c r="E1610" s="5">
        <v>52433</v>
      </c>
      <c r="F1610" s="5">
        <v>126190260</v>
      </c>
      <c r="G1610" s="5">
        <v>2.0690836295246036</v>
      </c>
      <c r="H1610" s="5">
        <v>2406.695401750806</v>
      </c>
      <c r="I1610" s="5">
        <v>49.796540570147314</v>
      </c>
    </row>
    <row r="1611" spans="1:9" x14ac:dyDescent="0.2">
      <c r="A1611" s="5" t="s">
        <v>86</v>
      </c>
      <c r="B1611" s="5" t="s">
        <v>73</v>
      </c>
      <c r="C1611" s="5" t="s">
        <v>52</v>
      </c>
      <c r="D1611" s="5">
        <v>2541008</v>
      </c>
      <c r="E1611" s="5">
        <v>51080</v>
      </c>
      <c r="F1611" s="5">
        <v>123989636</v>
      </c>
      <c r="G1611" s="5">
        <v>2.0102258631220367</v>
      </c>
      <c r="H1611" s="5">
        <v>2427.3617071260769</v>
      </c>
      <c r="I1611" s="5">
        <v>48.795452828168976</v>
      </c>
    </row>
    <row r="1612" spans="1:9" x14ac:dyDescent="0.2">
      <c r="A1612" s="5" t="s">
        <v>86</v>
      </c>
      <c r="B1612" s="5" t="s">
        <v>73</v>
      </c>
      <c r="C1612" s="5" t="s">
        <v>53</v>
      </c>
      <c r="D1612" s="5">
        <v>2554285</v>
      </c>
      <c r="E1612" s="5">
        <v>50647</v>
      </c>
      <c r="F1612" s="5">
        <v>123810815</v>
      </c>
      <c r="G1612" s="5">
        <v>1.9828249392687189</v>
      </c>
      <c r="H1612" s="5">
        <v>2444.5833909214762</v>
      </c>
      <c r="I1612" s="5">
        <v>48.471809136411949</v>
      </c>
    </row>
    <row r="1613" spans="1:9" x14ac:dyDescent="0.2">
      <c r="A1613" s="5" t="s">
        <v>86</v>
      </c>
      <c r="B1613" s="5" t="s">
        <v>73</v>
      </c>
      <c r="C1613" s="5" t="s">
        <v>54</v>
      </c>
      <c r="D1613" s="5">
        <v>2567668</v>
      </c>
      <c r="E1613" s="5">
        <v>51719</v>
      </c>
      <c r="F1613" s="5">
        <v>125971820</v>
      </c>
      <c r="G1613" s="5">
        <v>2.0142401587744212</v>
      </c>
      <c r="H1613" s="5">
        <v>2435.6971325818363</v>
      </c>
      <c r="I1613" s="5">
        <v>49.060789790580401</v>
      </c>
    </row>
    <row r="1614" spans="1:9" x14ac:dyDescent="0.2">
      <c r="A1614" s="5" t="s">
        <v>86</v>
      </c>
      <c r="B1614" s="5" t="s">
        <v>73</v>
      </c>
      <c r="C1614" s="5" t="s">
        <v>55</v>
      </c>
      <c r="D1614" s="5">
        <v>2582213</v>
      </c>
      <c r="E1614" s="5">
        <v>51265</v>
      </c>
      <c r="F1614" s="5">
        <v>125045318</v>
      </c>
      <c r="G1614" s="5">
        <v>1.9853125981474031</v>
      </c>
      <c r="H1614" s="5">
        <v>2439.1947332488053</v>
      </c>
      <c r="I1614" s="5">
        <v>48.425640332536474</v>
      </c>
    </row>
    <row r="1615" spans="1:9" x14ac:dyDescent="0.2">
      <c r="A1615" s="5" t="s">
        <v>86</v>
      </c>
      <c r="B1615" s="5" t="s">
        <v>73</v>
      </c>
      <c r="C1615" s="5" t="s">
        <v>56</v>
      </c>
      <c r="D1615" s="5">
        <v>2599524</v>
      </c>
      <c r="E1615" s="5">
        <v>52200</v>
      </c>
      <c r="F1615" s="5">
        <v>126484154</v>
      </c>
      <c r="G1615" s="5">
        <v>2.008059937126951</v>
      </c>
      <c r="H1615" s="5">
        <v>2423.0680842911879</v>
      </c>
      <c r="I1615" s="5">
        <v>48.656659449960841</v>
      </c>
    </row>
    <row r="1616" spans="1:9" x14ac:dyDescent="0.2">
      <c r="A1616" s="5" t="s">
        <v>86</v>
      </c>
      <c r="B1616" s="5" t="s">
        <v>73</v>
      </c>
      <c r="C1616" s="5" t="s">
        <v>57</v>
      </c>
      <c r="D1616" s="5">
        <v>2616765</v>
      </c>
      <c r="E1616" s="5">
        <v>51600</v>
      </c>
      <c r="F1616" s="5">
        <v>124980700</v>
      </c>
      <c r="G1616" s="5">
        <v>1.9719004190288389</v>
      </c>
      <c r="H1616" s="5">
        <v>2422.1065891472867</v>
      </c>
      <c r="I1616" s="5">
        <v>47.761529980720468</v>
      </c>
    </row>
    <row r="1617" spans="1:9" x14ac:dyDescent="0.2">
      <c r="A1617" s="5" t="s">
        <v>86</v>
      </c>
      <c r="B1617" s="5" t="s">
        <v>73</v>
      </c>
      <c r="C1617" s="5" t="s">
        <v>58</v>
      </c>
      <c r="D1617" s="5">
        <v>2638413</v>
      </c>
      <c r="E1617" s="5">
        <v>50021</v>
      </c>
      <c r="F1617" s="5">
        <v>123298697</v>
      </c>
      <c r="G1617" s="5">
        <v>1.8958745276042834</v>
      </c>
      <c r="H1617" s="5">
        <v>2464.9386657603804</v>
      </c>
      <c r="I1617" s="5">
        <v>46.732144285219938</v>
      </c>
    </row>
    <row r="1618" spans="1:9" x14ac:dyDescent="0.2">
      <c r="A1618" s="5" t="s">
        <v>86</v>
      </c>
      <c r="B1618" s="5" t="s">
        <v>73</v>
      </c>
      <c r="C1618" s="5" t="s">
        <v>59</v>
      </c>
      <c r="D1618" s="5">
        <v>2661381</v>
      </c>
      <c r="E1618" s="5">
        <v>49090</v>
      </c>
      <c r="F1618" s="5">
        <v>122738336</v>
      </c>
      <c r="G1618" s="5">
        <v>1.8445310911891233</v>
      </c>
      <c r="H1618" s="5">
        <v>2500.2716642900796</v>
      </c>
      <c r="I1618" s="5">
        <v>46.118288212022257</v>
      </c>
    </row>
    <row r="1619" spans="1:9" x14ac:dyDescent="0.2">
      <c r="A1619" s="5" t="s">
        <v>86</v>
      </c>
      <c r="B1619" s="5" t="s">
        <v>73</v>
      </c>
      <c r="C1619" s="5" t="s">
        <v>60</v>
      </c>
      <c r="D1619" s="5">
        <v>2689152</v>
      </c>
      <c r="E1619" s="5">
        <v>47882</v>
      </c>
      <c r="F1619" s="5">
        <v>122027776</v>
      </c>
      <c r="G1619" s="5">
        <v>1.7805613070588795</v>
      </c>
      <c r="H1619" s="5">
        <v>2548.5104214527378</v>
      </c>
      <c r="I1619" s="5">
        <v>45.377790470750632</v>
      </c>
    </row>
    <row r="1620" spans="1:9" x14ac:dyDescent="0.2">
      <c r="A1620" s="5" t="s">
        <v>86</v>
      </c>
      <c r="B1620" s="5" t="s">
        <v>73</v>
      </c>
      <c r="C1620" s="5" t="s">
        <v>61</v>
      </c>
      <c r="D1620" s="5">
        <v>2717325</v>
      </c>
      <c r="E1620" s="5">
        <v>46986</v>
      </c>
      <c r="F1620" s="5">
        <v>122163360</v>
      </c>
      <c r="G1620" s="5">
        <v>1.7291269906985731</v>
      </c>
      <c r="H1620" s="5">
        <v>2599.994892095518</v>
      </c>
      <c r="I1620" s="5">
        <v>44.957213436007841</v>
      </c>
    </row>
    <row r="1621" spans="1:9" x14ac:dyDescent="0.2">
      <c r="A1621" s="5" t="s">
        <v>86</v>
      </c>
      <c r="B1621" s="5" t="s">
        <v>73</v>
      </c>
      <c r="C1621" s="5" t="s">
        <v>62</v>
      </c>
      <c r="D1621" s="5">
        <v>2744594</v>
      </c>
      <c r="E1621" s="5">
        <v>47742</v>
      </c>
      <c r="F1621" s="5">
        <v>124198888</v>
      </c>
      <c r="G1621" s="5">
        <v>1.7394922527703551</v>
      </c>
      <c r="H1621" s="5">
        <v>2601.4596791085419</v>
      </c>
      <c r="I1621" s="5">
        <v>45.252189577037626</v>
      </c>
    </row>
    <row r="1622" spans="1:9" x14ac:dyDescent="0.2">
      <c r="A1622" s="5" t="s">
        <v>86</v>
      </c>
      <c r="B1622" s="5" t="s">
        <v>64</v>
      </c>
      <c r="C1622" s="5" t="s">
        <v>45</v>
      </c>
      <c r="D1622" s="5">
        <v>2143857</v>
      </c>
      <c r="E1622" s="5">
        <v>177613</v>
      </c>
      <c r="F1622" s="5">
        <v>156143688</v>
      </c>
      <c r="G1622" s="5">
        <v>8.2847410065130269</v>
      </c>
      <c r="H1622" s="5">
        <v>879.12308220682041</v>
      </c>
      <c r="I1622" s="5">
        <v>72.833070489309691</v>
      </c>
    </row>
    <row r="1623" spans="1:9" x14ac:dyDescent="0.2">
      <c r="A1623" s="5" t="s">
        <v>86</v>
      </c>
      <c r="B1623" s="5" t="s">
        <v>64</v>
      </c>
      <c r="C1623" s="5" t="s">
        <v>46</v>
      </c>
      <c r="D1623" s="5">
        <v>2155193</v>
      </c>
      <c r="E1623" s="5">
        <v>175086</v>
      </c>
      <c r="F1623" s="5">
        <v>158043980</v>
      </c>
      <c r="G1623" s="5">
        <v>8.1239128003849306</v>
      </c>
      <c r="H1623" s="5">
        <v>902.66486183932466</v>
      </c>
      <c r="I1623" s="5">
        <v>73.331706255541846</v>
      </c>
    </row>
    <row r="1624" spans="1:9" x14ac:dyDescent="0.2">
      <c r="A1624" s="5" t="s">
        <v>86</v>
      </c>
      <c r="B1624" s="5" t="s">
        <v>64</v>
      </c>
      <c r="C1624" s="5" t="s">
        <v>47</v>
      </c>
      <c r="D1624" s="5">
        <v>2165104</v>
      </c>
      <c r="E1624" s="5">
        <v>179504</v>
      </c>
      <c r="F1624" s="5">
        <v>176433430</v>
      </c>
      <c r="G1624" s="5">
        <v>8.2907795653234206</v>
      </c>
      <c r="H1624" s="5">
        <v>982.89414163472679</v>
      </c>
      <c r="I1624" s="5">
        <v>81.489586643412977</v>
      </c>
    </row>
    <row r="1625" spans="1:9" x14ac:dyDescent="0.2">
      <c r="A1625" s="5" t="s">
        <v>86</v>
      </c>
      <c r="B1625" s="5" t="s">
        <v>64</v>
      </c>
      <c r="C1625" s="5" t="s">
        <v>48</v>
      </c>
      <c r="D1625" s="5">
        <v>2175862</v>
      </c>
      <c r="E1625" s="5">
        <v>178959</v>
      </c>
      <c r="F1625" s="5">
        <v>181444484</v>
      </c>
      <c r="G1625" s="5">
        <v>8.2247403557762393</v>
      </c>
      <c r="H1625" s="5">
        <v>1013.8885666549321</v>
      </c>
      <c r="I1625" s="5">
        <v>83.389702104269475</v>
      </c>
    </row>
    <row r="1626" spans="1:9" x14ac:dyDescent="0.2">
      <c r="A1626" s="5" t="s">
        <v>86</v>
      </c>
      <c r="B1626" s="5" t="s">
        <v>64</v>
      </c>
      <c r="C1626" s="5" t="s">
        <v>49</v>
      </c>
      <c r="D1626" s="5">
        <v>2181645</v>
      </c>
      <c r="E1626" s="5">
        <v>174822</v>
      </c>
      <c r="F1626" s="5">
        <v>178334009</v>
      </c>
      <c r="G1626" s="5">
        <v>8.0133110565651151</v>
      </c>
      <c r="H1626" s="5">
        <v>1020.0890562972623</v>
      </c>
      <c r="I1626" s="5">
        <v>81.742909135079259</v>
      </c>
    </row>
    <row r="1627" spans="1:9" x14ac:dyDescent="0.2">
      <c r="A1627" s="5" t="s">
        <v>86</v>
      </c>
      <c r="B1627" s="5" t="s">
        <v>64</v>
      </c>
      <c r="C1627" s="5" t="s">
        <v>50</v>
      </c>
      <c r="D1627" s="5">
        <v>2183636</v>
      </c>
      <c r="E1627" s="5">
        <v>177020</v>
      </c>
      <c r="F1627" s="5">
        <v>181530002</v>
      </c>
      <c r="G1627" s="5">
        <v>8.1066624657223088</v>
      </c>
      <c r="H1627" s="5">
        <v>1025.4773584905661</v>
      </c>
      <c r="I1627" s="5">
        <v>83.131988115235316</v>
      </c>
    </row>
    <row r="1628" spans="1:9" x14ac:dyDescent="0.2">
      <c r="A1628" s="5" t="s">
        <v>86</v>
      </c>
      <c r="B1628" s="5" t="s">
        <v>64</v>
      </c>
      <c r="C1628" s="5" t="s">
        <v>51</v>
      </c>
      <c r="D1628" s="5">
        <v>2187846</v>
      </c>
      <c r="E1628" s="5">
        <v>170998</v>
      </c>
      <c r="F1628" s="5">
        <v>168642197</v>
      </c>
      <c r="G1628" s="5">
        <v>7.8158151899173891</v>
      </c>
      <c r="H1628" s="5">
        <v>986.22321313699581</v>
      </c>
      <c r="I1628" s="5">
        <v>77.081383698852662</v>
      </c>
    </row>
    <row r="1629" spans="1:9" x14ac:dyDescent="0.2">
      <c r="A1629" s="5" t="s">
        <v>86</v>
      </c>
      <c r="B1629" s="5" t="s">
        <v>64</v>
      </c>
      <c r="C1629" s="5" t="s">
        <v>52</v>
      </c>
      <c r="D1629" s="5">
        <v>2191515</v>
      </c>
      <c r="E1629" s="5">
        <v>172409</v>
      </c>
      <c r="F1629" s="5">
        <v>172233018</v>
      </c>
      <c r="G1629" s="5">
        <v>7.8671147585118062</v>
      </c>
      <c r="H1629" s="5">
        <v>998.97927602387347</v>
      </c>
      <c r="I1629" s="5">
        <v>78.590846058548536</v>
      </c>
    </row>
    <row r="1630" spans="1:9" x14ac:dyDescent="0.2">
      <c r="A1630" s="5" t="s">
        <v>86</v>
      </c>
      <c r="B1630" s="5" t="s">
        <v>64</v>
      </c>
      <c r="C1630" s="5" t="s">
        <v>53</v>
      </c>
      <c r="D1630" s="5">
        <v>2199561</v>
      </c>
      <c r="E1630" s="5">
        <v>177798</v>
      </c>
      <c r="F1630" s="5">
        <v>203029893</v>
      </c>
      <c r="G1630" s="5">
        <v>8.0833402665350036</v>
      </c>
      <c r="H1630" s="5">
        <v>1141.9132554921878</v>
      </c>
      <c r="I1630" s="5">
        <v>92.304733990100758</v>
      </c>
    </row>
    <row r="1631" spans="1:9" x14ac:dyDescent="0.2">
      <c r="A1631" s="5" t="s">
        <v>86</v>
      </c>
      <c r="B1631" s="5" t="s">
        <v>64</v>
      </c>
      <c r="C1631" s="5" t="s">
        <v>54</v>
      </c>
      <c r="D1631" s="5">
        <v>2207044</v>
      </c>
      <c r="E1631" s="5">
        <v>176072</v>
      </c>
      <c r="F1631" s="5">
        <v>200356779</v>
      </c>
      <c r="G1631" s="5">
        <v>7.9777294879485865</v>
      </c>
      <c r="H1631" s="5">
        <v>1137.925274887546</v>
      </c>
      <c r="I1631" s="5">
        <v>90.780600205523768</v>
      </c>
    </row>
    <row r="1632" spans="1:9" x14ac:dyDescent="0.2">
      <c r="A1632" s="5" t="s">
        <v>86</v>
      </c>
      <c r="B1632" s="5" t="s">
        <v>64</v>
      </c>
      <c r="C1632" s="5" t="s">
        <v>55</v>
      </c>
      <c r="D1632" s="5">
        <v>2214780</v>
      </c>
      <c r="E1632" s="5">
        <v>172540</v>
      </c>
      <c r="F1632" s="5">
        <v>194188978</v>
      </c>
      <c r="G1632" s="5">
        <v>7.7903900161641335</v>
      </c>
      <c r="H1632" s="5">
        <v>1125.4722267300335</v>
      </c>
      <c r="I1632" s="5">
        <v>87.678675985876694</v>
      </c>
    </row>
    <row r="1633" spans="1:9" x14ac:dyDescent="0.2">
      <c r="A1633" s="5" t="s">
        <v>86</v>
      </c>
      <c r="B1633" s="5" t="s">
        <v>64</v>
      </c>
      <c r="C1633" s="5" t="s">
        <v>56</v>
      </c>
      <c r="D1633" s="5">
        <v>2224282</v>
      </c>
      <c r="E1633" s="5">
        <v>166880</v>
      </c>
      <c r="F1633" s="5">
        <v>189138022</v>
      </c>
      <c r="G1633" s="5">
        <v>7.502645797610195</v>
      </c>
      <c r="H1633" s="5">
        <v>1133.3774089165868</v>
      </c>
      <c r="I1633" s="5">
        <v>85.033292541143609</v>
      </c>
    </row>
    <row r="1634" spans="1:9" x14ac:dyDescent="0.2">
      <c r="A1634" s="5" t="s">
        <v>86</v>
      </c>
      <c r="B1634" s="5" t="s">
        <v>64</v>
      </c>
      <c r="C1634" s="5" t="s">
        <v>57</v>
      </c>
      <c r="D1634" s="5">
        <v>2233655</v>
      </c>
      <c r="E1634" s="5">
        <v>157734</v>
      </c>
      <c r="F1634" s="5">
        <v>155314946</v>
      </c>
      <c r="G1634" s="5">
        <v>7.0616993224110258</v>
      </c>
      <c r="H1634" s="5">
        <v>984.66371232581434</v>
      </c>
      <c r="I1634" s="5">
        <v>69.533990701339292</v>
      </c>
    </row>
    <row r="1635" spans="1:9" x14ac:dyDescent="0.2">
      <c r="A1635" s="5" t="s">
        <v>86</v>
      </c>
      <c r="B1635" s="5" t="s">
        <v>64</v>
      </c>
      <c r="C1635" s="5" t="s">
        <v>58</v>
      </c>
      <c r="D1635" s="5">
        <v>2245439</v>
      </c>
      <c r="E1635" s="5">
        <v>153892</v>
      </c>
      <c r="F1635" s="5">
        <v>151935957</v>
      </c>
      <c r="G1635" s="5">
        <v>6.8535373261086141</v>
      </c>
      <c r="H1635" s="5">
        <v>987.28950822654849</v>
      </c>
      <c r="I1635" s="5">
        <v>67.664254963060671</v>
      </c>
    </row>
    <row r="1636" spans="1:9" x14ac:dyDescent="0.2">
      <c r="A1636" s="5" t="s">
        <v>86</v>
      </c>
      <c r="B1636" s="5" t="s">
        <v>64</v>
      </c>
      <c r="C1636" s="5" t="s">
        <v>59</v>
      </c>
      <c r="D1636" s="5">
        <v>2257734</v>
      </c>
      <c r="E1636" s="5">
        <v>152104</v>
      </c>
      <c r="F1636" s="5">
        <v>152412249</v>
      </c>
      <c r="G1636" s="5">
        <v>6.737020393013526</v>
      </c>
      <c r="H1636" s="5">
        <v>1002.0265673486562</v>
      </c>
      <c r="I1636" s="5">
        <v>67.50673418569238</v>
      </c>
    </row>
    <row r="1637" spans="1:9" x14ac:dyDescent="0.2">
      <c r="A1637" s="5" t="s">
        <v>86</v>
      </c>
      <c r="B1637" s="5" t="s">
        <v>64</v>
      </c>
      <c r="C1637" s="5" t="s">
        <v>60</v>
      </c>
      <c r="D1637" s="5">
        <v>2271709</v>
      </c>
      <c r="E1637" s="5">
        <v>149782</v>
      </c>
      <c r="F1637" s="5">
        <v>147662465</v>
      </c>
      <c r="G1637" s="5">
        <v>6.5933620899507819</v>
      </c>
      <c r="H1637" s="5">
        <v>985.84920083855206</v>
      </c>
      <c r="I1637" s="5">
        <v>65.000607472171836</v>
      </c>
    </row>
    <row r="1638" spans="1:9" x14ac:dyDescent="0.2">
      <c r="A1638" s="5" t="s">
        <v>86</v>
      </c>
      <c r="B1638" s="5" t="s">
        <v>64</v>
      </c>
      <c r="C1638" s="5" t="s">
        <v>61</v>
      </c>
      <c r="D1638" s="5">
        <v>2286446</v>
      </c>
      <c r="E1638" s="5">
        <v>148881</v>
      </c>
      <c r="F1638" s="5">
        <v>150441089</v>
      </c>
      <c r="G1638" s="5">
        <v>6.5114592691014792</v>
      </c>
      <c r="H1638" s="5">
        <v>1010.4787649196338</v>
      </c>
      <c r="I1638" s="5">
        <v>65.796913200661635</v>
      </c>
    </row>
    <row r="1639" spans="1:9" x14ac:dyDescent="0.2">
      <c r="A1639" s="5" t="s">
        <v>86</v>
      </c>
      <c r="B1639" s="5" t="s">
        <v>64</v>
      </c>
      <c r="C1639" s="5" t="s">
        <v>62</v>
      </c>
      <c r="D1639" s="5">
        <v>2300210</v>
      </c>
      <c r="E1639" s="5">
        <v>147494</v>
      </c>
      <c r="F1639" s="5">
        <v>152697683</v>
      </c>
      <c r="G1639" s="5">
        <v>6.4121971472169932</v>
      </c>
      <c r="H1639" s="5">
        <v>1035.2806419244173</v>
      </c>
      <c r="I1639" s="5">
        <v>66.384235787167256</v>
      </c>
    </row>
    <row r="1640" spans="1:9" x14ac:dyDescent="0.2">
      <c r="A1640" s="5" t="s">
        <v>86</v>
      </c>
      <c r="B1640" s="5" t="s">
        <v>65</v>
      </c>
      <c r="C1640" s="5" t="s">
        <v>45</v>
      </c>
      <c r="D1640" s="5">
        <v>2026810</v>
      </c>
      <c r="E1640" s="5">
        <v>171466</v>
      </c>
      <c r="F1640" s="5">
        <v>386982187</v>
      </c>
      <c r="G1640" s="5">
        <v>8.4598951061026941</v>
      </c>
      <c r="H1640" s="5">
        <v>2256.9033336054963</v>
      </c>
      <c r="I1640" s="5">
        <v>190.93165466915991</v>
      </c>
    </row>
    <row r="1641" spans="1:9" x14ac:dyDescent="0.2">
      <c r="A1641" s="5" t="s">
        <v>86</v>
      </c>
      <c r="B1641" s="5" t="s">
        <v>65</v>
      </c>
      <c r="C1641" s="5" t="s">
        <v>46</v>
      </c>
      <c r="D1641" s="5">
        <v>2039140</v>
      </c>
      <c r="E1641" s="5">
        <v>169169</v>
      </c>
      <c r="F1641" s="5">
        <v>384836748</v>
      </c>
      <c r="G1641" s="5">
        <v>8.2960954127720505</v>
      </c>
      <c r="H1641" s="5">
        <v>2274.865655055004</v>
      </c>
      <c r="I1641" s="5">
        <v>188.72502525574507</v>
      </c>
    </row>
    <row r="1642" spans="1:9" x14ac:dyDescent="0.2">
      <c r="A1642" s="5" t="s">
        <v>86</v>
      </c>
      <c r="B1642" s="5" t="s">
        <v>65</v>
      </c>
      <c r="C1642" s="5" t="s">
        <v>47</v>
      </c>
      <c r="D1642" s="5">
        <v>2049667</v>
      </c>
      <c r="E1642" s="5">
        <v>169273</v>
      </c>
      <c r="F1642" s="5">
        <v>389780892</v>
      </c>
      <c r="G1642" s="5">
        <v>8.2585610247908559</v>
      </c>
      <c r="H1642" s="5">
        <v>2302.6761030997263</v>
      </c>
      <c r="I1642" s="5">
        <v>190.16791117776694</v>
      </c>
    </row>
    <row r="1643" spans="1:9" x14ac:dyDescent="0.2">
      <c r="A1643" s="5" t="s">
        <v>86</v>
      </c>
      <c r="B1643" s="5" t="s">
        <v>65</v>
      </c>
      <c r="C1643" s="5" t="s">
        <v>48</v>
      </c>
      <c r="D1643" s="5">
        <v>2061048</v>
      </c>
      <c r="E1643" s="5">
        <v>170398</v>
      </c>
      <c r="F1643" s="5">
        <v>397456347</v>
      </c>
      <c r="G1643" s="5">
        <v>8.2675415613804244</v>
      </c>
      <c r="H1643" s="5">
        <v>2332.5176762638057</v>
      </c>
      <c r="I1643" s="5">
        <v>192.84186831165505</v>
      </c>
    </row>
    <row r="1644" spans="1:9" x14ac:dyDescent="0.2">
      <c r="A1644" s="5" t="s">
        <v>86</v>
      </c>
      <c r="B1644" s="5" t="s">
        <v>65</v>
      </c>
      <c r="C1644" s="5" t="s">
        <v>49</v>
      </c>
      <c r="D1644" s="5">
        <v>2067591</v>
      </c>
      <c r="E1644" s="5">
        <v>168110</v>
      </c>
      <c r="F1644" s="5">
        <v>402308533</v>
      </c>
      <c r="G1644" s="5">
        <v>8.1307183093755011</v>
      </c>
      <c r="H1644" s="5">
        <v>2393.1267205996073</v>
      </c>
      <c r="I1644" s="5">
        <v>194.57839243834974</v>
      </c>
    </row>
    <row r="1645" spans="1:9" x14ac:dyDescent="0.2">
      <c r="A1645" s="5" t="s">
        <v>86</v>
      </c>
      <c r="B1645" s="5" t="s">
        <v>65</v>
      </c>
      <c r="C1645" s="5" t="s">
        <v>50</v>
      </c>
      <c r="D1645" s="5">
        <v>2070181</v>
      </c>
      <c r="E1645" s="5">
        <v>170972</v>
      </c>
      <c r="F1645" s="5">
        <v>417058881</v>
      </c>
      <c r="G1645" s="5">
        <v>8.258794762390341</v>
      </c>
      <c r="H1645" s="5">
        <v>2439.3402486956929</v>
      </c>
      <c r="I1645" s="5">
        <v>201.46010469615942</v>
      </c>
    </row>
    <row r="1646" spans="1:9" x14ac:dyDescent="0.2">
      <c r="A1646" s="5" t="s">
        <v>86</v>
      </c>
      <c r="B1646" s="5" t="s">
        <v>65</v>
      </c>
      <c r="C1646" s="5" t="s">
        <v>51</v>
      </c>
      <c r="D1646" s="5">
        <v>2074448</v>
      </c>
      <c r="E1646" s="5">
        <v>171557</v>
      </c>
      <c r="F1646" s="5">
        <v>425764502</v>
      </c>
      <c r="G1646" s="5">
        <v>8.2700072501214787</v>
      </c>
      <c r="H1646" s="5">
        <v>2481.7670045524228</v>
      </c>
      <c r="I1646" s="5">
        <v>205.242311207608</v>
      </c>
    </row>
    <row r="1647" spans="1:9" x14ac:dyDescent="0.2">
      <c r="A1647" s="5" t="s">
        <v>86</v>
      </c>
      <c r="B1647" s="5" t="s">
        <v>65</v>
      </c>
      <c r="C1647" s="5" t="s">
        <v>52</v>
      </c>
      <c r="D1647" s="5">
        <v>2078151</v>
      </c>
      <c r="E1647" s="5">
        <v>171311</v>
      </c>
      <c r="F1647" s="5">
        <v>425481936</v>
      </c>
      <c r="G1647" s="5">
        <v>8.243433706212878</v>
      </c>
      <c r="H1647" s="5">
        <v>2483.68135146021</v>
      </c>
      <c r="I1647" s="5">
        <v>204.74062568119447</v>
      </c>
    </row>
    <row r="1648" spans="1:9" x14ac:dyDescent="0.2">
      <c r="A1648" s="5" t="s">
        <v>86</v>
      </c>
      <c r="B1648" s="5" t="s">
        <v>65</v>
      </c>
      <c r="C1648" s="5" t="s">
        <v>53</v>
      </c>
      <c r="D1648" s="5">
        <v>2085836</v>
      </c>
      <c r="E1648" s="5">
        <v>171000</v>
      </c>
      <c r="F1648" s="5">
        <v>424976041</v>
      </c>
      <c r="G1648" s="5">
        <v>8.1981517242966362</v>
      </c>
      <c r="H1648" s="5">
        <v>2485.2400058479534</v>
      </c>
      <c r="I1648" s="5">
        <v>203.7437463923338</v>
      </c>
    </row>
    <row r="1649" spans="1:9" x14ac:dyDescent="0.2">
      <c r="A1649" s="5" t="s">
        <v>86</v>
      </c>
      <c r="B1649" s="5" t="s">
        <v>65</v>
      </c>
      <c r="C1649" s="5" t="s">
        <v>54</v>
      </c>
      <c r="D1649" s="5">
        <v>2093090</v>
      </c>
      <c r="E1649" s="5">
        <v>167194</v>
      </c>
      <c r="F1649" s="5">
        <v>416355740</v>
      </c>
      <c r="G1649" s="5">
        <v>7.9879030524248842</v>
      </c>
      <c r="H1649" s="5">
        <v>2490.2552723183844</v>
      </c>
      <c r="I1649" s="5">
        <v>198.91917691069185</v>
      </c>
    </row>
    <row r="1650" spans="1:9" x14ac:dyDescent="0.2">
      <c r="A1650" s="5" t="s">
        <v>86</v>
      </c>
      <c r="B1650" s="5" t="s">
        <v>65</v>
      </c>
      <c r="C1650" s="5" t="s">
        <v>55</v>
      </c>
      <c r="D1650" s="5">
        <v>2100981</v>
      </c>
      <c r="E1650" s="5">
        <v>164404</v>
      </c>
      <c r="F1650" s="5">
        <v>411601959</v>
      </c>
      <c r="G1650" s="5">
        <v>7.8251064621717186</v>
      </c>
      <c r="H1650" s="5">
        <v>2503.600636237561</v>
      </c>
      <c r="I1650" s="5">
        <v>195.90941517319766</v>
      </c>
    </row>
    <row r="1651" spans="1:9" x14ac:dyDescent="0.2">
      <c r="A1651" s="5" t="s">
        <v>86</v>
      </c>
      <c r="B1651" s="5" t="s">
        <v>65</v>
      </c>
      <c r="C1651" s="5" t="s">
        <v>56</v>
      </c>
      <c r="D1651" s="5">
        <v>2110385</v>
      </c>
      <c r="E1651" s="5">
        <v>162262</v>
      </c>
      <c r="F1651" s="5">
        <v>412702304</v>
      </c>
      <c r="G1651" s="5">
        <v>7.6887392584765335</v>
      </c>
      <c r="H1651" s="5">
        <v>2543.4316352565602</v>
      </c>
      <c r="I1651" s="5">
        <v>195.55782665248285</v>
      </c>
    </row>
    <row r="1652" spans="1:9" x14ac:dyDescent="0.2">
      <c r="A1652" s="5" t="s">
        <v>86</v>
      </c>
      <c r="B1652" s="5" t="s">
        <v>65</v>
      </c>
      <c r="C1652" s="5" t="s">
        <v>57</v>
      </c>
      <c r="D1652" s="5">
        <v>2119690</v>
      </c>
      <c r="E1652" s="5">
        <v>160645</v>
      </c>
      <c r="F1652" s="5">
        <v>411859889</v>
      </c>
      <c r="G1652" s="5">
        <v>7.5787025461270279</v>
      </c>
      <c r="H1652" s="5">
        <v>2563.7890317158954</v>
      </c>
      <c r="I1652" s="5">
        <v>194.30194462397805</v>
      </c>
    </row>
    <row r="1653" spans="1:9" x14ac:dyDescent="0.2">
      <c r="A1653" s="5" t="s">
        <v>86</v>
      </c>
      <c r="B1653" s="5" t="s">
        <v>65</v>
      </c>
      <c r="C1653" s="5" t="s">
        <v>58</v>
      </c>
      <c r="D1653" s="5">
        <v>2131436</v>
      </c>
      <c r="E1653" s="5">
        <v>160703</v>
      </c>
      <c r="F1653" s="5">
        <v>419299296</v>
      </c>
      <c r="G1653" s="5">
        <v>7.5396587089642848</v>
      </c>
      <c r="H1653" s="5">
        <v>2609.156618109183</v>
      </c>
      <c r="I1653" s="5">
        <v>196.72150418778702</v>
      </c>
    </row>
    <row r="1654" spans="1:9" x14ac:dyDescent="0.2">
      <c r="A1654" s="5" t="s">
        <v>86</v>
      </c>
      <c r="B1654" s="5" t="s">
        <v>65</v>
      </c>
      <c r="C1654" s="5" t="s">
        <v>59</v>
      </c>
      <c r="D1654" s="5">
        <v>2143612</v>
      </c>
      <c r="E1654" s="5">
        <v>160629</v>
      </c>
      <c r="F1654" s="5">
        <v>419333345</v>
      </c>
      <c r="G1654" s="5">
        <v>7.49338033188842</v>
      </c>
      <c r="H1654" s="5">
        <v>2610.5706005764837</v>
      </c>
      <c r="I1654" s="5">
        <v>195.61998393365963</v>
      </c>
    </row>
    <row r="1655" spans="1:9" x14ac:dyDescent="0.2">
      <c r="A1655" s="5" t="s">
        <v>86</v>
      </c>
      <c r="B1655" s="5" t="s">
        <v>65</v>
      </c>
      <c r="C1655" s="5" t="s">
        <v>60</v>
      </c>
      <c r="D1655" s="5">
        <v>2157624</v>
      </c>
      <c r="E1655" s="5">
        <v>161939</v>
      </c>
      <c r="F1655" s="5">
        <v>423778297</v>
      </c>
      <c r="G1655" s="5">
        <v>7.5054319010170447</v>
      </c>
      <c r="H1655" s="5">
        <v>2616.9007898035679</v>
      </c>
      <c r="I1655" s="5">
        <v>196.40970669588398</v>
      </c>
    </row>
    <row r="1656" spans="1:9" x14ac:dyDescent="0.2">
      <c r="A1656" s="5" t="s">
        <v>86</v>
      </c>
      <c r="B1656" s="5" t="s">
        <v>65</v>
      </c>
      <c r="C1656" s="5" t="s">
        <v>61</v>
      </c>
      <c r="D1656" s="5">
        <v>2172526</v>
      </c>
      <c r="E1656" s="5">
        <v>162097</v>
      </c>
      <c r="F1656" s="5">
        <v>429495784</v>
      </c>
      <c r="G1656" s="5">
        <v>7.4612225584411878</v>
      </c>
      <c r="H1656" s="5">
        <v>2649.6220411235249</v>
      </c>
      <c r="I1656" s="5">
        <v>197.69419744573827</v>
      </c>
    </row>
    <row r="1657" spans="1:9" x14ac:dyDescent="0.2">
      <c r="A1657" s="5" t="s">
        <v>86</v>
      </c>
      <c r="B1657" s="5" t="s">
        <v>65</v>
      </c>
      <c r="C1657" s="5" t="s">
        <v>62</v>
      </c>
      <c r="D1657" s="5">
        <v>2186406</v>
      </c>
      <c r="E1657" s="5">
        <v>159897</v>
      </c>
      <c r="F1657" s="5">
        <v>423937527</v>
      </c>
      <c r="G1657" s="5">
        <v>7.3132345959533591</v>
      </c>
      <c r="H1657" s="5">
        <v>2651.3163286365598</v>
      </c>
      <c r="I1657" s="5">
        <v>193.89698299400933</v>
      </c>
    </row>
    <row r="1658" spans="1:9" x14ac:dyDescent="0.2">
      <c r="A1658" s="5" t="s">
        <v>87</v>
      </c>
      <c r="B1658" s="5" t="s">
        <v>44</v>
      </c>
      <c r="C1658" s="5" t="s">
        <v>45</v>
      </c>
      <c r="D1658" s="5">
        <v>482252</v>
      </c>
      <c r="E1658" s="5">
        <v>3739</v>
      </c>
      <c r="F1658" s="5">
        <v>38495092</v>
      </c>
      <c r="G1658" s="5">
        <v>0.77532078664266812</v>
      </c>
      <c r="H1658" s="5">
        <v>10295.55817063386</v>
      </c>
      <c r="I1658" s="5">
        <v>79.823602597811927</v>
      </c>
    </row>
    <row r="1659" spans="1:9" x14ac:dyDescent="0.2">
      <c r="A1659" s="5" t="s">
        <v>87</v>
      </c>
      <c r="B1659" s="5" t="s">
        <v>44</v>
      </c>
      <c r="C1659" s="5" t="s">
        <v>46</v>
      </c>
      <c r="D1659" s="5">
        <v>488345</v>
      </c>
      <c r="E1659" s="5">
        <v>3705</v>
      </c>
      <c r="F1659" s="5">
        <v>38222829</v>
      </c>
      <c r="G1659" s="5">
        <v>0.75868494609343806</v>
      </c>
      <c r="H1659" s="5">
        <v>10316.553036437246</v>
      </c>
      <c r="I1659" s="5">
        <v>78.270134843194867</v>
      </c>
    </row>
    <row r="1660" spans="1:9" x14ac:dyDescent="0.2">
      <c r="A1660" s="5" t="s">
        <v>87</v>
      </c>
      <c r="B1660" s="5" t="s">
        <v>44</v>
      </c>
      <c r="C1660" s="5" t="s">
        <v>47</v>
      </c>
      <c r="D1660" s="5">
        <v>495366</v>
      </c>
      <c r="E1660" s="5">
        <v>3699</v>
      </c>
      <c r="F1660" s="5">
        <v>40828736</v>
      </c>
      <c r="G1660" s="5">
        <v>0.74672060658180017</v>
      </c>
      <c r="H1660" s="5">
        <v>11037.776696404433</v>
      </c>
      <c r="I1660" s="5">
        <v>82.421353100535768</v>
      </c>
    </row>
    <row r="1661" spans="1:9" x14ac:dyDescent="0.2">
      <c r="A1661" s="5" t="s">
        <v>87</v>
      </c>
      <c r="B1661" s="5" t="s">
        <v>44</v>
      </c>
      <c r="C1661" s="5" t="s">
        <v>48</v>
      </c>
      <c r="D1661" s="5">
        <v>501764</v>
      </c>
      <c r="E1661" s="5">
        <v>3728</v>
      </c>
      <c r="F1661" s="5">
        <v>42107864</v>
      </c>
      <c r="G1661" s="5">
        <v>0.74297877089627795</v>
      </c>
      <c r="H1661" s="5">
        <v>11295.027896995709</v>
      </c>
      <c r="I1661" s="5">
        <v>83.919659441490424</v>
      </c>
    </row>
    <row r="1662" spans="1:9" x14ac:dyDescent="0.2">
      <c r="A1662" s="5" t="s">
        <v>87</v>
      </c>
      <c r="B1662" s="5" t="s">
        <v>44</v>
      </c>
      <c r="C1662" s="5" t="s">
        <v>49</v>
      </c>
      <c r="D1662" s="5">
        <v>506983</v>
      </c>
      <c r="E1662" s="5">
        <v>3825</v>
      </c>
      <c r="F1662" s="5">
        <v>43696809</v>
      </c>
      <c r="G1662" s="5">
        <v>0.7544631674040353</v>
      </c>
      <c r="H1662" s="5">
        <v>11424.002352941177</v>
      </c>
      <c r="I1662" s="5">
        <v>86.189889996311507</v>
      </c>
    </row>
    <row r="1663" spans="1:9" x14ac:dyDescent="0.2">
      <c r="A1663" s="5" t="s">
        <v>87</v>
      </c>
      <c r="B1663" s="5" t="s">
        <v>44</v>
      </c>
      <c r="C1663" s="5" t="s">
        <v>50</v>
      </c>
      <c r="D1663" s="5">
        <v>509601</v>
      </c>
      <c r="E1663" s="5">
        <v>3934</v>
      </c>
      <c r="F1663" s="5">
        <v>44983293</v>
      </c>
      <c r="G1663" s="5">
        <v>0.77197650711046484</v>
      </c>
      <c r="H1663" s="5">
        <v>11434.492374173869</v>
      </c>
      <c r="I1663" s="5">
        <v>88.271594835959903</v>
      </c>
    </row>
    <row r="1664" spans="1:9" x14ac:dyDescent="0.2">
      <c r="A1664" s="5" t="s">
        <v>87</v>
      </c>
      <c r="B1664" s="5" t="s">
        <v>44</v>
      </c>
      <c r="C1664" s="5" t="s">
        <v>51</v>
      </c>
      <c r="D1664" s="5">
        <v>510605</v>
      </c>
      <c r="E1664" s="5">
        <v>4037</v>
      </c>
      <c r="F1664" s="5">
        <v>44530287</v>
      </c>
      <c r="G1664" s="5">
        <v>0.79063072237835508</v>
      </c>
      <c r="H1664" s="5">
        <v>11030.539261828089</v>
      </c>
      <c r="I1664" s="5">
        <v>87.2108322480195</v>
      </c>
    </row>
    <row r="1665" spans="1:9" x14ac:dyDescent="0.2">
      <c r="A1665" s="5" t="s">
        <v>87</v>
      </c>
      <c r="B1665" s="5" t="s">
        <v>44</v>
      </c>
      <c r="C1665" s="5" t="s">
        <v>52</v>
      </c>
      <c r="D1665" s="5">
        <v>511092</v>
      </c>
      <c r="E1665" s="5">
        <v>4096</v>
      </c>
      <c r="F1665" s="5">
        <v>45914904</v>
      </c>
      <c r="G1665" s="5">
        <v>0.80142127053446344</v>
      </c>
      <c r="H1665" s="5">
        <v>11209.693359375</v>
      </c>
      <c r="I1665" s="5">
        <v>89.836866943720509</v>
      </c>
    </row>
    <row r="1666" spans="1:9" x14ac:dyDescent="0.2">
      <c r="A1666" s="5" t="s">
        <v>87</v>
      </c>
      <c r="B1666" s="5" t="s">
        <v>44</v>
      </c>
      <c r="C1666" s="5" t="s">
        <v>53</v>
      </c>
      <c r="D1666" s="5">
        <v>511600</v>
      </c>
      <c r="E1666" s="5">
        <v>4126</v>
      </c>
      <c r="F1666" s="5">
        <v>46957030</v>
      </c>
      <c r="G1666" s="5">
        <v>0.80648944487881158</v>
      </c>
      <c r="H1666" s="5">
        <v>11380.763451284538</v>
      </c>
      <c r="I1666" s="5">
        <v>91.784655981235346</v>
      </c>
    </row>
    <row r="1667" spans="1:9" x14ac:dyDescent="0.2">
      <c r="A1667" s="5" t="s">
        <v>87</v>
      </c>
      <c r="B1667" s="5" t="s">
        <v>44</v>
      </c>
      <c r="C1667" s="5" t="s">
        <v>54</v>
      </c>
      <c r="D1667" s="5">
        <v>512008</v>
      </c>
      <c r="E1667" s="5">
        <v>3985</v>
      </c>
      <c r="F1667" s="5">
        <v>47825535</v>
      </c>
      <c r="G1667" s="5">
        <v>0.77830815143513388</v>
      </c>
      <c r="H1667" s="5">
        <v>12001.388958594731</v>
      </c>
      <c r="I1667" s="5">
        <v>93.407788550178907</v>
      </c>
    </row>
    <row r="1668" spans="1:9" x14ac:dyDescent="0.2">
      <c r="A1668" s="5" t="s">
        <v>87</v>
      </c>
      <c r="B1668" s="5" t="s">
        <v>44</v>
      </c>
      <c r="C1668" s="5" t="s">
        <v>55</v>
      </c>
      <c r="D1668" s="5">
        <v>512387</v>
      </c>
      <c r="E1668" s="5">
        <v>3807</v>
      </c>
      <c r="F1668" s="5">
        <v>46695849</v>
      </c>
      <c r="G1668" s="5">
        <v>0.74299308920796192</v>
      </c>
      <c r="H1668" s="5">
        <v>12265.786446020489</v>
      </c>
      <c r="I1668" s="5">
        <v>91.13394563093911</v>
      </c>
    </row>
    <row r="1669" spans="1:9" x14ac:dyDescent="0.2">
      <c r="A1669" s="5" t="s">
        <v>87</v>
      </c>
      <c r="B1669" s="5" t="s">
        <v>44</v>
      </c>
      <c r="C1669" s="5" t="s">
        <v>56</v>
      </c>
      <c r="D1669" s="5">
        <v>514146</v>
      </c>
      <c r="E1669" s="5">
        <v>3723</v>
      </c>
      <c r="F1669" s="5">
        <v>47437225</v>
      </c>
      <c r="G1669" s="5">
        <v>0.72411338413602366</v>
      </c>
      <c r="H1669" s="5">
        <v>12741.666666666666</v>
      </c>
      <c r="I1669" s="5">
        <v>92.264113695331673</v>
      </c>
    </row>
    <row r="1670" spans="1:9" x14ac:dyDescent="0.2">
      <c r="A1670" s="5" t="s">
        <v>87</v>
      </c>
      <c r="B1670" s="5" t="s">
        <v>44</v>
      </c>
      <c r="C1670" s="5" t="s">
        <v>57</v>
      </c>
      <c r="D1670" s="5">
        <v>515921</v>
      </c>
      <c r="E1670" s="5">
        <v>3639</v>
      </c>
      <c r="F1670" s="5">
        <v>46079537</v>
      </c>
      <c r="G1670" s="5">
        <v>0.70534054632395271</v>
      </c>
      <c r="H1670" s="5">
        <v>12662.692223138225</v>
      </c>
      <c r="I1670" s="5">
        <v>89.315102506003825</v>
      </c>
    </row>
    <row r="1671" spans="1:9" x14ac:dyDescent="0.2">
      <c r="A1671" s="5" t="s">
        <v>87</v>
      </c>
      <c r="B1671" s="5" t="s">
        <v>44</v>
      </c>
      <c r="C1671" s="5" t="s">
        <v>58</v>
      </c>
      <c r="D1671" s="5">
        <v>518211</v>
      </c>
      <c r="E1671" s="5">
        <v>3651</v>
      </c>
      <c r="F1671" s="5">
        <v>44948728</v>
      </c>
      <c r="G1671" s="5">
        <v>0.70453927068317734</v>
      </c>
      <c r="H1671" s="5">
        <v>12311.347028211449</v>
      </c>
      <c r="I1671" s="5">
        <v>86.738274563835972</v>
      </c>
    </row>
    <row r="1672" spans="1:9" x14ac:dyDescent="0.2">
      <c r="A1672" s="5" t="s">
        <v>87</v>
      </c>
      <c r="B1672" s="5" t="s">
        <v>44</v>
      </c>
      <c r="C1672" s="5" t="s">
        <v>59</v>
      </c>
      <c r="D1672" s="5">
        <v>521432</v>
      </c>
      <c r="E1672" s="5">
        <v>3707</v>
      </c>
      <c r="F1672" s="5">
        <v>45677407</v>
      </c>
      <c r="G1672" s="5">
        <v>0.71092683226192488</v>
      </c>
      <c r="H1672" s="5">
        <v>12321.933369301321</v>
      </c>
      <c r="I1672" s="5">
        <v>87.59993057579895</v>
      </c>
    </row>
    <row r="1673" spans="1:9" x14ac:dyDescent="0.2">
      <c r="A1673" s="5" t="s">
        <v>87</v>
      </c>
      <c r="B1673" s="5" t="s">
        <v>44</v>
      </c>
      <c r="C1673" s="5" t="s">
        <v>60</v>
      </c>
      <c r="D1673" s="5">
        <v>524100</v>
      </c>
      <c r="E1673" s="5">
        <v>3835</v>
      </c>
      <c r="F1673" s="5">
        <v>45281333</v>
      </c>
      <c r="G1673" s="5">
        <v>0.73173058576607519</v>
      </c>
      <c r="H1673" s="5">
        <v>11807.388005215123</v>
      </c>
      <c r="I1673" s="5">
        <v>86.398269414233923</v>
      </c>
    </row>
    <row r="1674" spans="1:9" x14ac:dyDescent="0.2">
      <c r="A1674" s="5" t="s">
        <v>87</v>
      </c>
      <c r="B1674" s="5" t="s">
        <v>44</v>
      </c>
      <c r="C1674" s="5" t="s">
        <v>61</v>
      </c>
      <c r="D1674" s="5">
        <v>527382</v>
      </c>
      <c r="E1674" s="5">
        <v>3751</v>
      </c>
      <c r="F1674" s="5">
        <v>42816498</v>
      </c>
      <c r="G1674" s="5">
        <v>0.71124915146895418</v>
      </c>
      <c r="H1674" s="5">
        <v>11414.688882964543</v>
      </c>
      <c r="I1674" s="5">
        <v>81.186877822906354</v>
      </c>
    </row>
    <row r="1675" spans="1:9" x14ac:dyDescent="0.2">
      <c r="A1675" s="5" t="s">
        <v>87</v>
      </c>
      <c r="B1675" s="5" t="s">
        <v>44</v>
      </c>
      <c r="C1675" s="5" t="s">
        <v>62</v>
      </c>
      <c r="D1675" s="5">
        <v>531452</v>
      </c>
      <c r="E1675" s="5">
        <v>3780</v>
      </c>
      <c r="F1675" s="5">
        <v>44865557</v>
      </c>
      <c r="G1675" s="5">
        <v>0.7112589660025741</v>
      </c>
      <c r="H1675" s="5">
        <v>11869.194973544974</v>
      </c>
      <c r="I1675" s="5">
        <v>84.42071344166547</v>
      </c>
    </row>
    <row r="1676" spans="1:9" x14ac:dyDescent="0.2">
      <c r="A1676" s="5" t="s">
        <v>87</v>
      </c>
      <c r="B1676" s="5" t="s">
        <v>63</v>
      </c>
      <c r="C1676" s="5" t="s">
        <v>45</v>
      </c>
      <c r="D1676" s="5">
        <v>482252</v>
      </c>
      <c r="E1676" s="5">
        <v>17076</v>
      </c>
      <c r="F1676" s="5">
        <v>33453951</v>
      </c>
      <c r="G1676" s="5">
        <v>3.5408873369109926</v>
      </c>
      <c r="H1676" s="5">
        <v>1959.1210470836261</v>
      </c>
      <c r="I1676" s="5">
        <v>69.370269070942157</v>
      </c>
    </row>
    <row r="1677" spans="1:9" x14ac:dyDescent="0.2">
      <c r="A1677" s="5" t="s">
        <v>87</v>
      </c>
      <c r="B1677" s="5" t="s">
        <v>63</v>
      </c>
      <c r="C1677" s="5" t="s">
        <v>46</v>
      </c>
      <c r="D1677" s="5">
        <v>488345</v>
      </c>
      <c r="E1677" s="5">
        <v>16726</v>
      </c>
      <c r="F1677" s="5">
        <v>33092778</v>
      </c>
      <c r="G1677" s="5">
        <v>3.4250376270874074</v>
      </c>
      <c r="H1677" s="5">
        <v>1978.5231376300371</v>
      </c>
      <c r="I1677" s="5">
        <v>67.765161924459136</v>
      </c>
    </row>
    <row r="1678" spans="1:9" x14ac:dyDescent="0.2">
      <c r="A1678" s="5" t="s">
        <v>87</v>
      </c>
      <c r="B1678" s="5" t="s">
        <v>63</v>
      </c>
      <c r="C1678" s="5" t="s">
        <v>47</v>
      </c>
      <c r="D1678" s="5">
        <v>495366</v>
      </c>
      <c r="E1678" s="5">
        <v>16490</v>
      </c>
      <c r="F1678" s="5">
        <v>32878641</v>
      </c>
      <c r="G1678" s="5">
        <v>3.3288517984682033</v>
      </c>
      <c r="H1678" s="5">
        <v>1993.8533050333535</v>
      </c>
      <c r="I1678" s="5">
        <v>66.372421603420506</v>
      </c>
    </row>
    <row r="1679" spans="1:9" x14ac:dyDescent="0.2">
      <c r="A1679" s="5" t="s">
        <v>87</v>
      </c>
      <c r="B1679" s="5" t="s">
        <v>63</v>
      </c>
      <c r="C1679" s="5" t="s">
        <v>48</v>
      </c>
      <c r="D1679" s="5">
        <v>501764</v>
      </c>
      <c r="E1679" s="5">
        <v>16681</v>
      </c>
      <c r="F1679" s="5">
        <v>33607478</v>
      </c>
      <c r="G1679" s="5">
        <v>3.3244712653757542</v>
      </c>
      <c r="H1679" s="5">
        <v>2014.7160242191715</v>
      </c>
      <c r="I1679" s="5">
        <v>66.978655304087184</v>
      </c>
    </row>
    <row r="1680" spans="1:9" x14ac:dyDescent="0.2">
      <c r="A1680" s="5" t="s">
        <v>87</v>
      </c>
      <c r="B1680" s="5" t="s">
        <v>63</v>
      </c>
      <c r="C1680" s="5" t="s">
        <v>49</v>
      </c>
      <c r="D1680" s="5">
        <v>506983</v>
      </c>
      <c r="E1680" s="5">
        <v>16868</v>
      </c>
      <c r="F1680" s="5">
        <v>34361835</v>
      </c>
      <c r="G1680" s="5">
        <v>3.3271332569336645</v>
      </c>
      <c r="H1680" s="5">
        <v>2037.1019089400047</v>
      </c>
      <c r="I1680" s="5">
        <v>67.777095089973429</v>
      </c>
    </row>
    <row r="1681" spans="1:9" x14ac:dyDescent="0.2">
      <c r="A1681" s="5" t="s">
        <v>87</v>
      </c>
      <c r="B1681" s="5" t="s">
        <v>63</v>
      </c>
      <c r="C1681" s="5" t="s">
        <v>50</v>
      </c>
      <c r="D1681" s="5">
        <v>509601</v>
      </c>
      <c r="E1681" s="5">
        <v>17547</v>
      </c>
      <c r="F1681" s="5">
        <v>36494626</v>
      </c>
      <c r="G1681" s="5">
        <v>3.443282097170139</v>
      </c>
      <c r="H1681" s="5">
        <v>2079.8213939704792</v>
      </c>
      <c r="I1681" s="5">
        <v>71.614117711699933</v>
      </c>
    </row>
    <row r="1682" spans="1:9" x14ac:dyDescent="0.2">
      <c r="A1682" s="5" t="s">
        <v>87</v>
      </c>
      <c r="B1682" s="5" t="s">
        <v>63</v>
      </c>
      <c r="C1682" s="5" t="s">
        <v>51</v>
      </c>
      <c r="D1682" s="5">
        <v>510605</v>
      </c>
      <c r="E1682" s="5">
        <v>17739</v>
      </c>
      <c r="F1682" s="5">
        <v>37160319</v>
      </c>
      <c r="G1682" s="5">
        <v>3.4741140411864357</v>
      </c>
      <c r="H1682" s="5">
        <v>2094.8373076272619</v>
      </c>
      <c r="I1682" s="5">
        <v>72.777037044290594</v>
      </c>
    </row>
    <row r="1683" spans="1:9" x14ac:dyDescent="0.2">
      <c r="A1683" s="5" t="s">
        <v>87</v>
      </c>
      <c r="B1683" s="5" t="s">
        <v>63</v>
      </c>
      <c r="C1683" s="5" t="s">
        <v>52</v>
      </c>
      <c r="D1683" s="5">
        <v>511092</v>
      </c>
      <c r="E1683" s="5">
        <v>17599</v>
      </c>
      <c r="F1683" s="5">
        <v>37559802</v>
      </c>
      <c r="G1683" s="5">
        <v>3.4434113623378959</v>
      </c>
      <c r="H1683" s="5">
        <v>2134.2009205068471</v>
      </c>
      <c r="I1683" s="5">
        <v>73.489316991852732</v>
      </c>
    </row>
    <row r="1684" spans="1:9" x14ac:dyDescent="0.2">
      <c r="A1684" s="5" t="s">
        <v>87</v>
      </c>
      <c r="B1684" s="5" t="s">
        <v>63</v>
      </c>
      <c r="C1684" s="5" t="s">
        <v>53</v>
      </c>
      <c r="D1684" s="5">
        <v>511600</v>
      </c>
      <c r="E1684" s="5">
        <v>17384</v>
      </c>
      <c r="F1684" s="5">
        <v>37135413</v>
      </c>
      <c r="G1684" s="5">
        <v>3.3979671618451914</v>
      </c>
      <c r="H1684" s="5">
        <v>2136.1834445467098</v>
      </c>
      <c r="I1684" s="5">
        <v>72.586811962470676</v>
      </c>
    </row>
    <row r="1685" spans="1:9" x14ac:dyDescent="0.2">
      <c r="A1685" s="5" t="s">
        <v>87</v>
      </c>
      <c r="B1685" s="5" t="s">
        <v>63</v>
      </c>
      <c r="C1685" s="5" t="s">
        <v>54</v>
      </c>
      <c r="D1685" s="5">
        <v>512008</v>
      </c>
      <c r="E1685" s="5">
        <v>16855</v>
      </c>
      <c r="F1685" s="5">
        <v>35864228</v>
      </c>
      <c r="G1685" s="5">
        <v>3.2919407509257668</v>
      </c>
      <c r="H1685" s="5">
        <v>2127.8094334025513</v>
      </c>
      <c r="I1685" s="5">
        <v>70.04622584022124</v>
      </c>
    </row>
    <row r="1686" spans="1:9" x14ac:dyDescent="0.2">
      <c r="A1686" s="5" t="s">
        <v>87</v>
      </c>
      <c r="B1686" s="5" t="s">
        <v>63</v>
      </c>
      <c r="C1686" s="5" t="s">
        <v>55</v>
      </c>
      <c r="D1686" s="5">
        <v>512387</v>
      </c>
      <c r="E1686" s="5">
        <v>16453</v>
      </c>
      <c r="F1686" s="5">
        <v>35178963</v>
      </c>
      <c r="G1686" s="5">
        <v>3.2110494606615703</v>
      </c>
      <c r="H1686" s="5">
        <v>2138.1488482343648</v>
      </c>
      <c r="I1686" s="5">
        <v>68.657017059371142</v>
      </c>
    </row>
    <row r="1687" spans="1:9" x14ac:dyDescent="0.2">
      <c r="A1687" s="5" t="s">
        <v>87</v>
      </c>
      <c r="B1687" s="5" t="s">
        <v>63</v>
      </c>
      <c r="C1687" s="5" t="s">
        <v>56</v>
      </c>
      <c r="D1687" s="5">
        <v>514146</v>
      </c>
      <c r="E1687" s="5">
        <v>16322</v>
      </c>
      <c r="F1687" s="5">
        <v>34594390</v>
      </c>
      <c r="G1687" s="5">
        <v>3.1745846510524247</v>
      </c>
      <c r="H1687" s="5">
        <v>2119.4945472368581</v>
      </c>
      <c r="I1687" s="5">
        <v>67.285148576474384</v>
      </c>
    </row>
    <row r="1688" spans="1:9" x14ac:dyDescent="0.2">
      <c r="A1688" s="5" t="s">
        <v>87</v>
      </c>
      <c r="B1688" s="5" t="s">
        <v>63</v>
      </c>
      <c r="C1688" s="5" t="s">
        <v>57</v>
      </c>
      <c r="D1688" s="5">
        <v>515921</v>
      </c>
      <c r="E1688" s="5">
        <v>16079</v>
      </c>
      <c r="F1688" s="5">
        <v>34617604</v>
      </c>
      <c r="G1688" s="5">
        <v>3.1165624194401857</v>
      </c>
      <c r="H1688" s="5">
        <v>2152.9699608184587</v>
      </c>
      <c r="I1688" s="5">
        <v>67.098652700704179</v>
      </c>
    </row>
    <row r="1689" spans="1:9" x14ac:dyDescent="0.2">
      <c r="A1689" s="5" t="s">
        <v>87</v>
      </c>
      <c r="B1689" s="5" t="s">
        <v>63</v>
      </c>
      <c r="C1689" s="5" t="s">
        <v>58</v>
      </c>
      <c r="D1689" s="5">
        <v>518211</v>
      </c>
      <c r="E1689" s="5">
        <v>16206</v>
      </c>
      <c r="F1689" s="5">
        <v>34894316</v>
      </c>
      <c r="G1689" s="5">
        <v>3.1272975679790664</v>
      </c>
      <c r="H1689" s="5">
        <v>2153.1726521041592</v>
      </c>
      <c r="I1689" s="5">
        <v>67.336115983643722</v>
      </c>
    </row>
    <row r="1690" spans="1:9" x14ac:dyDescent="0.2">
      <c r="A1690" s="5" t="s">
        <v>87</v>
      </c>
      <c r="B1690" s="5" t="s">
        <v>63</v>
      </c>
      <c r="C1690" s="5" t="s">
        <v>59</v>
      </c>
      <c r="D1690" s="5">
        <v>521432</v>
      </c>
      <c r="E1690" s="5">
        <v>16548</v>
      </c>
      <c r="F1690" s="5">
        <v>36171637</v>
      </c>
      <c r="G1690" s="5">
        <v>3.1735681737983095</v>
      </c>
      <c r="H1690" s="5">
        <v>2185.8615542663765</v>
      </c>
      <c r="I1690" s="5">
        <v>69.36980660949078</v>
      </c>
    </row>
    <row r="1691" spans="1:9" x14ac:dyDescent="0.2">
      <c r="A1691" s="5" t="s">
        <v>87</v>
      </c>
      <c r="B1691" s="5" t="s">
        <v>63</v>
      </c>
      <c r="C1691" s="5" t="s">
        <v>60</v>
      </c>
      <c r="D1691" s="5">
        <v>524100</v>
      </c>
      <c r="E1691" s="5">
        <v>16565</v>
      </c>
      <c r="F1691" s="5">
        <v>36680722</v>
      </c>
      <c r="G1691" s="5">
        <v>3.1606563632894487</v>
      </c>
      <c r="H1691" s="5">
        <v>2214.3508602475099</v>
      </c>
      <c r="I1691" s="5">
        <v>69.988021369967569</v>
      </c>
    </row>
    <row r="1692" spans="1:9" x14ac:dyDescent="0.2">
      <c r="A1692" s="5" t="s">
        <v>87</v>
      </c>
      <c r="B1692" s="5" t="s">
        <v>63</v>
      </c>
      <c r="C1692" s="5" t="s">
        <v>61</v>
      </c>
      <c r="D1692" s="5">
        <v>527382</v>
      </c>
      <c r="E1692" s="5">
        <v>16627</v>
      </c>
      <c r="F1692" s="5">
        <v>36683424</v>
      </c>
      <c r="G1692" s="5">
        <v>3.152743172880379</v>
      </c>
      <c r="H1692" s="5">
        <v>2206.2563300655561</v>
      </c>
      <c r="I1692" s="5">
        <v>69.557595822383021</v>
      </c>
    </row>
    <row r="1693" spans="1:9" x14ac:dyDescent="0.2">
      <c r="A1693" s="5" t="s">
        <v>87</v>
      </c>
      <c r="B1693" s="5" t="s">
        <v>63</v>
      </c>
      <c r="C1693" s="5" t="s">
        <v>62</v>
      </c>
      <c r="D1693" s="5">
        <v>531452</v>
      </c>
      <c r="E1693" s="5">
        <v>16313</v>
      </c>
      <c r="F1693" s="5">
        <v>36719596</v>
      </c>
      <c r="G1693" s="5">
        <v>3.0695152149206324</v>
      </c>
      <c r="H1693" s="5">
        <v>2250.9407221234596</v>
      </c>
      <c r="I1693" s="5">
        <v>69.092967944423961</v>
      </c>
    </row>
    <row r="1694" spans="1:9" x14ac:dyDescent="0.2">
      <c r="A1694" s="5" t="s">
        <v>87</v>
      </c>
      <c r="B1694" s="5" t="s">
        <v>64</v>
      </c>
      <c r="C1694" s="5" t="s">
        <v>45</v>
      </c>
      <c r="D1694" s="5">
        <v>399273</v>
      </c>
      <c r="E1694" s="5">
        <v>35133</v>
      </c>
      <c r="F1694" s="5">
        <v>21043071</v>
      </c>
      <c r="G1694" s="5">
        <v>8.7992426234681531</v>
      </c>
      <c r="H1694" s="5">
        <v>598.95457262402874</v>
      </c>
      <c r="I1694" s="5">
        <v>52.70346604954505</v>
      </c>
    </row>
    <row r="1695" spans="1:9" x14ac:dyDescent="0.2">
      <c r="A1695" s="5" t="s">
        <v>87</v>
      </c>
      <c r="B1695" s="5" t="s">
        <v>64</v>
      </c>
      <c r="C1695" s="5" t="s">
        <v>46</v>
      </c>
      <c r="D1695" s="5">
        <v>404466</v>
      </c>
      <c r="E1695" s="5">
        <v>35154</v>
      </c>
      <c r="F1695" s="5">
        <v>21193025</v>
      </c>
      <c r="G1695" s="5">
        <v>8.6914598507661953</v>
      </c>
      <c r="H1695" s="5">
        <v>602.86240541616883</v>
      </c>
      <c r="I1695" s="5">
        <v>52.397543922109648</v>
      </c>
    </row>
    <row r="1696" spans="1:9" x14ac:dyDescent="0.2">
      <c r="A1696" s="5" t="s">
        <v>87</v>
      </c>
      <c r="B1696" s="5" t="s">
        <v>64</v>
      </c>
      <c r="C1696" s="5" t="s">
        <v>47</v>
      </c>
      <c r="D1696" s="5">
        <v>410172</v>
      </c>
      <c r="E1696" s="5">
        <v>33389</v>
      </c>
      <c r="F1696" s="5">
        <v>20745840</v>
      </c>
      <c r="G1696" s="5">
        <v>8.1402436051217535</v>
      </c>
      <c r="H1696" s="5">
        <v>621.33756626433853</v>
      </c>
      <c r="I1696" s="5">
        <v>50.578391504051957</v>
      </c>
    </row>
    <row r="1697" spans="1:9" x14ac:dyDescent="0.2">
      <c r="A1697" s="5" t="s">
        <v>87</v>
      </c>
      <c r="B1697" s="5" t="s">
        <v>64</v>
      </c>
      <c r="C1697" s="5" t="s">
        <v>48</v>
      </c>
      <c r="D1697" s="5">
        <v>415406</v>
      </c>
      <c r="E1697" s="5">
        <v>33101</v>
      </c>
      <c r="F1697" s="5">
        <v>20933068</v>
      </c>
      <c r="G1697" s="5">
        <v>7.9683490368458809</v>
      </c>
      <c r="H1697" s="5">
        <v>632.39986707350226</v>
      </c>
      <c r="I1697" s="5">
        <v>50.391828716966053</v>
      </c>
    </row>
    <row r="1698" spans="1:9" x14ac:dyDescent="0.2">
      <c r="A1698" s="5" t="s">
        <v>87</v>
      </c>
      <c r="B1698" s="5" t="s">
        <v>64</v>
      </c>
      <c r="C1698" s="5" t="s">
        <v>49</v>
      </c>
      <c r="D1698" s="5">
        <v>419771</v>
      </c>
      <c r="E1698" s="5">
        <v>32454</v>
      </c>
      <c r="F1698" s="5">
        <v>20661378</v>
      </c>
      <c r="G1698" s="5">
        <v>7.731358288209524</v>
      </c>
      <c r="H1698" s="5">
        <v>636.63579219818826</v>
      </c>
      <c r="I1698" s="5">
        <v>49.220594085822981</v>
      </c>
    </row>
    <row r="1699" spans="1:9" x14ac:dyDescent="0.2">
      <c r="A1699" s="5" t="s">
        <v>87</v>
      </c>
      <c r="B1699" s="5" t="s">
        <v>64</v>
      </c>
      <c r="C1699" s="5" t="s">
        <v>50</v>
      </c>
      <c r="D1699" s="5">
        <v>422142</v>
      </c>
      <c r="E1699" s="5">
        <v>31553</v>
      </c>
      <c r="F1699" s="5">
        <v>19850348</v>
      </c>
      <c r="G1699" s="5">
        <v>7.4744991021978384</v>
      </c>
      <c r="H1699" s="5">
        <v>629.11127309606059</v>
      </c>
      <c r="I1699" s="5">
        <v>47.022916459390444</v>
      </c>
    </row>
    <row r="1700" spans="1:9" x14ac:dyDescent="0.2">
      <c r="A1700" s="5" t="s">
        <v>87</v>
      </c>
      <c r="B1700" s="5" t="s">
        <v>64</v>
      </c>
      <c r="C1700" s="5" t="s">
        <v>51</v>
      </c>
      <c r="D1700" s="5">
        <v>422847</v>
      </c>
      <c r="E1700" s="5">
        <v>31283</v>
      </c>
      <c r="F1700" s="5">
        <v>19372128</v>
      </c>
      <c r="G1700" s="5">
        <v>7.3981842132024109</v>
      </c>
      <c r="H1700" s="5">
        <v>619.25416360323493</v>
      </c>
      <c r="I1700" s="5">
        <v>45.813563771293161</v>
      </c>
    </row>
    <row r="1701" spans="1:9" x14ac:dyDescent="0.2">
      <c r="A1701" s="5" t="s">
        <v>87</v>
      </c>
      <c r="B1701" s="5" t="s">
        <v>64</v>
      </c>
      <c r="C1701" s="5" t="s">
        <v>52</v>
      </c>
      <c r="D1701" s="5">
        <v>422673</v>
      </c>
      <c r="E1701" s="5">
        <v>30489</v>
      </c>
      <c r="F1701" s="5">
        <v>18577161</v>
      </c>
      <c r="G1701" s="5">
        <v>7.2133777175263143</v>
      </c>
      <c r="H1701" s="5">
        <v>609.30699596575812</v>
      </c>
      <c r="I1701" s="5">
        <v>43.951615078322959</v>
      </c>
    </row>
    <row r="1702" spans="1:9" x14ac:dyDescent="0.2">
      <c r="A1702" s="5" t="s">
        <v>87</v>
      </c>
      <c r="B1702" s="5" t="s">
        <v>64</v>
      </c>
      <c r="C1702" s="5" t="s">
        <v>53</v>
      </c>
      <c r="D1702" s="5">
        <v>422244</v>
      </c>
      <c r="E1702" s="5">
        <v>29787</v>
      </c>
      <c r="F1702" s="5">
        <v>18499492</v>
      </c>
      <c r="G1702" s="5">
        <v>7.0544519282689633</v>
      </c>
      <c r="H1702" s="5">
        <v>621.05925403699598</v>
      </c>
      <c r="I1702" s="5">
        <v>43.8123265221057</v>
      </c>
    </row>
    <row r="1703" spans="1:9" x14ac:dyDescent="0.2">
      <c r="A1703" s="5" t="s">
        <v>87</v>
      </c>
      <c r="B1703" s="5" t="s">
        <v>64</v>
      </c>
      <c r="C1703" s="5" t="s">
        <v>54</v>
      </c>
      <c r="D1703" s="5">
        <v>421583</v>
      </c>
      <c r="E1703" s="5">
        <v>27969</v>
      </c>
      <c r="F1703" s="5">
        <v>17993909</v>
      </c>
      <c r="G1703" s="5">
        <v>6.6342807940547885</v>
      </c>
      <c r="H1703" s="5">
        <v>643.35188959204834</v>
      </c>
      <c r="I1703" s="5">
        <v>42.681770849393835</v>
      </c>
    </row>
    <row r="1704" spans="1:9" x14ac:dyDescent="0.2">
      <c r="A1704" s="5" t="s">
        <v>87</v>
      </c>
      <c r="B1704" s="5" t="s">
        <v>64</v>
      </c>
      <c r="C1704" s="5" t="s">
        <v>55</v>
      </c>
      <c r="D1704" s="5">
        <v>420659</v>
      </c>
      <c r="E1704" s="5">
        <v>26023</v>
      </c>
      <c r="F1704" s="5">
        <v>16977429</v>
      </c>
      <c r="G1704" s="5">
        <v>6.1862458666045423</v>
      </c>
      <c r="H1704" s="5">
        <v>652.40091457556775</v>
      </c>
      <c r="I1704" s="5">
        <v>40.35912461162129</v>
      </c>
    </row>
    <row r="1705" spans="1:9" x14ac:dyDescent="0.2">
      <c r="A1705" s="5" t="s">
        <v>87</v>
      </c>
      <c r="B1705" s="5" t="s">
        <v>64</v>
      </c>
      <c r="C1705" s="5" t="s">
        <v>56</v>
      </c>
      <c r="D1705" s="5">
        <v>420812</v>
      </c>
      <c r="E1705" s="5">
        <v>25258</v>
      </c>
      <c r="F1705" s="5">
        <v>16520053</v>
      </c>
      <c r="G1705" s="5">
        <v>6.0022052603062654</v>
      </c>
      <c r="H1705" s="5">
        <v>654.05230026130334</v>
      </c>
      <c r="I1705" s="5">
        <v>39.257561571438075</v>
      </c>
    </row>
    <row r="1706" spans="1:9" x14ac:dyDescent="0.2">
      <c r="A1706" s="5" t="s">
        <v>87</v>
      </c>
      <c r="B1706" s="5" t="s">
        <v>64</v>
      </c>
      <c r="C1706" s="5" t="s">
        <v>57</v>
      </c>
      <c r="D1706" s="5">
        <v>421328</v>
      </c>
      <c r="E1706" s="5">
        <v>24723</v>
      </c>
      <c r="F1706" s="5">
        <v>15612876</v>
      </c>
      <c r="G1706" s="5">
        <v>5.8678749098089851</v>
      </c>
      <c r="H1706" s="5">
        <v>631.51219512195121</v>
      </c>
      <c r="I1706" s="5">
        <v>37.056345649944937</v>
      </c>
    </row>
    <row r="1707" spans="1:9" x14ac:dyDescent="0.2">
      <c r="A1707" s="5" t="s">
        <v>87</v>
      </c>
      <c r="B1707" s="5" t="s">
        <v>64</v>
      </c>
      <c r="C1707" s="5" t="s">
        <v>58</v>
      </c>
      <c r="D1707" s="5">
        <v>422129</v>
      </c>
      <c r="E1707" s="5">
        <v>25319</v>
      </c>
      <c r="F1707" s="5">
        <v>15447422</v>
      </c>
      <c r="G1707" s="5">
        <v>5.9979295428648589</v>
      </c>
      <c r="H1707" s="5">
        <v>610.1118527587978</v>
      </c>
      <c r="I1707" s="5">
        <v>36.594079061140079</v>
      </c>
    </row>
    <row r="1708" spans="1:9" x14ac:dyDescent="0.2">
      <c r="A1708" s="5" t="s">
        <v>87</v>
      </c>
      <c r="B1708" s="5" t="s">
        <v>64</v>
      </c>
      <c r="C1708" s="5" t="s">
        <v>59</v>
      </c>
      <c r="D1708" s="5">
        <v>423817</v>
      </c>
      <c r="E1708" s="5">
        <v>25647</v>
      </c>
      <c r="F1708" s="5">
        <v>15641185</v>
      </c>
      <c r="G1708" s="5">
        <v>6.0514325758523135</v>
      </c>
      <c r="H1708" s="5">
        <v>609.86411666081801</v>
      </c>
      <c r="I1708" s="5">
        <v>36.905515824046702</v>
      </c>
    </row>
    <row r="1709" spans="1:9" x14ac:dyDescent="0.2">
      <c r="A1709" s="5" t="s">
        <v>87</v>
      </c>
      <c r="B1709" s="5" t="s">
        <v>64</v>
      </c>
      <c r="C1709" s="5" t="s">
        <v>60</v>
      </c>
      <c r="D1709" s="5">
        <v>425065</v>
      </c>
      <c r="E1709" s="5">
        <v>25579</v>
      </c>
      <c r="F1709" s="5">
        <v>15672824</v>
      </c>
      <c r="G1709" s="5">
        <v>6.0176678860880104</v>
      </c>
      <c r="H1709" s="5">
        <v>612.7223112709645</v>
      </c>
      <c r="I1709" s="5">
        <v>36.871593756249041</v>
      </c>
    </row>
    <row r="1710" spans="1:9" x14ac:dyDescent="0.2">
      <c r="A1710" s="5" t="s">
        <v>87</v>
      </c>
      <c r="B1710" s="5" t="s">
        <v>64</v>
      </c>
      <c r="C1710" s="5" t="s">
        <v>61</v>
      </c>
      <c r="D1710" s="5">
        <v>425358</v>
      </c>
      <c r="E1710" s="5">
        <v>25342</v>
      </c>
      <c r="F1710" s="5">
        <v>16128895</v>
      </c>
      <c r="G1710" s="5">
        <v>5.9578049548850611</v>
      </c>
      <c r="H1710" s="5">
        <v>636.44917528214035</v>
      </c>
      <c r="I1710" s="5">
        <v>37.918400500284463</v>
      </c>
    </row>
    <row r="1711" spans="1:9" x14ac:dyDescent="0.2">
      <c r="A1711" s="5" t="s">
        <v>87</v>
      </c>
      <c r="B1711" s="5" t="s">
        <v>64</v>
      </c>
      <c r="C1711" s="5" t="s">
        <v>62</v>
      </c>
      <c r="D1711" s="5">
        <v>426438</v>
      </c>
      <c r="E1711" s="5">
        <v>24917</v>
      </c>
      <c r="F1711" s="5">
        <v>16338802</v>
      </c>
      <c r="G1711" s="5">
        <v>5.8430533864242866</v>
      </c>
      <c r="H1711" s="5">
        <v>655.72910061403866</v>
      </c>
      <c r="I1711" s="5">
        <v>38.314601419198098</v>
      </c>
    </row>
    <row r="1712" spans="1:9" x14ac:dyDescent="0.2">
      <c r="A1712" s="5" t="s">
        <v>87</v>
      </c>
      <c r="B1712" s="5" t="s">
        <v>65</v>
      </c>
      <c r="C1712" s="5" t="s">
        <v>45</v>
      </c>
      <c r="D1712" s="5">
        <v>360040</v>
      </c>
      <c r="E1712" s="5">
        <v>22784</v>
      </c>
      <c r="F1712" s="5">
        <v>48989035</v>
      </c>
      <c r="G1712" s="5">
        <v>6.3281857571380957</v>
      </c>
      <c r="H1712" s="5">
        <v>2150.1507636938204</v>
      </c>
      <c r="I1712" s="5">
        <v>136.06553438506833</v>
      </c>
    </row>
    <row r="1713" spans="1:9" x14ac:dyDescent="0.2">
      <c r="A1713" s="5" t="s">
        <v>87</v>
      </c>
      <c r="B1713" s="5" t="s">
        <v>65</v>
      </c>
      <c r="C1713" s="5" t="s">
        <v>46</v>
      </c>
      <c r="D1713" s="5">
        <v>365061</v>
      </c>
      <c r="E1713" s="5">
        <v>22526</v>
      </c>
      <c r="F1713" s="5">
        <v>49651951</v>
      </c>
      <c r="G1713" s="5">
        <v>6.1704756191431018</v>
      </c>
      <c r="H1713" s="5">
        <v>2204.2062949480601</v>
      </c>
      <c r="I1713" s="5">
        <v>136.01001202538754</v>
      </c>
    </row>
    <row r="1714" spans="1:9" x14ac:dyDescent="0.2">
      <c r="A1714" s="5" t="s">
        <v>87</v>
      </c>
      <c r="B1714" s="5" t="s">
        <v>65</v>
      </c>
      <c r="C1714" s="5" t="s">
        <v>47</v>
      </c>
      <c r="D1714" s="5">
        <v>370581</v>
      </c>
      <c r="E1714" s="5">
        <v>22022</v>
      </c>
      <c r="F1714" s="5">
        <v>49506949</v>
      </c>
      <c r="G1714" s="5">
        <v>5.942560465863064</v>
      </c>
      <c r="H1714" s="5">
        <v>2248.0677958405231</v>
      </c>
      <c r="I1714" s="5">
        <v>133.59278808141809</v>
      </c>
    </row>
    <row r="1715" spans="1:9" x14ac:dyDescent="0.2">
      <c r="A1715" s="5" t="s">
        <v>87</v>
      </c>
      <c r="B1715" s="5" t="s">
        <v>65</v>
      </c>
      <c r="C1715" s="5" t="s">
        <v>48</v>
      </c>
      <c r="D1715" s="5">
        <v>375601</v>
      </c>
      <c r="E1715" s="5">
        <v>22264</v>
      </c>
      <c r="F1715" s="5">
        <v>50415611</v>
      </c>
      <c r="G1715" s="5">
        <v>5.9275667530171647</v>
      </c>
      <c r="H1715" s="5">
        <v>2264.445337765002</v>
      </c>
      <c r="I1715" s="5">
        <v>134.22650898160549</v>
      </c>
    </row>
    <row r="1716" spans="1:9" x14ac:dyDescent="0.2">
      <c r="A1716" s="5" t="s">
        <v>87</v>
      </c>
      <c r="B1716" s="5" t="s">
        <v>65</v>
      </c>
      <c r="C1716" s="5" t="s">
        <v>49</v>
      </c>
      <c r="D1716" s="5">
        <v>379706</v>
      </c>
      <c r="E1716" s="5">
        <v>22684</v>
      </c>
      <c r="F1716" s="5">
        <v>52392523</v>
      </c>
      <c r="G1716" s="5">
        <v>5.9740957477627425</v>
      </c>
      <c r="H1716" s="5">
        <v>2309.6686210544876</v>
      </c>
      <c r="I1716" s="5">
        <v>137.98181487782654</v>
      </c>
    </row>
    <row r="1717" spans="1:9" x14ac:dyDescent="0.2">
      <c r="A1717" s="5" t="s">
        <v>87</v>
      </c>
      <c r="B1717" s="5" t="s">
        <v>65</v>
      </c>
      <c r="C1717" s="5" t="s">
        <v>50</v>
      </c>
      <c r="D1717" s="5">
        <v>381903</v>
      </c>
      <c r="E1717" s="5">
        <v>23348</v>
      </c>
      <c r="F1717" s="5">
        <v>53734550</v>
      </c>
      <c r="G1717" s="5">
        <v>6.1135942896494662</v>
      </c>
      <c r="H1717" s="5">
        <v>2301.4626520472843</v>
      </c>
      <c r="I1717" s="5">
        <v>140.70208927397795</v>
      </c>
    </row>
    <row r="1718" spans="1:9" x14ac:dyDescent="0.2">
      <c r="A1718" s="5" t="s">
        <v>87</v>
      </c>
      <c r="B1718" s="5" t="s">
        <v>65</v>
      </c>
      <c r="C1718" s="5" t="s">
        <v>51</v>
      </c>
      <c r="D1718" s="5">
        <v>382552</v>
      </c>
      <c r="E1718" s="5">
        <v>23112</v>
      </c>
      <c r="F1718" s="5">
        <v>54087134</v>
      </c>
      <c r="G1718" s="5">
        <v>6.041531608774755</v>
      </c>
      <c r="H1718" s="5">
        <v>2340.2186742817585</v>
      </c>
      <c r="I1718" s="5">
        <v>141.38505092118194</v>
      </c>
    </row>
    <row r="1719" spans="1:9" x14ac:dyDescent="0.2">
      <c r="A1719" s="5" t="s">
        <v>87</v>
      </c>
      <c r="B1719" s="5" t="s">
        <v>65</v>
      </c>
      <c r="C1719" s="5" t="s">
        <v>52</v>
      </c>
      <c r="D1719" s="5">
        <v>382435</v>
      </c>
      <c r="E1719" s="5">
        <v>22405</v>
      </c>
      <c r="F1719" s="5">
        <v>52661867</v>
      </c>
      <c r="G1719" s="5">
        <v>5.8585119039836835</v>
      </c>
      <c r="H1719" s="5">
        <v>2350.451550993082</v>
      </c>
      <c r="I1719" s="5">
        <v>137.70148391229881</v>
      </c>
    </row>
    <row r="1720" spans="1:9" x14ac:dyDescent="0.2">
      <c r="A1720" s="5" t="s">
        <v>87</v>
      </c>
      <c r="B1720" s="5" t="s">
        <v>65</v>
      </c>
      <c r="C1720" s="5" t="s">
        <v>53</v>
      </c>
      <c r="D1720" s="5">
        <v>382016</v>
      </c>
      <c r="E1720" s="5">
        <v>21524</v>
      </c>
      <c r="F1720" s="5">
        <v>50011312</v>
      </c>
      <c r="G1720" s="5">
        <v>5.6343189814039203</v>
      </c>
      <c r="H1720" s="5">
        <v>2323.5138450102213</v>
      </c>
      <c r="I1720" s="5">
        <v>130.91418160495894</v>
      </c>
    </row>
    <row r="1721" spans="1:9" x14ac:dyDescent="0.2">
      <c r="A1721" s="5" t="s">
        <v>87</v>
      </c>
      <c r="B1721" s="5" t="s">
        <v>65</v>
      </c>
      <c r="C1721" s="5" t="s">
        <v>54</v>
      </c>
      <c r="D1721" s="5">
        <v>381349</v>
      </c>
      <c r="E1721" s="5">
        <v>20463</v>
      </c>
      <c r="F1721" s="5">
        <v>49808800</v>
      </c>
      <c r="G1721" s="5">
        <v>5.3659508743958941</v>
      </c>
      <c r="H1721" s="5">
        <v>2434.0907980257048</v>
      </c>
      <c r="I1721" s="5">
        <v>130.61211646025032</v>
      </c>
    </row>
    <row r="1722" spans="1:9" x14ac:dyDescent="0.2">
      <c r="A1722" s="5" t="s">
        <v>87</v>
      </c>
      <c r="B1722" s="5" t="s">
        <v>65</v>
      </c>
      <c r="C1722" s="5" t="s">
        <v>55</v>
      </c>
      <c r="D1722" s="5">
        <v>380528</v>
      </c>
      <c r="E1722" s="5">
        <v>19832</v>
      </c>
      <c r="F1722" s="5">
        <v>47631505</v>
      </c>
      <c r="G1722" s="5">
        <v>5.2117058403061014</v>
      </c>
      <c r="H1722" s="5">
        <v>2401.7499495764423</v>
      </c>
      <c r="I1722" s="5">
        <v>125.17214239162426</v>
      </c>
    </row>
    <row r="1723" spans="1:9" x14ac:dyDescent="0.2">
      <c r="A1723" s="5" t="s">
        <v>87</v>
      </c>
      <c r="B1723" s="5" t="s">
        <v>65</v>
      </c>
      <c r="C1723" s="5" t="s">
        <v>56</v>
      </c>
      <c r="D1723" s="5">
        <v>380670</v>
      </c>
      <c r="E1723" s="5">
        <v>19445</v>
      </c>
      <c r="F1723" s="5">
        <v>47413253</v>
      </c>
      <c r="G1723" s="5">
        <v>5.1080988782935348</v>
      </c>
      <c r="H1723" s="5">
        <v>2438.3262021085111</v>
      </c>
      <c r="I1723" s="5">
        <v>124.55211337904221</v>
      </c>
    </row>
    <row r="1724" spans="1:9" x14ac:dyDescent="0.2">
      <c r="A1724" s="5" t="s">
        <v>87</v>
      </c>
      <c r="B1724" s="5" t="s">
        <v>65</v>
      </c>
      <c r="C1724" s="5" t="s">
        <v>57</v>
      </c>
      <c r="D1724" s="5">
        <v>381071</v>
      </c>
      <c r="E1724" s="5">
        <v>19295</v>
      </c>
      <c r="F1724" s="5">
        <v>48123565</v>
      </c>
      <c r="G1724" s="5">
        <v>5.0633608960010079</v>
      </c>
      <c r="H1724" s="5">
        <v>2494.0951023581238</v>
      </c>
      <c r="I1724" s="5">
        <v>126.28503612187755</v>
      </c>
    </row>
    <row r="1725" spans="1:9" x14ac:dyDescent="0.2">
      <c r="A1725" s="5" t="s">
        <v>87</v>
      </c>
      <c r="B1725" s="5" t="s">
        <v>65</v>
      </c>
      <c r="C1725" s="5" t="s">
        <v>58</v>
      </c>
      <c r="D1725" s="5">
        <v>381817</v>
      </c>
      <c r="E1725" s="5">
        <v>19629</v>
      </c>
      <c r="F1725" s="5">
        <v>49372181</v>
      </c>
      <c r="G1725" s="5">
        <v>5.1409444838757832</v>
      </c>
      <c r="H1725" s="5">
        <v>2515.2672576290183</v>
      </c>
      <c r="I1725" s="5">
        <v>129.3084933358127</v>
      </c>
    </row>
    <row r="1726" spans="1:9" x14ac:dyDescent="0.2">
      <c r="A1726" s="5" t="s">
        <v>87</v>
      </c>
      <c r="B1726" s="5" t="s">
        <v>65</v>
      </c>
      <c r="C1726" s="5" t="s">
        <v>59</v>
      </c>
      <c r="D1726" s="5">
        <v>383436</v>
      </c>
      <c r="E1726" s="5">
        <v>19783</v>
      </c>
      <c r="F1726" s="5">
        <v>50214207</v>
      </c>
      <c r="G1726" s="5">
        <v>5.1594007865719442</v>
      </c>
      <c r="H1726" s="5">
        <v>2538.2503664762676</v>
      </c>
      <c r="I1726" s="5">
        <v>130.95850937314179</v>
      </c>
    </row>
    <row r="1727" spans="1:9" x14ac:dyDescent="0.2">
      <c r="A1727" s="5" t="s">
        <v>87</v>
      </c>
      <c r="B1727" s="5" t="s">
        <v>65</v>
      </c>
      <c r="C1727" s="5" t="s">
        <v>60</v>
      </c>
      <c r="D1727" s="5">
        <v>384718</v>
      </c>
      <c r="E1727" s="5">
        <v>19779</v>
      </c>
      <c r="F1727" s="5">
        <v>50281282</v>
      </c>
      <c r="G1727" s="5">
        <v>5.1411683362878788</v>
      </c>
      <c r="H1727" s="5">
        <v>2542.1549117751151</v>
      </c>
      <c r="I1727" s="5">
        <v>130.69646338356927</v>
      </c>
    </row>
    <row r="1728" spans="1:9" x14ac:dyDescent="0.2">
      <c r="A1728" s="5" t="s">
        <v>87</v>
      </c>
      <c r="B1728" s="5" t="s">
        <v>65</v>
      </c>
      <c r="C1728" s="5" t="s">
        <v>61</v>
      </c>
      <c r="D1728" s="5">
        <v>385883</v>
      </c>
      <c r="E1728" s="5">
        <v>20017</v>
      </c>
      <c r="F1728" s="5">
        <v>52183347</v>
      </c>
      <c r="G1728" s="5">
        <v>5.1873236188171026</v>
      </c>
      <c r="H1728" s="5">
        <v>2606.9514412749163</v>
      </c>
      <c r="I1728" s="5">
        <v>135.23100784434661</v>
      </c>
    </row>
    <row r="1729" spans="1:9" x14ac:dyDescent="0.2">
      <c r="A1729" s="5" t="s">
        <v>87</v>
      </c>
      <c r="B1729" s="5" t="s">
        <v>65</v>
      </c>
      <c r="C1729" s="5" t="s">
        <v>62</v>
      </c>
      <c r="D1729" s="5">
        <v>387788</v>
      </c>
      <c r="E1729" s="5">
        <v>19347</v>
      </c>
      <c r="F1729" s="5">
        <v>52112759</v>
      </c>
      <c r="G1729" s="5">
        <v>4.9890661908052856</v>
      </c>
      <c r="H1729" s="5">
        <v>2693.5834496304337</v>
      </c>
      <c r="I1729" s="5">
        <v>134.38466120663867</v>
      </c>
    </row>
    <row r="1730" spans="1:9" x14ac:dyDescent="0.2">
      <c r="A1730" s="5" t="s">
        <v>88</v>
      </c>
      <c r="B1730" s="5" t="s">
        <v>44</v>
      </c>
      <c r="C1730" s="5" t="s">
        <v>45</v>
      </c>
      <c r="D1730" s="5">
        <v>3434407</v>
      </c>
      <c r="E1730" s="5">
        <v>6644</v>
      </c>
      <c r="F1730" s="5">
        <v>193407815</v>
      </c>
      <c r="G1730" s="5">
        <v>0.19345406645164653</v>
      </c>
      <c r="H1730" s="5">
        <v>29110.146748946419</v>
      </c>
      <c r="I1730" s="5">
        <v>56.314762635878623</v>
      </c>
    </row>
    <row r="1731" spans="1:9" x14ac:dyDescent="0.2">
      <c r="A1731" s="5" t="s">
        <v>88</v>
      </c>
      <c r="B1731" s="5" t="s">
        <v>44</v>
      </c>
      <c r="C1731" s="5" t="s">
        <v>46</v>
      </c>
      <c r="D1731" s="5">
        <v>3424328</v>
      </c>
      <c r="E1731" s="5">
        <v>6606</v>
      </c>
      <c r="F1731" s="5">
        <v>197263598</v>
      </c>
      <c r="G1731" s="5">
        <v>0.19291376293392457</v>
      </c>
      <c r="H1731" s="5">
        <v>29861.277323645172</v>
      </c>
      <c r="I1731" s="5">
        <v>57.606513745178617</v>
      </c>
    </row>
    <row r="1732" spans="1:9" x14ac:dyDescent="0.2">
      <c r="A1732" s="5" t="s">
        <v>88</v>
      </c>
      <c r="B1732" s="5" t="s">
        <v>44</v>
      </c>
      <c r="C1732" s="5" t="s">
        <v>47</v>
      </c>
      <c r="D1732" s="5">
        <v>3409023</v>
      </c>
      <c r="E1732" s="5">
        <v>6417</v>
      </c>
      <c r="F1732" s="5">
        <v>190250059</v>
      </c>
      <c r="G1732" s="5">
        <v>0.18823574965613316</v>
      </c>
      <c r="H1732" s="5">
        <v>29647.819697678042</v>
      </c>
      <c r="I1732" s="5">
        <v>55.807795664622972</v>
      </c>
    </row>
    <row r="1733" spans="1:9" x14ac:dyDescent="0.2">
      <c r="A1733" s="5" t="s">
        <v>88</v>
      </c>
      <c r="B1733" s="5" t="s">
        <v>44</v>
      </c>
      <c r="C1733" s="5" t="s">
        <v>48</v>
      </c>
      <c r="D1733" s="5">
        <v>3380036</v>
      </c>
      <c r="E1733" s="5">
        <v>6187</v>
      </c>
      <c r="F1733" s="5">
        <v>186393014</v>
      </c>
      <c r="G1733" s="5">
        <v>0.18304538768226136</v>
      </c>
      <c r="H1733" s="5">
        <v>30126.557944076289</v>
      </c>
      <c r="I1733" s="5">
        <v>55.145274784055552</v>
      </c>
    </row>
    <row r="1734" spans="1:9" x14ac:dyDescent="0.2">
      <c r="A1734" s="5" t="s">
        <v>88</v>
      </c>
      <c r="B1734" s="5" t="s">
        <v>44</v>
      </c>
      <c r="C1734" s="5" t="s">
        <v>49</v>
      </c>
      <c r="D1734" s="5">
        <v>3336829</v>
      </c>
      <c r="E1734" s="5">
        <v>6165</v>
      </c>
      <c r="F1734" s="5">
        <v>190047793</v>
      </c>
      <c r="G1734" s="5">
        <v>0.18475624612468905</v>
      </c>
      <c r="H1734" s="5">
        <v>30826.892619626928</v>
      </c>
      <c r="I1734" s="5">
        <v>56.954609600911525</v>
      </c>
    </row>
    <row r="1735" spans="1:9" x14ac:dyDescent="0.2">
      <c r="A1735" s="5" t="s">
        <v>88</v>
      </c>
      <c r="B1735" s="5" t="s">
        <v>44</v>
      </c>
      <c r="C1735" s="5" t="s">
        <v>50</v>
      </c>
      <c r="D1735" s="5">
        <v>3288995</v>
      </c>
      <c r="E1735" s="5">
        <v>5910</v>
      </c>
      <c r="F1735" s="5">
        <v>179238448</v>
      </c>
      <c r="G1735" s="5">
        <v>0.17969014851041124</v>
      </c>
      <c r="H1735" s="5">
        <v>30327.994585448392</v>
      </c>
      <c r="I1735" s="5">
        <v>54.496418510821698</v>
      </c>
    </row>
    <row r="1736" spans="1:9" x14ac:dyDescent="0.2">
      <c r="A1736" s="5" t="s">
        <v>88</v>
      </c>
      <c r="B1736" s="5" t="s">
        <v>44</v>
      </c>
      <c r="C1736" s="5" t="s">
        <v>51</v>
      </c>
      <c r="D1736" s="5">
        <v>3241926</v>
      </c>
      <c r="E1736" s="5">
        <v>5765</v>
      </c>
      <c r="F1736" s="5">
        <v>179575797</v>
      </c>
      <c r="G1736" s="5">
        <v>0.17782639085531254</v>
      </c>
      <c r="H1736" s="5">
        <v>31149.314310494363</v>
      </c>
      <c r="I1736" s="5">
        <v>55.391701414529514</v>
      </c>
    </row>
    <row r="1737" spans="1:9" x14ac:dyDescent="0.2">
      <c r="A1737" s="5" t="s">
        <v>88</v>
      </c>
      <c r="B1737" s="5" t="s">
        <v>44</v>
      </c>
      <c r="C1737" s="5" t="s">
        <v>52</v>
      </c>
      <c r="D1737" s="5">
        <v>3198031</v>
      </c>
      <c r="E1737" s="5">
        <v>5704</v>
      </c>
      <c r="F1737" s="5">
        <v>178932652</v>
      </c>
      <c r="G1737" s="5">
        <v>0.17835974698181475</v>
      </c>
      <c r="H1737" s="5">
        <v>31369.679523141654</v>
      </c>
      <c r="I1737" s="5">
        <v>55.950881026481603</v>
      </c>
    </row>
    <row r="1738" spans="1:9" x14ac:dyDescent="0.2">
      <c r="A1738" s="5" t="s">
        <v>88</v>
      </c>
      <c r="B1738" s="5" t="s">
        <v>44</v>
      </c>
      <c r="C1738" s="5" t="s">
        <v>53</v>
      </c>
      <c r="D1738" s="5">
        <v>3160874</v>
      </c>
      <c r="E1738" s="5">
        <v>5547</v>
      </c>
      <c r="F1738" s="5">
        <v>179105972</v>
      </c>
      <c r="G1738" s="5">
        <v>0.17548943741509468</v>
      </c>
      <c r="H1738" s="5">
        <v>32288.799711555796</v>
      </c>
      <c r="I1738" s="5">
        <v>56.663432961895985</v>
      </c>
    </row>
    <row r="1739" spans="1:9" x14ac:dyDescent="0.2">
      <c r="A1739" s="5" t="s">
        <v>88</v>
      </c>
      <c r="B1739" s="5" t="s">
        <v>44</v>
      </c>
      <c r="C1739" s="5" t="s">
        <v>54</v>
      </c>
      <c r="D1739" s="5">
        <v>3125415</v>
      </c>
      <c r="E1739" s="5">
        <v>5753</v>
      </c>
      <c r="F1739" s="5">
        <v>190821492</v>
      </c>
      <c r="G1739" s="5">
        <v>0.1840715552974565</v>
      </c>
      <c r="H1739" s="5">
        <v>33169.040848253084</v>
      </c>
      <c r="I1739" s="5">
        <v>61.054769366628115</v>
      </c>
    </row>
    <row r="1740" spans="1:9" x14ac:dyDescent="0.2">
      <c r="A1740" s="5" t="s">
        <v>88</v>
      </c>
      <c r="B1740" s="5" t="s">
        <v>44</v>
      </c>
      <c r="C1740" s="5" t="s">
        <v>55</v>
      </c>
      <c r="D1740" s="5">
        <v>3093681</v>
      </c>
      <c r="E1740" s="5">
        <v>5816</v>
      </c>
      <c r="F1740" s="5">
        <v>193975988</v>
      </c>
      <c r="G1740" s="5">
        <v>0.18799611207490366</v>
      </c>
      <c r="H1740" s="5">
        <v>33352.129986244843</v>
      </c>
      <c r="I1740" s="5">
        <v>62.700707668308404</v>
      </c>
    </row>
    <row r="1741" spans="1:9" x14ac:dyDescent="0.2">
      <c r="A1741" s="5" t="s">
        <v>88</v>
      </c>
      <c r="B1741" s="5" t="s">
        <v>44</v>
      </c>
      <c r="C1741" s="5" t="s">
        <v>56</v>
      </c>
      <c r="D1741" s="5">
        <v>3069077</v>
      </c>
      <c r="E1741" s="5">
        <v>5874</v>
      </c>
      <c r="F1741" s="5">
        <v>193199031</v>
      </c>
      <c r="G1741" s="5">
        <v>0.19139304748626379</v>
      </c>
      <c r="H1741" s="5">
        <v>32890.539836567928</v>
      </c>
      <c r="I1741" s="5">
        <v>62.950206527890955</v>
      </c>
    </row>
    <row r="1742" spans="1:9" x14ac:dyDescent="0.2">
      <c r="A1742" s="5" t="s">
        <v>88</v>
      </c>
      <c r="B1742" s="5" t="s">
        <v>44</v>
      </c>
      <c r="C1742" s="5" t="s">
        <v>57</v>
      </c>
      <c r="D1742" s="5">
        <v>3048933</v>
      </c>
      <c r="E1742" s="5">
        <v>5834</v>
      </c>
      <c r="F1742" s="5">
        <v>189718718</v>
      </c>
      <c r="G1742" s="5">
        <v>0.1913456281262986</v>
      </c>
      <c r="H1742" s="5">
        <v>32519.492286595818</v>
      </c>
      <c r="I1742" s="5">
        <v>62.224626779269997</v>
      </c>
    </row>
    <row r="1743" spans="1:9" x14ac:dyDescent="0.2">
      <c r="A1743" s="5" t="s">
        <v>88</v>
      </c>
      <c r="B1743" s="5" t="s">
        <v>44</v>
      </c>
      <c r="C1743" s="5" t="s">
        <v>58</v>
      </c>
      <c r="D1743" s="5">
        <v>3032957</v>
      </c>
      <c r="E1743" s="5">
        <v>5499</v>
      </c>
      <c r="F1743" s="5">
        <v>176139398</v>
      </c>
      <c r="G1743" s="5">
        <v>0.18130820845795045</v>
      </c>
      <c r="H1743" s="5">
        <v>32031.168939807238</v>
      </c>
      <c r="I1743" s="5">
        <v>58.075138552903979</v>
      </c>
    </row>
    <row r="1744" spans="1:9" x14ac:dyDescent="0.2">
      <c r="A1744" s="5" t="s">
        <v>88</v>
      </c>
      <c r="B1744" s="5" t="s">
        <v>44</v>
      </c>
      <c r="C1744" s="5" t="s">
        <v>59</v>
      </c>
      <c r="D1744" s="5">
        <v>3017798</v>
      </c>
      <c r="E1744" s="5">
        <v>5251</v>
      </c>
      <c r="F1744" s="5">
        <v>166763213</v>
      </c>
      <c r="G1744" s="5">
        <v>0.17400104314470352</v>
      </c>
      <c r="H1744" s="5">
        <v>31758.372310036182</v>
      </c>
      <c r="I1744" s="5">
        <v>55.259899105241637</v>
      </c>
    </row>
    <row r="1745" spans="1:9" x14ac:dyDescent="0.2">
      <c r="A1745" s="5" t="s">
        <v>88</v>
      </c>
      <c r="B1745" s="5" t="s">
        <v>44</v>
      </c>
      <c r="C1745" s="5" t="s">
        <v>60</v>
      </c>
      <c r="D1745" s="5">
        <v>3003330</v>
      </c>
      <c r="E1745" s="5">
        <v>4962</v>
      </c>
      <c r="F1745" s="5">
        <v>159541922</v>
      </c>
      <c r="G1745" s="5">
        <v>0.16521660956338463</v>
      </c>
      <c r="H1745" s="5">
        <v>32152.745264006448</v>
      </c>
      <c r="I1745" s="5">
        <v>53.121675606743182</v>
      </c>
    </row>
    <row r="1746" spans="1:9" x14ac:dyDescent="0.2">
      <c r="A1746" s="5" t="s">
        <v>88</v>
      </c>
      <c r="B1746" s="5" t="s">
        <v>44</v>
      </c>
      <c r="C1746" s="5" t="s">
        <v>61</v>
      </c>
      <c r="D1746" s="5">
        <v>2987001</v>
      </c>
      <c r="E1746" s="5">
        <v>4709</v>
      </c>
      <c r="F1746" s="5">
        <v>155039140</v>
      </c>
      <c r="G1746" s="5">
        <v>0.15764976309013623</v>
      </c>
      <c r="H1746" s="5">
        <v>32924.005096623485</v>
      </c>
      <c r="I1746" s="5">
        <v>51.904616034611301</v>
      </c>
    </row>
    <row r="1747" spans="1:9" x14ac:dyDescent="0.2">
      <c r="A1747" s="5" t="s">
        <v>88</v>
      </c>
      <c r="B1747" s="5" t="s">
        <v>44</v>
      </c>
      <c r="C1747" s="5" t="s">
        <v>62</v>
      </c>
      <c r="D1747" s="5">
        <v>2972037</v>
      </c>
      <c r="E1747" s="5">
        <v>4542</v>
      </c>
      <c r="F1747" s="5">
        <v>151445951</v>
      </c>
      <c r="G1747" s="5">
        <v>0.15282447694964765</v>
      </c>
      <c r="H1747" s="5">
        <v>33343.450242184059</v>
      </c>
      <c r="I1747" s="5">
        <v>50.95695342958382</v>
      </c>
    </row>
    <row r="1748" spans="1:9" x14ac:dyDescent="0.2">
      <c r="A1748" s="5" t="s">
        <v>88</v>
      </c>
      <c r="B1748" s="5" t="s">
        <v>63</v>
      </c>
      <c r="C1748" s="5" t="s">
        <v>45</v>
      </c>
      <c r="D1748" s="5">
        <v>3434407</v>
      </c>
      <c r="E1748" s="5">
        <v>28134</v>
      </c>
      <c r="F1748" s="5">
        <v>31993436</v>
      </c>
      <c r="G1748" s="5">
        <v>0.81918072028155076</v>
      </c>
      <c r="H1748" s="5">
        <v>1137.180493353238</v>
      </c>
      <c r="I1748" s="5">
        <v>9.3155633563523477</v>
      </c>
    </row>
    <row r="1749" spans="1:9" x14ac:dyDescent="0.2">
      <c r="A1749" s="5" t="s">
        <v>88</v>
      </c>
      <c r="B1749" s="5" t="s">
        <v>63</v>
      </c>
      <c r="C1749" s="5" t="s">
        <v>46</v>
      </c>
      <c r="D1749" s="5">
        <v>3424328</v>
      </c>
      <c r="E1749" s="5">
        <v>27545</v>
      </c>
      <c r="F1749" s="5">
        <v>31876679</v>
      </c>
      <c r="G1749" s="5">
        <v>0.80439140175824275</v>
      </c>
      <c r="H1749" s="5">
        <v>1157.2582682882555</v>
      </c>
      <c r="I1749" s="5">
        <v>9.3088860062470644</v>
      </c>
    </row>
    <row r="1750" spans="1:9" x14ac:dyDescent="0.2">
      <c r="A1750" s="5" t="s">
        <v>88</v>
      </c>
      <c r="B1750" s="5" t="s">
        <v>63</v>
      </c>
      <c r="C1750" s="5" t="s">
        <v>47</v>
      </c>
      <c r="D1750" s="5">
        <v>3409023</v>
      </c>
      <c r="E1750" s="5">
        <v>27592</v>
      </c>
      <c r="F1750" s="5">
        <v>32689413</v>
      </c>
      <c r="G1750" s="5">
        <v>0.80938145621194113</v>
      </c>
      <c r="H1750" s="5">
        <v>1184.7424253406784</v>
      </c>
      <c r="I1750" s="5">
        <v>9.5890854945830526</v>
      </c>
    </row>
    <row r="1751" spans="1:9" x14ac:dyDescent="0.2">
      <c r="A1751" s="5" t="s">
        <v>88</v>
      </c>
      <c r="B1751" s="5" t="s">
        <v>63</v>
      </c>
      <c r="C1751" s="5" t="s">
        <v>48</v>
      </c>
      <c r="D1751" s="5">
        <v>3380036</v>
      </c>
      <c r="E1751" s="5">
        <v>27202</v>
      </c>
      <c r="F1751" s="5">
        <v>32397528</v>
      </c>
      <c r="G1751" s="5">
        <v>0.80478432774088793</v>
      </c>
      <c r="H1751" s="5">
        <v>1190.9980148518491</v>
      </c>
      <c r="I1751" s="5">
        <v>9.5849653672327744</v>
      </c>
    </row>
    <row r="1752" spans="1:9" x14ac:dyDescent="0.2">
      <c r="A1752" s="5" t="s">
        <v>88</v>
      </c>
      <c r="B1752" s="5" t="s">
        <v>63</v>
      </c>
      <c r="C1752" s="5" t="s">
        <v>49</v>
      </c>
      <c r="D1752" s="5">
        <v>3336829</v>
      </c>
      <c r="E1752" s="5">
        <v>26278</v>
      </c>
      <c r="F1752" s="5">
        <v>31557560</v>
      </c>
      <c r="G1752" s="5">
        <v>0.78751413392774994</v>
      </c>
      <c r="H1752" s="5">
        <v>1200.9117893294772</v>
      </c>
      <c r="I1752" s="5">
        <v>9.4573500769742775</v>
      </c>
    </row>
    <row r="1753" spans="1:9" x14ac:dyDescent="0.2">
      <c r="A1753" s="5" t="s">
        <v>88</v>
      </c>
      <c r="B1753" s="5" t="s">
        <v>63</v>
      </c>
      <c r="C1753" s="5" t="s">
        <v>50</v>
      </c>
      <c r="D1753" s="5">
        <v>3288995</v>
      </c>
      <c r="E1753" s="5">
        <v>26026</v>
      </c>
      <c r="F1753" s="5">
        <v>31293477</v>
      </c>
      <c r="G1753" s="5">
        <v>0.79130555078375009</v>
      </c>
      <c r="H1753" s="5">
        <v>1202.3928763544147</v>
      </c>
      <c r="I1753" s="5">
        <v>9.5146015728208777</v>
      </c>
    </row>
    <row r="1754" spans="1:9" x14ac:dyDescent="0.2">
      <c r="A1754" s="5" t="s">
        <v>88</v>
      </c>
      <c r="B1754" s="5" t="s">
        <v>63</v>
      </c>
      <c r="C1754" s="5" t="s">
        <v>51</v>
      </c>
      <c r="D1754" s="5">
        <v>3241926</v>
      </c>
      <c r="E1754" s="5">
        <v>25224</v>
      </c>
      <c r="F1754" s="5">
        <v>29759502</v>
      </c>
      <c r="G1754" s="5">
        <v>0.77805600744742476</v>
      </c>
      <c r="H1754" s="5">
        <v>1179.808991436727</v>
      </c>
      <c r="I1754" s="5">
        <v>9.1795747342783276</v>
      </c>
    </row>
    <row r="1755" spans="1:9" x14ac:dyDescent="0.2">
      <c r="A1755" s="5" t="s">
        <v>88</v>
      </c>
      <c r="B1755" s="5" t="s">
        <v>63</v>
      </c>
      <c r="C1755" s="5" t="s">
        <v>52</v>
      </c>
      <c r="D1755" s="5">
        <v>3198031</v>
      </c>
      <c r="E1755" s="5">
        <v>24775</v>
      </c>
      <c r="F1755" s="5">
        <v>29467813</v>
      </c>
      <c r="G1755" s="5">
        <v>0.77469542978163752</v>
      </c>
      <c r="H1755" s="5">
        <v>1189.4172754793137</v>
      </c>
      <c r="I1755" s="5">
        <v>9.2143612741715142</v>
      </c>
    </row>
    <row r="1756" spans="1:9" x14ac:dyDescent="0.2">
      <c r="A1756" s="5" t="s">
        <v>88</v>
      </c>
      <c r="B1756" s="5" t="s">
        <v>63</v>
      </c>
      <c r="C1756" s="5" t="s">
        <v>53</v>
      </c>
      <c r="D1756" s="5">
        <v>3160874</v>
      </c>
      <c r="E1756" s="5">
        <v>24177</v>
      </c>
      <c r="F1756" s="5">
        <v>28680913</v>
      </c>
      <c r="G1756" s="5">
        <v>0.76488338351987462</v>
      </c>
      <c r="H1756" s="5">
        <v>1186.2891591181701</v>
      </c>
      <c r="I1756" s="5">
        <v>9.073728658592529</v>
      </c>
    </row>
    <row r="1757" spans="1:9" x14ac:dyDescent="0.2">
      <c r="A1757" s="5" t="s">
        <v>88</v>
      </c>
      <c r="B1757" s="5" t="s">
        <v>63</v>
      </c>
      <c r="C1757" s="5" t="s">
        <v>54</v>
      </c>
      <c r="D1757" s="5">
        <v>3125415</v>
      </c>
      <c r="E1757" s="5">
        <v>23822</v>
      </c>
      <c r="F1757" s="5">
        <v>27715995</v>
      </c>
      <c r="G1757" s="5">
        <v>0.76220277947088622</v>
      </c>
      <c r="H1757" s="5">
        <v>1163.4621358408194</v>
      </c>
      <c r="I1757" s="5">
        <v>8.8679407374700645</v>
      </c>
    </row>
    <row r="1758" spans="1:9" x14ac:dyDescent="0.2">
      <c r="A1758" s="5" t="s">
        <v>88</v>
      </c>
      <c r="B1758" s="5" t="s">
        <v>63</v>
      </c>
      <c r="C1758" s="5" t="s">
        <v>55</v>
      </c>
      <c r="D1758" s="5">
        <v>3093681</v>
      </c>
      <c r="E1758" s="5">
        <v>23387</v>
      </c>
      <c r="F1758" s="5">
        <v>27411182</v>
      </c>
      <c r="G1758" s="5">
        <v>0.75596029454879154</v>
      </c>
      <c r="H1758" s="5">
        <v>1172.0691837345535</v>
      </c>
      <c r="I1758" s="5">
        <v>8.8603776536753465</v>
      </c>
    </row>
    <row r="1759" spans="1:9" x14ac:dyDescent="0.2">
      <c r="A1759" s="5" t="s">
        <v>88</v>
      </c>
      <c r="B1759" s="5" t="s">
        <v>63</v>
      </c>
      <c r="C1759" s="5" t="s">
        <v>56</v>
      </c>
      <c r="D1759" s="5">
        <v>3069077</v>
      </c>
      <c r="E1759" s="5">
        <v>22993</v>
      </c>
      <c r="F1759" s="5">
        <v>26822204</v>
      </c>
      <c r="G1759" s="5">
        <v>0.74918289765945922</v>
      </c>
      <c r="H1759" s="5">
        <v>1166.5378158569999</v>
      </c>
      <c r="I1759" s="5">
        <v>8.7395018111308378</v>
      </c>
    </row>
    <row r="1760" spans="1:9" x14ac:dyDescent="0.2">
      <c r="A1760" s="5" t="s">
        <v>88</v>
      </c>
      <c r="B1760" s="5" t="s">
        <v>63</v>
      </c>
      <c r="C1760" s="5" t="s">
        <v>57</v>
      </c>
      <c r="D1760" s="5">
        <v>3048933</v>
      </c>
      <c r="E1760" s="5">
        <v>22827</v>
      </c>
      <c r="F1760" s="5">
        <v>26869276</v>
      </c>
      <c r="G1760" s="5">
        <v>0.7486881476241033</v>
      </c>
      <c r="H1760" s="5">
        <v>1177.0831033425329</v>
      </c>
      <c r="I1760" s="5">
        <v>8.8126816824115188</v>
      </c>
    </row>
    <row r="1761" spans="1:9" x14ac:dyDescent="0.2">
      <c r="A1761" s="5" t="s">
        <v>88</v>
      </c>
      <c r="B1761" s="5" t="s">
        <v>63</v>
      </c>
      <c r="C1761" s="5" t="s">
        <v>58</v>
      </c>
      <c r="D1761" s="5">
        <v>3032957</v>
      </c>
      <c r="E1761" s="5">
        <v>22439</v>
      </c>
      <c r="F1761" s="5">
        <v>27131782</v>
      </c>
      <c r="G1761" s="5">
        <v>0.73983904156900349</v>
      </c>
      <c r="H1761" s="5">
        <v>1209.1350773207362</v>
      </c>
      <c r="I1761" s="5">
        <v>8.945653367324363</v>
      </c>
    </row>
    <row r="1762" spans="1:9" x14ac:dyDescent="0.2">
      <c r="A1762" s="5" t="s">
        <v>88</v>
      </c>
      <c r="B1762" s="5" t="s">
        <v>63</v>
      </c>
      <c r="C1762" s="5" t="s">
        <v>59</v>
      </c>
      <c r="D1762" s="5">
        <v>3017798</v>
      </c>
      <c r="E1762" s="5">
        <v>22516</v>
      </c>
      <c r="F1762" s="5">
        <v>27208519</v>
      </c>
      <c r="G1762" s="5">
        <v>0.74610692962219471</v>
      </c>
      <c r="H1762" s="5">
        <v>1208.4081986143187</v>
      </c>
      <c r="I1762" s="5">
        <v>9.0160173079841659</v>
      </c>
    </row>
    <row r="1763" spans="1:9" x14ac:dyDescent="0.2">
      <c r="A1763" s="5" t="s">
        <v>88</v>
      </c>
      <c r="B1763" s="5" t="s">
        <v>63</v>
      </c>
      <c r="C1763" s="5" t="s">
        <v>60</v>
      </c>
      <c r="D1763" s="5">
        <v>3003330</v>
      </c>
      <c r="E1763" s="5">
        <v>21342</v>
      </c>
      <c r="F1763" s="5">
        <v>26211258</v>
      </c>
      <c r="G1763" s="5">
        <v>0.71061122154408607</v>
      </c>
      <c r="H1763" s="5">
        <v>1228.1537812763565</v>
      </c>
      <c r="I1763" s="5">
        <v>8.7273985875677997</v>
      </c>
    </row>
    <row r="1764" spans="1:9" x14ac:dyDescent="0.2">
      <c r="A1764" s="5" t="s">
        <v>88</v>
      </c>
      <c r="B1764" s="5" t="s">
        <v>63</v>
      </c>
      <c r="C1764" s="5" t="s">
        <v>61</v>
      </c>
      <c r="D1764" s="5">
        <v>2987001</v>
      </c>
      <c r="E1764" s="5">
        <v>19786</v>
      </c>
      <c r="F1764" s="5">
        <v>24514461</v>
      </c>
      <c r="G1764" s="5">
        <v>0.66240352781937473</v>
      </c>
      <c r="H1764" s="5">
        <v>1238.9801374709391</v>
      </c>
      <c r="I1764" s="5">
        <v>8.2070481395888386</v>
      </c>
    </row>
    <row r="1765" spans="1:9" x14ac:dyDescent="0.2">
      <c r="A1765" s="5" t="s">
        <v>88</v>
      </c>
      <c r="B1765" s="5" t="s">
        <v>63</v>
      </c>
      <c r="C1765" s="5" t="s">
        <v>62</v>
      </c>
      <c r="D1765" s="5">
        <v>2972037</v>
      </c>
      <c r="E1765" s="5">
        <v>18081</v>
      </c>
      <c r="F1765" s="5">
        <v>22669531</v>
      </c>
      <c r="G1765" s="5">
        <v>0.60837062257300301</v>
      </c>
      <c r="H1765" s="5">
        <v>1253.7763951108898</v>
      </c>
      <c r="I1765" s="5">
        <v>7.6276072606094738</v>
      </c>
    </row>
    <row r="1766" spans="1:9" x14ac:dyDescent="0.2">
      <c r="A1766" s="5" t="s">
        <v>88</v>
      </c>
      <c r="B1766" s="5" t="s">
        <v>73</v>
      </c>
      <c r="C1766" s="5" t="s">
        <v>45</v>
      </c>
      <c r="D1766" s="5">
        <v>3434407</v>
      </c>
      <c r="E1766" s="5">
        <v>40697</v>
      </c>
      <c r="F1766" s="5">
        <v>664047373</v>
      </c>
      <c r="G1766" s="5">
        <v>1.1849789497866734</v>
      </c>
      <c r="H1766" s="5">
        <v>16316.862987443792</v>
      </c>
      <c r="I1766" s="5">
        <v>193.35139166674188</v>
      </c>
    </row>
    <row r="1767" spans="1:9" x14ac:dyDescent="0.2">
      <c r="A1767" s="5" t="s">
        <v>88</v>
      </c>
      <c r="B1767" s="5" t="s">
        <v>73</v>
      </c>
      <c r="C1767" s="5" t="s">
        <v>46</v>
      </c>
      <c r="D1767" s="5">
        <v>3424328</v>
      </c>
      <c r="E1767" s="5">
        <v>39655</v>
      </c>
      <c r="F1767" s="5">
        <v>693139435</v>
      </c>
      <c r="G1767" s="5">
        <v>1.15803743099376</v>
      </c>
      <c r="H1767" s="5">
        <v>17479.244357584164</v>
      </c>
      <c r="I1767" s="5">
        <v>202.41619231568939</v>
      </c>
    </row>
    <row r="1768" spans="1:9" x14ac:dyDescent="0.2">
      <c r="A1768" s="5" t="s">
        <v>88</v>
      </c>
      <c r="B1768" s="5" t="s">
        <v>73</v>
      </c>
      <c r="C1768" s="5" t="s">
        <v>47</v>
      </c>
      <c r="D1768" s="5">
        <v>3409023</v>
      </c>
      <c r="E1768" s="5">
        <v>38390</v>
      </c>
      <c r="F1768" s="5">
        <v>708074398</v>
      </c>
      <c r="G1768" s="5">
        <v>1.1261290991583219</v>
      </c>
      <c r="H1768" s="5">
        <v>18444.240635582184</v>
      </c>
      <c r="I1768" s="5">
        <v>207.70596091607479</v>
      </c>
    </row>
    <row r="1769" spans="1:9" x14ac:dyDescent="0.2">
      <c r="A1769" s="5" t="s">
        <v>88</v>
      </c>
      <c r="B1769" s="5" t="s">
        <v>73</v>
      </c>
      <c r="C1769" s="5" t="s">
        <v>48</v>
      </c>
      <c r="D1769" s="5">
        <v>3380036</v>
      </c>
      <c r="E1769" s="5">
        <v>38350</v>
      </c>
      <c r="F1769" s="5">
        <v>721394349</v>
      </c>
      <c r="G1769" s="5">
        <v>1.1346033000831943</v>
      </c>
      <c r="H1769" s="5">
        <v>18810.804406779662</v>
      </c>
      <c r="I1769" s="5">
        <v>213.42800757151699</v>
      </c>
    </row>
    <row r="1770" spans="1:9" x14ac:dyDescent="0.2">
      <c r="A1770" s="5" t="s">
        <v>88</v>
      </c>
      <c r="B1770" s="5" t="s">
        <v>73</v>
      </c>
      <c r="C1770" s="5" t="s">
        <v>49</v>
      </c>
      <c r="D1770" s="5">
        <v>3336829</v>
      </c>
      <c r="E1770" s="5">
        <v>39504</v>
      </c>
      <c r="F1770" s="5">
        <v>732201592</v>
      </c>
      <c r="G1770" s="5">
        <v>1.1838784666520221</v>
      </c>
      <c r="H1770" s="5">
        <v>18534.872215471853</v>
      </c>
      <c r="I1770" s="5">
        <v>219.43036098043981</v>
      </c>
    </row>
    <row r="1771" spans="1:9" x14ac:dyDescent="0.2">
      <c r="A1771" s="5" t="s">
        <v>88</v>
      </c>
      <c r="B1771" s="5" t="s">
        <v>73</v>
      </c>
      <c r="C1771" s="5" t="s">
        <v>50</v>
      </c>
      <c r="D1771" s="5">
        <v>3288995</v>
      </c>
      <c r="E1771" s="5">
        <v>38631</v>
      </c>
      <c r="F1771" s="5">
        <v>727375631</v>
      </c>
      <c r="G1771" s="5">
        <v>1.1745533209992718</v>
      </c>
      <c r="H1771" s="5">
        <v>18828.806683751391</v>
      </c>
      <c r="I1771" s="5">
        <v>221.15437420853482</v>
      </c>
    </row>
    <row r="1772" spans="1:9" x14ac:dyDescent="0.2">
      <c r="A1772" s="5" t="s">
        <v>88</v>
      </c>
      <c r="B1772" s="5" t="s">
        <v>73</v>
      </c>
      <c r="C1772" s="5" t="s">
        <v>51</v>
      </c>
      <c r="D1772" s="5">
        <v>3241926</v>
      </c>
      <c r="E1772" s="5">
        <v>39237</v>
      </c>
      <c r="F1772" s="5">
        <v>743672255</v>
      </c>
      <c r="G1772" s="5">
        <v>1.210299062964423</v>
      </c>
      <c r="H1772" s="5">
        <v>18953.34136147004</v>
      </c>
      <c r="I1772" s="5">
        <v>229.39211289832031</v>
      </c>
    </row>
    <row r="1773" spans="1:9" x14ac:dyDescent="0.2">
      <c r="A1773" s="5" t="s">
        <v>88</v>
      </c>
      <c r="B1773" s="5" t="s">
        <v>73</v>
      </c>
      <c r="C1773" s="5" t="s">
        <v>52</v>
      </c>
      <c r="D1773" s="5">
        <v>3198031</v>
      </c>
      <c r="E1773" s="5">
        <v>40015</v>
      </c>
      <c r="F1773" s="5">
        <v>752672668</v>
      </c>
      <c r="G1773" s="5">
        <v>1.2512386527835409</v>
      </c>
      <c r="H1773" s="5">
        <v>18809.763038860427</v>
      </c>
      <c r="I1773" s="5">
        <v>235.35502563921364</v>
      </c>
    </row>
    <row r="1774" spans="1:9" x14ac:dyDescent="0.2">
      <c r="A1774" s="5" t="s">
        <v>88</v>
      </c>
      <c r="B1774" s="5" t="s">
        <v>73</v>
      </c>
      <c r="C1774" s="5" t="s">
        <v>53</v>
      </c>
      <c r="D1774" s="5">
        <v>3160874</v>
      </c>
      <c r="E1774" s="5">
        <v>37569</v>
      </c>
      <c r="F1774" s="5">
        <v>753311068</v>
      </c>
      <c r="G1774" s="5">
        <v>1.1885636694154844</v>
      </c>
      <c r="H1774" s="5">
        <v>20051.400569618567</v>
      </c>
      <c r="I1774" s="5">
        <v>238.32366237945581</v>
      </c>
    </row>
    <row r="1775" spans="1:9" x14ac:dyDescent="0.2">
      <c r="A1775" s="5" t="s">
        <v>88</v>
      </c>
      <c r="B1775" s="5" t="s">
        <v>73</v>
      </c>
      <c r="C1775" s="5" t="s">
        <v>54</v>
      </c>
      <c r="D1775" s="5">
        <v>3125415</v>
      </c>
      <c r="E1775" s="5">
        <v>37453</v>
      </c>
      <c r="F1775" s="5">
        <v>762948926</v>
      </c>
      <c r="G1775" s="5">
        <v>1.1983368608648772</v>
      </c>
      <c r="H1775" s="5">
        <v>20370.836141297092</v>
      </c>
      <c r="I1775" s="5">
        <v>244.11123834754744</v>
      </c>
    </row>
    <row r="1776" spans="1:9" x14ac:dyDescent="0.2">
      <c r="A1776" s="5" t="s">
        <v>88</v>
      </c>
      <c r="B1776" s="5" t="s">
        <v>73</v>
      </c>
      <c r="C1776" s="5" t="s">
        <v>55</v>
      </c>
      <c r="D1776" s="5">
        <v>3093681</v>
      </c>
      <c r="E1776" s="5">
        <v>35492</v>
      </c>
      <c r="F1776" s="5">
        <v>764097115</v>
      </c>
      <c r="G1776" s="5">
        <v>1.1472417485836452</v>
      </c>
      <c r="H1776" s="5">
        <v>21528.713935534768</v>
      </c>
      <c r="I1776" s="5">
        <v>246.98639420159998</v>
      </c>
    </row>
    <row r="1777" spans="1:9" x14ac:dyDescent="0.2">
      <c r="A1777" s="5" t="s">
        <v>88</v>
      </c>
      <c r="B1777" s="5" t="s">
        <v>73</v>
      </c>
      <c r="C1777" s="5" t="s">
        <v>56</v>
      </c>
      <c r="D1777" s="5">
        <v>3069077</v>
      </c>
      <c r="E1777" s="5">
        <v>32750</v>
      </c>
      <c r="F1777" s="5">
        <v>789046921</v>
      </c>
      <c r="G1777" s="5">
        <v>1.067096068296755</v>
      </c>
      <c r="H1777" s="5">
        <v>24093.035755725192</v>
      </c>
      <c r="I1777" s="5">
        <v>257.09583728267489</v>
      </c>
    </row>
    <row r="1778" spans="1:9" x14ac:dyDescent="0.2">
      <c r="A1778" s="5" t="s">
        <v>88</v>
      </c>
      <c r="B1778" s="5" t="s">
        <v>73</v>
      </c>
      <c r="C1778" s="5" t="s">
        <v>57</v>
      </c>
      <c r="D1778" s="5">
        <v>3048933</v>
      </c>
      <c r="E1778" s="5">
        <v>32566</v>
      </c>
      <c r="F1778" s="5">
        <v>794554746</v>
      </c>
      <c r="G1778" s="5">
        <v>1.0681113687968873</v>
      </c>
      <c r="H1778" s="5">
        <v>24398.291039734693</v>
      </c>
      <c r="I1778" s="5">
        <v>260.60092038755852</v>
      </c>
    </row>
    <row r="1779" spans="1:9" x14ac:dyDescent="0.2">
      <c r="A1779" s="5" t="s">
        <v>88</v>
      </c>
      <c r="B1779" s="5" t="s">
        <v>73</v>
      </c>
      <c r="C1779" s="5" t="s">
        <v>58</v>
      </c>
      <c r="D1779" s="5">
        <v>3032957</v>
      </c>
      <c r="E1779" s="5">
        <v>31515</v>
      </c>
      <c r="F1779" s="5">
        <v>802478768</v>
      </c>
      <c r="G1779" s="5">
        <v>1.0390849590020563</v>
      </c>
      <c r="H1779" s="5">
        <v>25463.391020149134</v>
      </c>
      <c r="I1779" s="5">
        <v>264.58626614224994</v>
      </c>
    </row>
    <row r="1780" spans="1:9" x14ac:dyDescent="0.2">
      <c r="A1780" s="5" t="s">
        <v>88</v>
      </c>
      <c r="B1780" s="5" t="s">
        <v>73</v>
      </c>
      <c r="C1780" s="5" t="s">
        <v>59</v>
      </c>
      <c r="D1780" s="5">
        <v>3017798</v>
      </c>
      <c r="E1780" s="5">
        <v>30883</v>
      </c>
      <c r="F1780" s="5">
        <v>808126622</v>
      </c>
      <c r="G1780" s="5">
        <v>1.0233620673086801</v>
      </c>
      <c r="H1780" s="5">
        <v>26167.361396237411</v>
      </c>
      <c r="I1780" s="5">
        <v>267.78685054466865</v>
      </c>
    </row>
    <row r="1781" spans="1:9" x14ac:dyDescent="0.2">
      <c r="A1781" s="5" t="s">
        <v>88</v>
      </c>
      <c r="B1781" s="5" t="s">
        <v>73</v>
      </c>
      <c r="C1781" s="5" t="s">
        <v>60</v>
      </c>
      <c r="D1781" s="5">
        <v>3003330</v>
      </c>
      <c r="E1781" s="5">
        <v>31207</v>
      </c>
      <c r="F1781" s="5">
        <v>787083278</v>
      </c>
      <c r="G1781" s="5">
        <v>1.0390799545837455</v>
      </c>
      <c r="H1781" s="5">
        <v>25221.369500432596</v>
      </c>
      <c r="I1781" s="5">
        <v>262.07019475049361</v>
      </c>
    </row>
    <row r="1782" spans="1:9" x14ac:dyDescent="0.2">
      <c r="A1782" s="5" t="s">
        <v>88</v>
      </c>
      <c r="B1782" s="5" t="s">
        <v>73</v>
      </c>
      <c r="C1782" s="5" t="s">
        <v>61</v>
      </c>
      <c r="D1782" s="5">
        <v>2987001</v>
      </c>
      <c r="E1782" s="5">
        <v>30338</v>
      </c>
      <c r="F1782" s="5">
        <v>796952686</v>
      </c>
      <c r="G1782" s="5">
        <v>1.015667554178924</v>
      </c>
      <c r="H1782" s="5">
        <v>26269.124068824578</v>
      </c>
      <c r="I1782" s="5">
        <v>266.80696993405758</v>
      </c>
    </row>
    <row r="1783" spans="1:9" x14ac:dyDescent="0.2">
      <c r="A1783" s="5" t="s">
        <v>88</v>
      </c>
      <c r="B1783" s="5" t="s">
        <v>73</v>
      </c>
      <c r="C1783" s="5" t="s">
        <v>62</v>
      </c>
      <c r="D1783" s="5">
        <v>2972037</v>
      </c>
      <c r="E1783" s="5">
        <v>31123</v>
      </c>
      <c r="F1783" s="5">
        <v>802037262</v>
      </c>
      <c r="G1783" s="5">
        <v>1.0471942307582307</v>
      </c>
      <c r="H1783" s="5">
        <v>25769.921344343413</v>
      </c>
      <c r="I1783" s="5">
        <v>269.86112958889811</v>
      </c>
    </row>
    <row r="1784" spans="1:9" x14ac:dyDescent="0.2">
      <c r="A1784" s="5" t="s">
        <v>88</v>
      </c>
      <c r="B1784" s="5" t="s">
        <v>64</v>
      </c>
      <c r="C1784" s="5" t="s">
        <v>45</v>
      </c>
      <c r="D1784" s="5">
        <v>3668352</v>
      </c>
      <c r="E1784" s="5">
        <v>408022</v>
      </c>
      <c r="F1784" s="5">
        <v>381906088</v>
      </c>
      <c r="G1784" s="5">
        <v>11.122760302173837</v>
      </c>
      <c r="H1784" s="5">
        <v>935.9938630760106</v>
      </c>
      <c r="I1784" s="5">
        <v>104.10835383300184</v>
      </c>
    </row>
    <row r="1785" spans="1:9" x14ac:dyDescent="0.2">
      <c r="A1785" s="5" t="s">
        <v>88</v>
      </c>
      <c r="B1785" s="5" t="s">
        <v>64</v>
      </c>
      <c r="C1785" s="5" t="s">
        <v>46</v>
      </c>
      <c r="D1785" s="5">
        <v>3675240</v>
      </c>
      <c r="E1785" s="5">
        <v>412920</v>
      </c>
      <c r="F1785" s="5">
        <v>387240249</v>
      </c>
      <c r="G1785" s="5">
        <v>11.235184641003036</v>
      </c>
      <c r="H1785" s="5">
        <v>937.80937954083117</v>
      </c>
      <c r="I1785" s="5">
        <v>105.36461537205733</v>
      </c>
    </row>
    <row r="1786" spans="1:9" x14ac:dyDescent="0.2">
      <c r="A1786" s="5" t="s">
        <v>88</v>
      </c>
      <c r="B1786" s="5" t="s">
        <v>64</v>
      </c>
      <c r="C1786" s="5" t="s">
        <v>47</v>
      </c>
      <c r="D1786" s="5">
        <v>3677686</v>
      </c>
      <c r="E1786" s="5">
        <v>411417</v>
      </c>
      <c r="F1786" s="5">
        <v>385655002</v>
      </c>
      <c r="G1786" s="5">
        <v>11.186844118829068</v>
      </c>
      <c r="H1786" s="5">
        <v>937.38227151527531</v>
      </c>
      <c r="I1786" s="5">
        <v>104.8634935119529</v>
      </c>
    </row>
    <row r="1787" spans="1:9" x14ac:dyDescent="0.2">
      <c r="A1787" s="5" t="s">
        <v>88</v>
      </c>
      <c r="B1787" s="5" t="s">
        <v>64</v>
      </c>
      <c r="C1787" s="5" t="s">
        <v>48</v>
      </c>
      <c r="D1787" s="5">
        <v>3668992</v>
      </c>
      <c r="E1787" s="5">
        <v>412036</v>
      </c>
      <c r="F1787" s="5">
        <v>383290988</v>
      </c>
      <c r="G1787" s="5">
        <v>11.2302234510187</v>
      </c>
      <c r="H1787" s="5">
        <v>930.23664922482499</v>
      </c>
      <c r="I1787" s="5">
        <v>104.46765433121686</v>
      </c>
    </row>
    <row r="1788" spans="1:9" x14ac:dyDescent="0.2">
      <c r="A1788" s="5" t="s">
        <v>88</v>
      </c>
      <c r="B1788" s="5" t="s">
        <v>64</v>
      </c>
      <c r="C1788" s="5" t="s">
        <v>49</v>
      </c>
      <c r="D1788" s="5">
        <v>3648693</v>
      </c>
      <c r="E1788" s="5">
        <v>406169</v>
      </c>
      <c r="F1788" s="5">
        <v>371582112</v>
      </c>
      <c r="G1788" s="5">
        <v>11.131903944782419</v>
      </c>
      <c r="H1788" s="5">
        <v>914.8460665388053</v>
      </c>
      <c r="I1788" s="5">
        <v>101.83978536972006</v>
      </c>
    </row>
    <row r="1789" spans="1:9" x14ac:dyDescent="0.2">
      <c r="A1789" s="5" t="s">
        <v>88</v>
      </c>
      <c r="B1789" s="5" t="s">
        <v>64</v>
      </c>
      <c r="C1789" s="5" t="s">
        <v>50</v>
      </c>
      <c r="D1789" s="5">
        <v>3623533</v>
      </c>
      <c r="E1789" s="5">
        <v>389674</v>
      </c>
      <c r="F1789" s="5">
        <v>354240653</v>
      </c>
      <c r="G1789" s="5">
        <v>10.753979610507203</v>
      </c>
      <c r="H1789" s="5">
        <v>909.06925532624712</v>
      </c>
      <c r="I1789" s="5">
        <v>97.76112236317428</v>
      </c>
    </row>
    <row r="1790" spans="1:9" x14ac:dyDescent="0.2">
      <c r="A1790" s="5" t="s">
        <v>88</v>
      </c>
      <c r="B1790" s="5" t="s">
        <v>64</v>
      </c>
      <c r="C1790" s="5" t="s">
        <v>51</v>
      </c>
      <c r="D1790" s="5">
        <v>3596880</v>
      </c>
      <c r="E1790" s="5">
        <v>380988</v>
      </c>
      <c r="F1790" s="5">
        <v>349960096</v>
      </c>
      <c r="G1790" s="5">
        <v>10.59217988923734</v>
      </c>
      <c r="H1790" s="5">
        <v>918.55936669921357</v>
      </c>
      <c r="I1790" s="5">
        <v>97.295460510219968</v>
      </c>
    </row>
    <row r="1791" spans="1:9" x14ac:dyDescent="0.2">
      <c r="A1791" s="5" t="s">
        <v>88</v>
      </c>
      <c r="B1791" s="5" t="s">
        <v>64</v>
      </c>
      <c r="C1791" s="5" t="s">
        <v>52</v>
      </c>
      <c r="D1791" s="5">
        <v>3569809</v>
      </c>
      <c r="E1791" s="5">
        <v>372150</v>
      </c>
      <c r="F1791" s="5">
        <v>345871668</v>
      </c>
      <c r="G1791" s="5">
        <v>10.42492749612094</v>
      </c>
      <c r="H1791" s="5">
        <v>929.38779524385325</v>
      </c>
      <c r="I1791" s="5">
        <v>96.888003811968645</v>
      </c>
    </row>
    <row r="1792" spans="1:9" x14ac:dyDescent="0.2">
      <c r="A1792" s="5" t="s">
        <v>88</v>
      </c>
      <c r="B1792" s="5" t="s">
        <v>64</v>
      </c>
      <c r="C1792" s="5" t="s">
        <v>53</v>
      </c>
      <c r="D1792" s="5">
        <v>3549700</v>
      </c>
      <c r="E1792" s="5">
        <v>364016</v>
      </c>
      <c r="F1792" s="5">
        <v>346847708</v>
      </c>
      <c r="G1792" s="5">
        <v>10.254838437051019</v>
      </c>
      <c r="H1792" s="5">
        <v>952.83643576106545</v>
      </c>
      <c r="I1792" s="5">
        <v>97.711837056652669</v>
      </c>
    </row>
    <row r="1793" spans="1:9" x14ac:dyDescent="0.2">
      <c r="A1793" s="5" t="s">
        <v>88</v>
      </c>
      <c r="B1793" s="5" t="s">
        <v>64</v>
      </c>
      <c r="C1793" s="5" t="s">
        <v>54</v>
      </c>
      <c r="D1793" s="5">
        <v>3523477</v>
      </c>
      <c r="E1793" s="5">
        <v>358244</v>
      </c>
      <c r="F1793" s="5">
        <v>345434511</v>
      </c>
      <c r="G1793" s="5">
        <v>10.167343223753129</v>
      </c>
      <c r="H1793" s="5">
        <v>964.24367470215827</v>
      </c>
      <c r="I1793" s="5">
        <v>98.03796392029804</v>
      </c>
    </row>
    <row r="1794" spans="1:9" x14ac:dyDescent="0.2">
      <c r="A1794" s="5" t="s">
        <v>88</v>
      </c>
      <c r="B1794" s="5" t="s">
        <v>64</v>
      </c>
      <c r="C1794" s="5" t="s">
        <v>55</v>
      </c>
      <c r="D1794" s="5">
        <v>3497295</v>
      </c>
      <c r="E1794" s="5">
        <v>344630</v>
      </c>
      <c r="F1794" s="5">
        <v>336112153</v>
      </c>
      <c r="G1794" s="5">
        <v>9.8541873076191742</v>
      </c>
      <c r="H1794" s="5">
        <v>975.28408147868731</v>
      </c>
      <c r="I1794" s="5">
        <v>96.10632017030305</v>
      </c>
    </row>
    <row r="1795" spans="1:9" x14ac:dyDescent="0.2">
      <c r="A1795" s="5" t="s">
        <v>88</v>
      </c>
      <c r="B1795" s="5" t="s">
        <v>64</v>
      </c>
      <c r="C1795" s="5" t="s">
        <v>56</v>
      </c>
      <c r="D1795" s="5">
        <v>3477146</v>
      </c>
      <c r="E1795" s="5">
        <v>332486</v>
      </c>
      <c r="F1795" s="5">
        <v>326050484</v>
      </c>
      <c r="G1795" s="5">
        <v>9.5620373720286693</v>
      </c>
      <c r="H1795" s="5">
        <v>980.64424968269338</v>
      </c>
      <c r="I1795" s="5">
        <v>93.769569641309275</v>
      </c>
    </row>
    <row r="1796" spans="1:9" x14ac:dyDescent="0.2">
      <c r="A1796" s="5" t="s">
        <v>88</v>
      </c>
      <c r="B1796" s="5" t="s">
        <v>64</v>
      </c>
      <c r="C1796" s="5" t="s">
        <v>57</v>
      </c>
      <c r="D1796" s="5">
        <v>3454928</v>
      </c>
      <c r="E1796" s="5">
        <v>321672</v>
      </c>
      <c r="F1796" s="5">
        <v>313738732</v>
      </c>
      <c r="G1796" s="5">
        <v>9.3105268763922151</v>
      </c>
      <c r="H1796" s="5">
        <v>975.33739958715705</v>
      </c>
      <c r="I1796" s="5">
        <v>90.809050724067191</v>
      </c>
    </row>
    <row r="1797" spans="1:9" x14ac:dyDescent="0.2">
      <c r="A1797" s="5" t="s">
        <v>88</v>
      </c>
      <c r="B1797" s="5" t="s">
        <v>64</v>
      </c>
      <c r="C1797" s="5" t="s">
        <v>58</v>
      </c>
      <c r="D1797" s="5">
        <v>3441142</v>
      </c>
      <c r="E1797" s="5">
        <v>315243</v>
      </c>
      <c r="F1797" s="5">
        <v>306598907</v>
      </c>
      <c r="G1797" s="5">
        <v>9.1609994589005623</v>
      </c>
      <c r="H1797" s="5">
        <v>972.57958781003856</v>
      </c>
      <c r="I1797" s="5">
        <v>89.098010776654959</v>
      </c>
    </row>
    <row r="1798" spans="1:9" x14ac:dyDescent="0.2">
      <c r="A1798" s="5" t="s">
        <v>88</v>
      </c>
      <c r="B1798" s="5" t="s">
        <v>64</v>
      </c>
      <c r="C1798" s="5" t="s">
        <v>59</v>
      </c>
      <c r="D1798" s="5">
        <v>3426619</v>
      </c>
      <c r="E1798" s="5">
        <v>309528</v>
      </c>
      <c r="F1798" s="5">
        <v>299070684</v>
      </c>
      <c r="G1798" s="5">
        <v>9.0330439421482218</v>
      </c>
      <c r="H1798" s="5">
        <v>966.21528262386596</v>
      </c>
      <c r="I1798" s="5">
        <v>87.278651055165454</v>
      </c>
    </row>
    <row r="1799" spans="1:9" x14ac:dyDescent="0.2">
      <c r="A1799" s="5" t="s">
        <v>88</v>
      </c>
      <c r="B1799" s="5" t="s">
        <v>64</v>
      </c>
      <c r="C1799" s="5" t="s">
        <v>60</v>
      </c>
      <c r="D1799" s="5">
        <v>3411527</v>
      </c>
      <c r="E1799" s="5">
        <v>304412</v>
      </c>
      <c r="F1799" s="5">
        <v>295168614</v>
      </c>
      <c r="G1799" s="5">
        <v>8.9230423795561347</v>
      </c>
      <c r="H1799" s="5">
        <v>969.63527719012393</v>
      </c>
      <c r="I1799" s="5">
        <v>86.520966710801346</v>
      </c>
    </row>
    <row r="1800" spans="1:9" x14ac:dyDescent="0.2">
      <c r="A1800" s="5" t="s">
        <v>88</v>
      </c>
      <c r="B1800" s="5" t="s">
        <v>64</v>
      </c>
      <c r="C1800" s="5" t="s">
        <v>61</v>
      </c>
      <c r="D1800" s="5">
        <v>3394664</v>
      </c>
      <c r="E1800" s="5">
        <v>297238</v>
      </c>
      <c r="F1800" s="5">
        <v>294682289</v>
      </c>
      <c r="G1800" s="5">
        <v>8.7560359434689268</v>
      </c>
      <c r="H1800" s="5">
        <v>991.40180259589954</v>
      </c>
      <c r="I1800" s="5">
        <v>86.807498179495823</v>
      </c>
    </row>
    <row r="1801" spans="1:9" x14ac:dyDescent="0.2">
      <c r="A1801" s="5" t="s">
        <v>88</v>
      </c>
      <c r="B1801" s="5" t="s">
        <v>64</v>
      </c>
      <c r="C1801" s="5" t="s">
        <v>62</v>
      </c>
      <c r="D1801" s="5">
        <v>3376751</v>
      </c>
      <c r="E1801" s="5">
        <v>290514</v>
      </c>
      <c r="F1801" s="5">
        <v>298591015</v>
      </c>
      <c r="G1801" s="5">
        <v>8.603358672285875</v>
      </c>
      <c r="H1801" s="5">
        <v>1027.8024983305452</v>
      </c>
      <c r="I1801" s="5">
        <v>88.425535374091837</v>
      </c>
    </row>
    <row r="1802" spans="1:9" x14ac:dyDescent="0.2">
      <c r="A1802" s="5" t="s">
        <v>88</v>
      </c>
      <c r="B1802" s="5" t="s">
        <v>65</v>
      </c>
      <c r="C1802" s="5" t="s">
        <v>45</v>
      </c>
      <c r="D1802" s="5">
        <v>3373183</v>
      </c>
      <c r="E1802" s="5">
        <v>409881</v>
      </c>
      <c r="F1802" s="5">
        <v>994161606</v>
      </c>
      <c r="G1802" s="5">
        <v>12.151164048911665</v>
      </c>
      <c r="H1802" s="5">
        <v>2425.4883880931293</v>
      </c>
      <c r="I1802" s="5">
        <v>294.72507302449941</v>
      </c>
    </row>
    <row r="1803" spans="1:9" x14ac:dyDescent="0.2">
      <c r="A1803" s="5" t="s">
        <v>88</v>
      </c>
      <c r="B1803" s="5" t="s">
        <v>65</v>
      </c>
      <c r="C1803" s="5" t="s">
        <v>46</v>
      </c>
      <c r="D1803" s="5">
        <v>3374002</v>
      </c>
      <c r="E1803" s="5">
        <v>391938</v>
      </c>
      <c r="F1803" s="5">
        <v>971951481</v>
      </c>
      <c r="G1803" s="5">
        <v>11.616412794064734</v>
      </c>
      <c r="H1803" s="5">
        <v>2479.8602865759381</v>
      </c>
      <c r="I1803" s="5">
        <v>288.07080760473764</v>
      </c>
    </row>
    <row r="1804" spans="1:9" x14ac:dyDescent="0.2">
      <c r="A1804" s="5" t="s">
        <v>88</v>
      </c>
      <c r="B1804" s="5" t="s">
        <v>65</v>
      </c>
      <c r="C1804" s="5" t="s">
        <v>47</v>
      </c>
      <c r="D1804" s="5">
        <v>3372864</v>
      </c>
      <c r="E1804" s="5">
        <v>384430</v>
      </c>
      <c r="F1804" s="5">
        <v>960799301</v>
      </c>
      <c r="G1804" s="5">
        <v>11.397732016470275</v>
      </c>
      <c r="H1804" s="5">
        <v>2499.2828369273989</v>
      </c>
      <c r="I1804" s="5">
        <v>284.86156008662073</v>
      </c>
    </row>
    <row r="1805" spans="1:9" x14ac:dyDescent="0.2">
      <c r="A1805" s="5" t="s">
        <v>88</v>
      </c>
      <c r="B1805" s="5" t="s">
        <v>65</v>
      </c>
      <c r="C1805" s="5" t="s">
        <v>48</v>
      </c>
      <c r="D1805" s="5">
        <v>3361146</v>
      </c>
      <c r="E1805" s="5">
        <v>382953</v>
      </c>
      <c r="F1805" s="5">
        <v>955736775</v>
      </c>
      <c r="G1805" s="5">
        <v>11.39352470853691</v>
      </c>
      <c r="H1805" s="5">
        <v>2495.7025405206382</v>
      </c>
      <c r="I1805" s="5">
        <v>284.3484856058023</v>
      </c>
    </row>
    <row r="1806" spans="1:9" x14ac:dyDescent="0.2">
      <c r="A1806" s="5" t="s">
        <v>88</v>
      </c>
      <c r="B1806" s="5" t="s">
        <v>65</v>
      </c>
      <c r="C1806" s="5" t="s">
        <v>49</v>
      </c>
      <c r="D1806" s="5">
        <v>3336979</v>
      </c>
      <c r="E1806" s="5">
        <v>379594</v>
      </c>
      <c r="F1806" s="5">
        <v>948070005</v>
      </c>
      <c r="G1806" s="5">
        <v>11.375378748263024</v>
      </c>
      <c r="H1806" s="5">
        <v>2497.5895430380879</v>
      </c>
      <c r="I1806" s="5">
        <v>284.11027009759425</v>
      </c>
    </row>
    <row r="1807" spans="1:9" x14ac:dyDescent="0.2">
      <c r="A1807" s="5" t="s">
        <v>88</v>
      </c>
      <c r="B1807" s="5" t="s">
        <v>65</v>
      </c>
      <c r="C1807" s="5" t="s">
        <v>50</v>
      </c>
      <c r="D1807" s="5">
        <v>3307891</v>
      </c>
      <c r="E1807" s="5">
        <v>373043</v>
      </c>
      <c r="F1807" s="5">
        <v>943565453</v>
      </c>
      <c r="G1807" s="5">
        <v>11.277366757248048</v>
      </c>
      <c r="H1807" s="5">
        <v>2529.3745037435365</v>
      </c>
      <c r="I1807" s="5">
        <v>285.24683945148132</v>
      </c>
    </row>
    <row r="1808" spans="1:9" x14ac:dyDescent="0.2">
      <c r="A1808" s="5" t="s">
        <v>88</v>
      </c>
      <c r="B1808" s="5" t="s">
        <v>65</v>
      </c>
      <c r="C1808" s="5" t="s">
        <v>51</v>
      </c>
      <c r="D1808" s="5">
        <v>3277710</v>
      </c>
      <c r="E1808" s="5">
        <v>362742</v>
      </c>
      <c r="F1808" s="5">
        <v>931534283</v>
      </c>
      <c r="G1808" s="5">
        <v>11.066933926430343</v>
      </c>
      <c r="H1808" s="5">
        <v>2568.0353612209228</v>
      </c>
      <c r="I1808" s="5">
        <v>284.20277663368631</v>
      </c>
    </row>
    <row r="1809" spans="1:9" x14ac:dyDescent="0.2">
      <c r="A1809" s="5" t="s">
        <v>88</v>
      </c>
      <c r="B1809" s="5" t="s">
        <v>65</v>
      </c>
      <c r="C1809" s="5" t="s">
        <v>52</v>
      </c>
      <c r="D1809" s="5">
        <v>3247868</v>
      </c>
      <c r="E1809" s="5">
        <v>350461</v>
      </c>
      <c r="F1809" s="5">
        <v>912242244</v>
      </c>
      <c r="G1809" s="5">
        <v>10.790493948645697</v>
      </c>
      <c r="H1809" s="5">
        <v>2602.9779176570287</v>
      </c>
      <c r="I1809" s="5">
        <v>280.87417468936547</v>
      </c>
    </row>
    <row r="1810" spans="1:9" x14ac:dyDescent="0.2">
      <c r="A1810" s="5" t="s">
        <v>88</v>
      </c>
      <c r="B1810" s="5" t="s">
        <v>65</v>
      </c>
      <c r="C1810" s="5" t="s">
        <v>53</v>
      </c>
      <c r="D1810" s="5">
        <v>3226252</v>
      </c>
      <c r="E1810" s="5">
        <v>339931</v>
      </c>
      <c r="F1810" s="5">
        <v>890674274</v>
      </c>
      <c r="G1810" s="5">
        <v>10.536405711643107</v>
      </c>
      <c r="H1810" s="5">
        <v>2620.1619563970335</v>
      </c>
      <c r="I1810" s="5">
        <v>276.07089402811681</v>
      </c>
    </row>
    <row r="1811" spans="1:9" x14ac:dyDescent="0.2">
      <c r="A1811" s="5" t="s">
        <v>88</v>
      </c>
      <c r="B1811" s="5" t="s">
        <v>65</v>
      </c>
      <c r="C1811" s="5" t="s">
        <v>54</v>
      </c>
      <c r="D1811" s="5">
        <v>3196859</v>
      </c>
      <c r="E1811" s="5">
        <v>331572</v>
      </c>
      <c r="F1811" s="5">
        <v>865987446</v>
      </c>
      <c r="G1811" s="5">
        <v>10.371805575410113</v>
      </c>
      <c r="H1811" s="5">
        <v>2611.7628931272848</v>
      </c>
      <c r="I1811" s="5">
        <v>270.8869693658682</v>
      </c>
    </row>
    <row r="1812" spans="1:9" x14ac:dyDescent="0.2">
      <c r="A1812" s="5" t="s">
        <v>88</v>
      </c>
      <c r="B1812" s="5" t="s">
        <v>65</v>
      </c>
      <c r="C1812" s="5" t="s">
        <v>55</v>
      </c>
      <c r="D1812" s="5">
        <v>3168267</v>
      </c>
      <c r="E1812" s="5">
        <v>321642</v>
      </c>
      <c r="F1812" s="5">
        <v>837567687</v>
      </c>
      <c r="G1812" s="5">
        <v>10.151985296693745</v>
      </c>
      <c r="H1812" s="5">
        <v>2604.0370567276664</v>
      </c>
      <c r="I1812" s="5">
        <v>264.36145911944919</v>
      </c>
    </row>
    <row r="1813" spans="1:9" x14ac:dyDescent="0.2">
      <c r="A1813" s="5" t="s">
        <v>88</v>
      </c>
      <c r="B1813" s="5" t="s">
        <v>65</v>
      </c>
      <c r="C1813" s="5" t="s">
        <v>56</v>
      </c>
      <c r="D1813" s="5">
        <v>3145164</v>
      </c>
      <c r="E1813" s="5">
        <v>314384</v>
      </c>
      <c r="F1813" s="5">
        <v>821436292</v>
      </c>
      <c r="G1813" s="5">
        <v>9.9957903626011237</v>
      </c>
      <c r="H1813" s="5">
        <v>2612.8438215685278</v>
      </c>
      <c r="I1813" s="5">
        <v>261.1743909061658</v>
      </c>
    </row>
    <row r="1814" spans="1:9" x14ac:dyDescent="0.2">
      <c r="A1814" s="5" t="s">
        <v>88</v>
      </c>
      <c r="B1814" s="5" t="s">
        <v>65</v>
      </c>
      <c r="C1814" s="5" t="s">
        <v>57</v>
      </c>
      <c r="D1814" s="5">
        <v>3119034</v>
      </c>
      <c r="E1814" s="5">
        <v>309544</v>
      </c>
      <c r="F1814" s="5">
        <v>811406180</v>
      </c>
      <c r="G1814" s="5">
        <v>9.9243547842056223</v>
      </c>
      <c r="H1814" s="5">
        <v>2621.2951309022305</v>
      </c>
      <c r="I1814" s="5">
        <v>260.14662873184454</v>
      </c>
    </row>
    <row r="1815" spans="1:9" x14ac:dyDescent="0.2">
      <c r="A1815" s="5" t="s">
        <v>88</v>
      </c>
      <c r="B1815" s="5" t="s">
        <v>65</v>
      </c>
      <c r="C1815" s="5" t="s">
        <v>58</v>
      </c>
      <c r="D1815" s="5">
        <v>3102929</v>
      </c>
      <c r="E1815" s="5">
        <v>307318</v>
      </c>
      <c r="F1815" s="5">
        <v>814598008</v>
      </c>
      <c r="G1815" s="5">
        <v>9.9041260692719693</v>
      </c>
      <c r="H1815" s="5">
        <v>2650.6680636994906</v>
      </c>
      <c r="I1815" s="5">
        <v>262.52550670672775</v>
      </c>
    </row>
    <row r="1816" spans="1:9" x14ac:dyDescent="0.2">
      <c r="A1816" s="5" t="s">
        <v>88</v>
      </c>
      <c r="B1816" s="5" t="s">
        <v>65</v>
      </c>
      <c r="C1816" s="5" t="s">
        <v>59</v>
      </c>
      <c r="D1816" s="5">
        <v>3087023</v>
      </c>
      <c r="E1816" s="5">
        <v>303897</v>
      </c>
      <c r="F1816" s="5">
        <v>809704018</v>
      </c>
      <c r="G1816" s="5">
        <v>9.8443387043115642</v>
      </c>
      <c r="H1816" s="5">
        <v>2664.4028009490057</v>
      </c>
      <c r="I1816" s="5">
        <v>262.29283617258437</v>
      </c>
    </row>
    <row r="1817" spans="1:9" x14ac:dyDescent="0.2">
      <c r="A1817" s="5" t="s">
        <v>88</v>
      </c>
      <c r="B1817" s="5" t="s">
        <v>65</v>
      </c>
      <c r="C1817" s="5" t="s">
        <v>60</v>
      </c>
      <c r="D1817" s="5">
        <v>3070653</v>
      </c>
      <c r="E1817" s="5">
        <v>298724</v>
      </c>
      <c r="F1817" s="5">
        <v>798690103</v>
      </c>
      <c r="G1817" s="5">
        <v>9.7283541969737382</v>
      </c>
      <c r="H1817" s="5">
        <v>2673.6723631177942</v>
      </c>
      <c r="I1817" s="5">
        <v>260.10431755069686</v>
      </c>
    </row>
    <row r="1818" spans="1:9" x14ac:dyDescent="0.2">
      <c r="A1818" s="5" t="s">
        <v>88</v>
      </c>
      <c r="B1818" s="5" t="s">
        <v>65</v>
      </c>
      <c r="C1818" s="5" t="s">
        <v>61</v>
      </c>
      <c r="D1818" s="5">
        <v>3051954</v>
      </c>
      <c r="E1818" s="5">
        <v>291574</v>
      </c>
      <c r="F1818" s="5">
        <v>787890997</v>
      </c>
      <c r="G1818" s="5">
        <v>9.5536826570780562</v>
      </c>
      <c r="H1818" s="5">
        <v>2702.1990883960848</v>
      </c>
      <c r="I1818" s="5">
        <v>258.15952566781806</v>
      </c>
    </row>
    <row r="1819" spans="1:9" x14ac:dyDescent="0.2">
      <c r="A1819" s="5" t="s">
        <v>88</v>
      </c>
      <c r="B1819" s="5" t="s">
        <v>65</v>
      </c>
      <c r="C1819" s="5" t="s">
        <v>62</v>
      </c>
      <c r="D1819" s="5">
        <v>3034340</v>
      </c>
      <c r="E1819" s="5">
        <v>278996</v>
      </c>
      <c r="F1819" s="5">
        <v>753265112</v>
      </c>
      <c r="G1819" s="5">
        <v>9.1946189286632354</v>
      </c>
      <c r="H1819" s="5">
        <v>2699.9136618446141</v>
      </c>
      <c r="I1819" s="5">
        <v>248.24677260952959</v>
      </c>
    </row>
    <row r="1820" spans="1:9" x14ac:dyDescent="0.2">
      <c r="A1820" s="5" t="s">
        <v>88</v>
      </c>
      <c r="B1820" s="5" t="s">
        <v>89</v>
      </c>
      <c r="C1820" s="5" t="s">
        <v>45</v>
      </c>
      <c r="D1820" s="5">
        <v>3434407</v>
      </c>
      <c r="E1820" s="5">
        <v>23821</v>
      </c>
      <c r="F1820" s="5">
        <v>37792861</v>
      </c>
      <c r="G1820" s="5">
        <v>0.69359863289353885</v>
      </c>
      <c r="H1820" s="5">
        <v>1586.5354519121784</v>
      </c>
      <c r="I1820" s="5">
        <v>11.004188204834197</v>
      </c>
    </row>
    <row r="1821" spans="1:9" x14ac:dyDescent="0.2">
      <c r="A1821" s="5" t="s">
        <v>88</v>
      </c>
      <c r="B1821" s="5" t="s">
        <v>89</v>
      </c>
      <c r="C1821" s="5" t="s">
        <v>46</v>
      </c>
      <c r="D1821" s="5">
        <v>3424328</v>
      </c>
      <c r="E1821" s="5">
        <v>23024</v>
      </c>
      <c r="F1821" s="5">
        <v>36701974</v>
      </c>
      <c r="G1821" s="5">
        <v>0.67236549769765042</v>
      </c>
      <c r="H1821" s="5">
        <v>1594.0746177901319</v>
      </c>
      <c r="I1821" s="5">
        <v>10.71800773757654</v>
      </c>
    </row>
    <row r="1822" spans="1:9" x14ac:dyDescent="0.2">
      <c r="A1822" s="5" t="s">
        <v>88</v>
      </c>
      <c r="B1822" s="5" t="s">
        <v>89</v>
      </c>
      <c r="C1822" s="5" t="s">
        <v>47</v>
      </c>
      <c r="D1822" s="5">
        <v>3409023</v>
      </c>
      <c r="E1822" s="5">
        <v>22807</v>
      </c>
      <c r="F1822" s="5">
        <v>37068482</v>
      </c>
      <c r="G1822" s="5">
        <v>0.66901866018504419</v>
      </c>
      <c r="H1822" s="5">
        <v>1625.3116148550882</v>
      </c>
      <c r="I1822" s="5">
        <v>10.873637989535418</v>
      </c>
    </row>
    <row r="1823" spans="1:9" x14ac:dyDescent="0.2">
      <c r="A1823" s="5" t="s">
        <v>88</v>
      </c>
      <c r="B1823" s="5" t="s">
        <v>89</v>
      </c>
      <c r="C1823" s="5" t="s">
        <v>48</v>
      </c>
      <c r="D1823" s="5">
        <v>3380036</v>
      </c>
      <c r="E1823" s="5">
        <v>23050</v>
      </c>
      <c r="F1823" s="5">
        <v>38050427</v>
      </c>
      <c r="G1823" s="5">
        <v>0.68194539939811294</v>
      </c>
      <c r="H1823" s="5">
        <v>1650.7777440347072</v>
      </c>
      <c r="I1823" s="5">
        <v>11.257402879732641</v>
      </c>
    </row>
    <row r="1824" spans="1:9" x14ac:dyDescent="0.2">
      <c r="A1824" s="5" t="s">
        <v>88</v>
      </c>
      <c r="B1824" s="5" t="s">
        <v>89</v>
      </c>
      <c r="C1824" s="5" t="s">
        <v>49</v>
      </c>
      <c r="D1824" s="5">
        <v>3336829</v>
      </c>
      <c r="E1824" s="5">
        <v>22795</v>
      </c>
      <c r="F1824" s="5">
        <v>39010664</v>
      </c>
      <c r="G1824" s="5">
        <v>0.68313359779599137</v>
      </c>
      <c r="H1824" s="5">
        <v>1711.3693353805659</v>
      </c>
      <c r="I1824" s="5">
        <v>11.690938912362606</v>
      </c>
    </row>
    <row r="1825" spans="1:9" x14ac:dyDescent="0.2">
      <c r="A1825" s="5" t="s">
        <v>88</v>
      </c>
      <c r="B1825" s="5" t="s">
        <v>89</v>
      </c>
      <c r="C1825" s="5" t="s">
        <v>50</v>
      </c>
      <c r="D1825" s="5">
        <v>3288995</v>
      </c>
      <c r="E1825" s="5">
        <v>23109</v>
      </c>
      <c r="F1825" s="5">
        <v>39585338</v>
      </c>
      <c r="G1825" s="5">
        <v>0.70261584465771454</v>
      </c>
      <c r="H1825" s="5">
        <v>1712.9835994634125</v>
      </c>
      <c r="I1825" s="5">
        <v>12.035694186217979</v>
      </c>
    </row>
    <row r="1826" spans="1:9" x14ac:dyDescent="0.2">
      <c r="A1826" s="5" t="s">
        <v>88</v>
      </c>
      <c r="B1826" s="5" t="s">
        <v>89</v>
      </c>
      <c r="C1826" s="5" t="s">
        <v>51</v>
      </c>
      <c r="D1826" s="5">
        <v>3241926</v>
      </c>
      <c r="E1826" s="5">
        <v>22744</v>
      </c>
      <c r="F1826" s="5">
        <v>40067481</v>
      </c>
      <c r="G1826" s="5">
        <v>0.70155827122519143</v>
      </c>
      <c r="H1826" s="5">
        <v>1761.6725729862821</v>
      </c>
      <c r="I1826" s="5">
        <v>12.359159647690909</v>
      </c>
    </row>
    <row r="1827" spans="1:9" x14ac:dyDescent="0.2">
      <c r="A1827" s="5" t="s">
        <v>88</v>
      </c>
      <c r="B1827" s="5" t="s">
        <v>89</v>
      </c>
      <c r="C1827" s="5" t="s">
        <v>52</v>
      </c>
      <c r="D1827" s="5">
        <v>3198031</v>
      </c>
      <c r="E1827" s="5">
        <v>22397</v>
      </c>
      <c r="F1827" s="5">
        <v>39392713</v>
      </c>
      <c r="G1827" s="5">
        <v>0.70033717621874214</v>
      </c>
      <c r="H1827" s="5">
        <v>1758.8388176987989</v>
      </c>
      <c r="I1827" s="5">
        <v>12.317802110110877</v>
      </c>
    </row>
    <row r="1828" spans="1:9" x14ac:dyDescent="0.2">
      <c r="A1828" s="5" t="s">
        <v>88</v>
      </c>
      <c r="B1828" s="5" t="s">
        <v>89</v>
      </c>
      <c r="C1828" s="5" t="s">
        <v>53</v>
      </c>
      <c r="D1828" s="5">
        <v>3160874</v>
      </c>
      <c r="E1828" s="5">
        <v>21956</v>
      </c>
      <c r="F1828" s="5">
        <v>38751348</v>
      </c>
      <c r="G1828" s="5">
        <v>0.69461800755107606</v>
      </c>
      <c r="H1828" s="5">
        <v>1764.9548187283658</v>
      </c>
      <c r="I1828" s="5">
        <v>12.25969399602768</v>
      </c>
    </row>
    <row r="1829" spans="1:9" x14ac:dyDescent="0.2">
      <c r="A1829" s="5" t="s">
        <v>88</v>
      </c>
      <c r="B1829" s="5" t="s">
        <v>89</v>
      </c>
      <c r="C1829" s="5" t="s">
        <v>54</v>
      </c>
      <c r="D1829" s="5">
        <v>3125415</v>
      </c>
      <c r="E1829" s="5">
        <v>21540</v>
      </c>
      <c r="F1829" s="5">
        <v>38145999</v>
      </c>
      <c r="G1829" s="5">
        <v>0.68918847577041764</v>
      </c>
      <c r="H1829" s="5">
        <v>1770.9377437325904</v>
      </c>
      <c r="I1829" s="5">
        <v>12.205098842873666</v>
      </c>
    </row>
    <row r="1830" spans="1:9" x14ac:dyDescent="0.2">
      <c r="A1830" s="5" t="s">
        <v>88</v>
      </c>
      <c r="B1830" s="5" t="s">
        <v>89</v>
      </c>
      <c r="C1830" s="5" t="s">
        <v>55</v>
      </c>
      <c r="D1830" s="5">
        <v>3093681</v>
      </c>
      <c r="E1830" s="5">
        <v>21164</v>
      </c>
      <c r="F1830" s="5">
        <v>38211928</v>
      </c>
      <c r="G1830" s="5">
        <v>0.68410414648439832</v>
      </c>
      <c r="H1830" s="5">
        <v>1805.5154035154035</v>
      </c>
      <c r="I1830" s="5">
        <v>12.351605740863393</v>
      </c>
    </row>
    <row r="1831" spans="1:9" x14ac:dyDescent="0.2">
      <c r="A1831" s="5" t="s">
        <v>88</v>
      </c>
      <c r="B1831" s="5" t="s">
        <v>89</v>
      </c>
      <c r="C1831" s="5" t="s">
        <v>56</v>
      </c>
      <c r="D1831" s="5">
        <v>3069077</v>
      </c>
      <c r="E1831" s="5">
        <v>20749</v>
      </c>
      <c r="F1831" s="5">
        <v>37829594</v>
      </c>
      <c r="G1831" s="5">
        <v>0.67606645255234721</v>
      </c>
      <c r="H1831" s="5">
        <v>1823.2008289556122</v>
      </c>
      <c r="I1831" s="5">
        <v>12.326049167225195</v>
      </c>
    </row>
    <row r="1832" spans="1:9" x14ac:dyDescent="0.2">
      <c r="A1832" s="5" t="s">
        <v>88</v>
      </c>
      <c r="B1832" s="5" t="s">
        <v>89</v>
      </c>
      <c r="C1832" s="5" t="s">
        <v>57</v>
      </c>
      <c r="D1832" s="5">
        <v>3048933</v>
      </c>
      <c r="E1832" s="5">
        <v>20570</v>
      </c>
      <c r="F1832" s="5">
        <v>37476692</v>
      </c>
      <c r="G1832" s="5">
        <v>0.67466225069557118</v>
      </c>
      <c r="H1832" s="5">
        <v>1821.9101604278076</v>
      </c>
      <c r="I1832" s="5">
        <v>12.291740093993537</v>
      </c>
    </row>
    <row r="1833" spans="1:9" x14ac:dyDescent="0.2">
      <c r="A1833" s="5" t="s">
        <v>88</v>
      </c>
      <c r="B1833" s="5" t="s">
        <v>89</v>
      </c>
      <c r="C1833" s="5" t="s">
        <v>58</v>
      </c>
      <c r="D1833" s="5">
        <v>3032957</v>
      </c>
      <c r="E1833" s="5">
        <v>20344</v>
      </c>
      <c r="F1833" s="5">
        <v>37895475</v>
      </c>
      <c r="G1833" s="5">
        <v>0.67076453771022804</v>
      </c>
      <c r="H1833" s="5">
        <v>1862.7347129374755</v>
      </c>
      <c r="I1833" s="5">
        <v>12.494563886003</v>
      </c>
    </row>
    <row r="1834" spans="1:9" x14ac:dyDescent="0.2">
      <c r="A1834" s="5" t="s">
        <v>88</v>
      </c>
      <c r="B1834" s="5" t="s">
        <v>89</v>
      </c>
      <c r="C1834" s="5" t="s">
        <v>59</v>
      </c>
      <c r="D1834" s="5">
        <v>3017798</v>
      </c>
      <c r="E1834" s="5">
        <v>20677</v>
      </c>
      <c r="F1834" s="5">
        <v>37128779</v>
      </c>
      <c r="G1834" s="5">
        <v>0.68516845726586073</v>
      </c>
      <c r="H1834" s="5">
        <v>1795.6559945833535</v>
      </c>
      <c r="I1834" s="5">
        <v>12.303268475888711</v>
      </c>
    </row>
    <row r="1835" spans="1:9" x14ac:dyDescent="0.2">
      <c r="A1835" s="5" t="s">
        <v>88</v>
      </c>
      <c r="B1835" s="5" t="s">
        <v>89</v>
      </c>
      <c r="C1835" s="5" t="s">
        <v>60</v>
      </c>
      <c r="D1835" s="5">
        <v>3003330</v>
      </c>
      <c r="E1835" s="5">
        <v>20711</v>
      </c>
      <c r="F1835" s="5">
        <v>37021307</v>
      </c>
      <c r="G1835" s="5">
        <v>0.68960120932431668</v>
      </c>
      <c r="H1835" s="5">
        <v>1787.5190478489692</v>
      </c>
      <c r="I1835" s="5">
        <v>12.326752970869002</v>
      </c>
    </row>
    <row r="1836" spans="1:9" x14ac:dyDescent="0.2">
      <c r="A1836" s="5" t="s">
        <v>88</v>
      </c>
      <c r="B1836" s="5" t="s">
        <v>89</v>
      </c>
      <c r="C1836" s="5" t="s">
        <v>61</v>
      </c>
      <c r="D1836" s="5">
        <v>2987001</v>
      </c>
      <c r="E1836" s="5">
        <v>20337</v>
      </c>
      <c r="F1836" s="5">
        <v>36405333</v>
      </c>
      <c r="G1836" s="5">
        <v>0.6808501235854959</v>
      </c>
      <c r="H1836" s="5">
        <v>1790.1034075822392</v>
      </c>
      <c r="I1836" s="5">
        <v>12.18792126283185</v>
      </c>
    </row>
    <row r="1837" spans="1:9" x14ac:dyDescent="0.2">
      <c r="A1837" s="5" t="s">
        <v>88</v>
      </c>
      <c r="B1837" s="5" t="s">
        <v>89</v>
      </c>
      <c r="C1837" s="5" t="s">
        <v>62</v>
      </c>
      <c r="D1837" s="5">
        <v>2972037</v>
      </c>
      <c r="E1837" s="5">
        <v>20095</v>
      </c>
      <c r="F1837" s="5">
        <v>37069304</v>
      </c>
      <c r="G1837" s="5">
        <v>0.67613559319752747</v>
      </c>
      <c r="H1837" s="5">
        <v>1844.7028614083106</v>
      </c>
      <c r="I1837" s="5">
        <v>12.472692634714845</v>
      </c>
    </row>
    <row r="1838" spans="1:9" x14ac:dyDescent="0.2">
      <c r="A1838" s="5" t="s">
        <v>90</v>
      </c>
      <c r="B1838" s="5" t="s">
        <v>44</v>
      </c>
      <c r="C1838" s="5" t="s">
        <v>45</v>
      </c>
      <c r="D1838" s="5">
        <v>2207811</v>
      </c>
      <c r="E1838" s="5">
        <v>6977</v>
      </c>
      <c r="F1838" s="5">
        <v>144931430</v>
      </c>
      <c r="G1838" s="5">
        <v>0.31601436898357693</v>
      </c>
      <c r="H1838" s="5">
        <v>20772.743299412356</v>
      </c>
      <c r="I1838" s="5">
        <v>65.644853658216221</v>
      </c>
    </row>
    <row r="1839" spans="1:9" x14ac:dyDescent="0.2">
      <c r="A1839" s="5" t="s">
        <v>90</v>
      </c>
      <c r="B1839" s="5" t="s">
        <v>44</v>
      </c>
      <c r="C1839" s="5" t="s">
        <v>46</v>
      </c>
      <c r="D1839" s="5">
        <v>2229957</v>
      </c>
      <c r="E1839" s="5">
        <v>6989</v>
      </c>
      <c r="F1839" s="5">
        <v>139003302</v>
      </c>
      <c r="G1839" s="5">
        <v>0.31341411516006812</v>
      </c>
      <c r="H1839" s="5">
        <v>19888.868507654886</v>
      </c>
      <c r="I1839" s="5">
        <v>62.334521248616007</v>
      </c>
    </row>
    <row r="1840" spans="1:9" x14ac:dyDescent="0.2">
      <c r="A1840" s="5" t="s">
        <v>90</v>
      </c>
      <c r="B1840" s="5" t="s">
        <v>44</v>
      </c>
      <c r="C1840" s="5" t="s">
        <v>47</v>
      </c>
      <c r="D1840" s="5">
        <v>2255488</v>
      </c>
      <c r="E1840" s="5">
        <v>6926</v>
      </c>
      <c r="F1840" s="5">
        <v>136403045</v>
      </c>
      <c r="G1840" s="5">
        <v>0.30707323647920093</v>
      </c>
      <c r="H1840" s="5">
        <v>19694.346664741555</v>
      </c>
      <c r="I1840" s="5">
        <v>60.47606770685546</v>
      </c>
    </row>
    <row r="1841" spans="1:9" x14ac:dyDescent="0.2">
      <c r="A1841" s="5" t="s">
        <v>90</v>
      </c>
      <c r="B1841" s="5" t="s">
        <v>44</v>
      </c>
      <c r="C1841" s="5" t="s">
        <v>48</v>
      </c>
      <c r="D1841" s="5">
        <v>2278533</v>
      </c>
      <c r="E1841" s="5">
        <v>6902</v>
      </c>
      <c r="F1841" s="5">
        <v>134218735</v>
      </c>
      <c r="G1841" s="5">
        <v>0.30291419961878979</v>
      </c>
      <c r="H1841" s="5">
        <v>19446.353955375253</v>
      </c>
      <c r="I1841" s="5">
        <v>58.905767438961824</v>
      </c>
    </row>
    <row r="1842" spans="1:9" x14ac:dyDescent="0.2">
      <c r="A1842" s="5" t="s">
        <v>90</v>
      </c>
      <c r="B1842" s="5" t="s">
        <v>44</v>
      </c>
      <c r="C1842" s="5" t="s">
        <v>49</v>
      </c>
      <c r="D1842" s="5">
        <v>2292052</v>
      </c>
      <c r="E1842" s="5">
        <v>6716</v>
      </c>
      <c r="F1842" s="5">
        <v>128598618</v>
      </c>
      <c r="G1842" s="5">
        <v>0.2930125494535028</v>
      </c>
      <c r="H1842" s="5">
        <v>19148.09678379988</v>
      </c>
      <c r="I1842" s="5">
        <v>56.106326558036208</v>
      </c>
    </row>
    <row r="1843" spans="1:9" x14ac:dyDescent="0.2">
      <c r="A1843" s="5" t="s">
        <v>90</v>
      </c>
      <c r="B1843" s="5" t="s">
        <v>44</v>
      </c>
      <c r="C1843" s="5" t="s">
        <v>50</v>
      </c>
      <c r="D1843" s="5">
        <v>2296054</v>
      </c>
      <c r="E1843" s="5">
        <v>6555</v>
      </c>
      <c r="F1843" s="5">
        <v>129696425</v>
      </c>
      <c r="G1843" s="5">
        <v>0.28548980119805545</v>
      </c>
      <c r="H1843" s="5">
        <v>19785.877192982458</v>
      </c>
      <c r="I1843" s="5">
        <v>56.486661463537004</v>
      </c>
    </row>
    <row r="1844" spans="1:9" x14ac:dyDescent="0.2">
      <c r="A1844" s="5" t="s">
        <v>90</v>
      </c>
      <c r="B1844" s="5" t="s">
        <v>44</v>
      </c>
      <c r="C1844" s="5" t="s">
        <v>51</v>
      </c>
      <c r="D1844" s="5">
        <v>2294957</v>
      </c>
      <c r="E1844" s="5">
        <v>6559</v>
      </c>
      <c r="F1844" s="5">
        <v>132649371</v>
      </c>
      <c r="G1844" s="5">
        <v>0.28580056184059222</v>
      </c>
      <c r="H1844" s="5">
        <v>20224.023631651165</v>
      </c>
      <c r="I1844" s="5">
        <v>57.800373166033175</v>
      </c>
    </row>
    <row r="1845" spans="1:9" x14ac:dyDescent="0.2">
      <c r="A1845" s="5" t="s">
        <v>90</v>
      </c>
      <c r="B1845" s="5" t="s">
        <v>44</v>
      </c>
      <c r="C1845" s="5" t="s">
        <v>52</v>
      </c>
      <c r="D1845" s="5">
        <v>2291869</v>
      </c>
      <c r="E1845" s="5">
        <v>6606</v>
      </c>
      <c r="F1845" s="5">
        <v>140083175</v>
      </c>
      <c r="G1845" s="5">
        <v>0.28823636953071924</v>
      </c>
      <c r="H1845" s="5">
        <v>21205.445806842265</v>
      </c>
      <c r="I1845" s="5">
        <v>61.121807136446279</v>
      </c>
    </row>
    <row r="1846" spans="1:9" x14ac:dyDescent="0.2">
      <c r="A1846" s="5" t="s">
        <v>90</v>
      </c>
      <c r="B1846" s="5" t="s">
        <v>44</v>
      </c>
      <c r="C1846" s="5" t="s">
        <v>53</v>
      </c>
      <c r="D1846" s="5">
        <v>2290147</v>
      </c>
      <c r="E1846" s="5">
        <v>6712</v>
      </c>
      <c r="F1846" s="5">
        <v>147009138</v>
      </c>
      <c r="G1846" s="5">
        <v>0.29308162314471514</v>
      </c>
      <c r="H1846" s="5">
        <v>21902.434147794993</v>
      </c>
      <c r="I1846" s="5">
        <v>64.192009508559934</v>
      </c>
    </row>
    <row r="1847" spans="1:9" x14ac:dyDescent="0.2">
      <c r="A1847" s="5" t="s">
        <v>90</v>
      </c>
      <c r="B1847" s="5" t="s">
        <v>44</v>
      </c>
      <c r="C1847" s="5" t="s">
        <v>54</v>
      </c>
      <c r="D1847" s="5">
        <v>2292128</v>
      </c>
      <c r="E1847" s="5">
        <v>6973</v>
      </c>
      <c r="F1847" s="5">
        <v>153325542</v>
      </c>
      <c r="G1847" s="5">
        <v>0.30421512236663922</v>
      </c>
      <c r="H1847" s="5">
        <v>21988.461494335294</v>
      </c>
      <c r="I1847" s="5">
        <v>66.89222504153345</v>
      </c>
    </row>
    <row r="1848" spans="1:9" x14ac:dyDescent="0.2">
      <c r="A1848" s="5" t="s">
        <v>90</v>
      </c>
      <c r="B1848" s="5" t="s">
        <v>44</v>
      </c>
      <c r="C1848" s="5" t="s">
        <v>55</v>
      </c>
      <c r="D1848" s="5">
        <v>2296452</v>
      </c>
      <c r="E1848" s="5">
        <v>7212</v>
      </c>
      <c r="F1848" s="5">
        <v>156110571</v>
      </c>
      <c r="G1848" s="5">
        <v>0.31404967314796911</v>
      </c>
      <c r="H1848" s="5">
        <v>21645.947171381031</v>
      </c>
      <c r="I1848" s="5">
        <v>67.979026341504195</v>
      </c>
    </row>
    <row r="1849" spans="1:9" x14ac:dyDescent="0.2">
      <c r="A1849" s="5" t="s">
        <v>90</v>
      </c>
      <c r="B1849" s="5" t="s">
        <v>44</v>
      </c>
      <c r="C1849" s="5" t="s">
        <v>56</v>
      </c>
      <c r="D1849" s="5">
        <v>2301418</v>
      </c>
      <c r="E1849" s="5">
        <v>7360</v>
      </c>
      <c r="F1849" s="5">
        <v>155585447</v>
      </c>
      <c r="G1849" s="5">
        <v>0.3198028346002334</v>
      </c>
      <c r="H1849" s="5">
        <v>21139.327038043477</v>
      </c>
      <c r="I1849" s="5">
        <v>67.604167083076604</v>
      </c>
    </row>
    <row r="1850" spans="1:9" x14ac:dyDescent="0.2">
      <c r="A1850" s="5" t="s">
        <v>90</v>
      </c>
      <c r="B1850" s="5" t="s">
        <v>44</v>
      </c>
      <c r="C1850" s="5" t="s">
        <v>57</v>
      </c>
      <c r="D1850" s="5">
        <v>2307479</v>
      </c>
      <c r="E1850" s="5">
        <v>7462</v>
      </c>
      <c r="F1850" s="5">
        <v>157233989</v>
      </c>
      <c r="G1850" s="5">
        <v>0.32338322472273856</v>
      </c>
      <c r="H1850" s="5">
        <v>21071.293084963818</v>
      </c>
      <c r="I1850" s="5">
        <v>68.141027068935401</v>
      </c>
    </row>
    <row r="1851" spans="1:9" x14ac:dyDescent="0.2">
      <c r="A1851" s="5" t="s">
        <v>90</v>
      </c>
      <c r="B1851" s="5" t="s">
        <v>44</v>
      </c>
      <c r="C1851" s="5" t="s">
        <v>58</v>
      </c>
      <c r="D1851" s="5">
        <v>2312592</v>
      </c>
      <c r="E1851" s="5">
        <v>7314</v>
      </c>
      <c r="F1851" s="5">
        <v>152575446</v>
      </c>
      <c r="G1851" s="5">
        <v>0.31626849872351026</v>
      </c>
      <c r="H1851" s="5">
        <v>20860.739130434784</v>
      </c>
      <c r="I1851" s="5">
        <v>65.975946470453934</v>
      </c>
    </row>
    <row r="1852" spans="1:9" x14ac:dyDescent="0.2">
      <c r="A1852" s="5" t="s">
        <v>90</v>
      </c>
      <c r="B1852" s="5" t="s">
        <v>44</v>
      </c>
      <c r="C1852" s="5" t="s">
        <v>59</v>
      </c>
      <c r="D1852" s="5">
        <v>2316874</v>
      </c>
      <c r="E1852" s="5">
        <v>7220</v>
      </c>
      <c r="F1852" s="5">
        <v>154633968</v>
      </c>
      <c r="G1852" s="5">
        <v>0.31162678678253541</v>
      </c>
      <c r="H1852" s="5">
        <v>21417.447091412741</v>
      </c>
      <c r="I1852" s="5">
        <v>66.74250218181912</v>
      </c>
    </row>
    <row r="1853" spans="1:9" x14ac:dyDescent="0.2">
      <c r="A1853" s="5" t="s">
        <v>90</v>
      </c>
      <c r="B1853" s="5" t="s">
        <v>44</v>
      </c>
      <c r="C1853" s="5" t="s">
        <v>60</v>
      </c>
      <c r="D1853" s="5">
        <v>2322002</v>
      </c>
      <c r="E1853" s="5">
        <v>7084</v>
      </c>
      <c r="F1853" s="5">
        <v>153234716</v>
      </c>
      <c r="G1853" s="5">
        <v>0.30508156323724095</v>
      </c>
      <c r="H1853" s="5">
        <v>21631.100508187465</v>
      </c>
      <c r="I1853" s="5">
        <v>65.992499575797098</v>
      </c>
    </row>
    <row r="1854" spans="1:9" x14ac:dyDescent="0.2">
      <c r="A1854" s="5" t="s">
        <v>90</v>
      </c>
      <c r="B1854" s="5" t="s">
        <v>44</v>
      </c>
      <c r="C1854" s="5" t="s">
        <v>61</v>
      </c>
      <c r="D1854" s="5">
        <v>2327508</v>
      </c>
      <c r="E1854" s="5">
        <v>6879</v>
      </c>
      <c r="F1854" s="5">
        <v>148628659</v>
      </c>
      <c r="G1854" s="5">
        <v>0.29555215277455543</v>
      </c>
      <c r="H1854" s="5">
        <v>21606.143189417067</v>
      </c>
      <c r="I1854" s="5">
        <v>63.857421327875137</v>
      </c>
    </row>
    <row r="1855" spans="1:9" x14ac:dyDescent="0.2">
      <c r="A1855" s="5" t="s">
        <v>90</v>
      </c>
      <c r="B1855" s="5" t="s">
        <v>44</v>
      </c>
      <c r="C1855" s="5" t="s">
        <v>62</v>
      </c>
      <c r="D1855" s="5">
        <v>2335230</v>
      </c>
      <c r="E1855" s="5">
        <v>6776</v>
      </c>
      <c r="F1855" s="5">
        <v>146185094</v>
      </c>
      <c r="G1855" s="5">
        <v>0.29016413800781937</v>
      </c>
      <c r="H1855" s="5">
        <v>21573.9512987013</v>
      </c>
      <c r="I1855" s="5">
        <v>62.599869820103372</v>
      </c>
    </row>
    <row r="1856" spans="1:9" x14ac:dyDescent="0.2">
      <c r="A1856" s="5" t="s">
        <v>90</v>
      </c>
      <c r="B1856" s="5" t="s">
        <v>63</v>
      </c>
      <c r="C1856" s="5" t="s">
        <v>45</v>
      </c>
      <c r="D1856" s="5">
        <v>2207811</v>
      </c>
      <c r="E1856" s="5">
        <v>80878</v>
      </c>
      <c r="F1856" s="5">
        <v>173192703</v>
      </c>
      <c r="G1856" s="5">
        <v>3.6632664661966081</v>
      </c>
      <c r="H1856" s="5">
        <v>2141.4068473503303</v>
      </c>
      <c r="I1856" s="5">
        <v>78.445438943822637</v>
      </c>
    </row>
    <row r="1857" spans="1:9" x14ac:dyDescent="0.2">
      <c r="A1857" s="5" t="s">
        <v>90</v>
      </c>
      <c r="B1857" s="5" t="s">
        <v>63</v>
      </c>
      <c r="C1857" s="5" t="s">
        <v>46</v>
      </c>
      <c r="D1857" s="5">
        <v>2229957</v>
      </c>
      <c r="E1857" s="5">
        <v>77240</v>
      </c>
      <c r="F1857" s="5">
        <v>169199229</v>
      </c>
      <c r="G1857" s="5">
        <v>3.4637439197258062</v>
      </c>
      <c r="H1857" s="5">
        <v>2190.5648498187466</v>
      </c>
      <c r="I1857" s="5">
        <v>75.875556793247583</v>
      </c>
    </row>
    <row r="1858" spans="1:9" x14ac:dyDescent="0.2">
      <c r="A1858" s="5" t="s">
        <v>90</v>
      </c>
      <c r="B1858" s="5" t="s">
        <v>63</v>
      </c>
      <c r="C1858" s="5" t="s">
        <v>47</v>
      </c>
      <c r="D1858" s="5">
        <v>2255488</v>
      </c>
      <c r="E1858" s="5">
        <v>76846</v>
      </c>
      <c r="F1858" s="5">
        <v>169116928</v>
      </c>
      <c r="G1858" s="5">
        <v>3.407067561432382</v>
      </c>
      <c r="H1858" s="5">
        <v>2200.7251906410224</v>
      </c>
      <c r="I1858" s="5">
        <v>74.980194086601216</v>
      </c>
    </row>
    <row r="1859" spans="1:9" x14ac:dyDescent="0.2">
      <c r="A1859" s="5" t="s">
        <v>90</v>
      </c>
      <c r="B1859" s="5" t="s">
        <v>63</v>
      </c>
      <c r="C1859" s="5" t="s">
        <v>48</v>
      </c>
      <c r="D1859" s="5">
        <v>2278533</v>
      </c>
      <c r="E1859" s="5">
        <v>77746</v>
      </c>
      <c r="F1859" s="5">
        <v>172249686</v>
      </c>
      <c r="G1859" s="5">
        <v>3.4121077026314737</v>
      </c>
      <c r="H1859" s="5">
        <v>2215.5440279885784</v>
      </c>
      <c r="I1859" s="5">
        <v>75.596748434189891</v>
      </c>
    </row>
    <row r="1860" spans="1:9" x14ac:dyDescent="0.2">
      <c r="A1860" s="5" t="s">
        <v>90</v>
      </c>
      <c r="B1860" s="5" t="s">
        <v>63</v>
      </c>
      <c r="C1860" s="5" t="s">
        <v>49</v>
      </c>
      <c r="D1860" s="5">
        <v>2292052</v>
      </c>
      <c r="E1860" s="5">
        <v>76970</v>
      </c>
      <c r="F1860" s="5">
        <v>171560066</v>
      </c>
      <c r="G1860" s="5">
        <v>3.3581262554252698</v>
      </c>
      <c r="H1860" s="5">
        <v>2228.9212160582047</v>
      </c>
      <c r="I1860" s="5">
        <v>74.849988569194764</v>
      </c>
    </row>
    <row r="1861" spans="1:9" x14ac:dyDescent="0.2">
      <c r="A1861" s="5" t="s">
        <v>90</v>
      </c>
      <c r="B1861" s="5" t="s">
        <v>63</v>
      </c>
      <c r="C1861" s="5" t="s">
        <v>50</v>
      </c>
      <c r="D1861" s="5">
        <v>2296054</v>
      </c>
      <c r="E1861" s="5">
        <v>75915</v>
      </c>
      <c r="F1861" s="5">
        <v>169639354</v>
      </c>
      <c r="G1861" s="5">
        <v>3.3063246770328574</v>
      </c>
      <c r="H1861" s="5">
        <v>2234.5959823486796</v>
      </c>
      <c r="I1861" s="5">
        <v>73.882998396379179</v>
      </c>
    </row>
    <row r="1862" spans="1:9" x14ac:dyDescent="0.2">
      <c r="A1862" s="5" t="s">
        <v>90</v>
      </c>
      <c r="B1862" s="5" t="s">
        <v>63</v>
      </c>
      <c r="C1862" s="5" t="s">
        <v>51</v>
      </c>
      <c r="D1862" s="5">
        <v>2294957</v>
      </c>
      <c r="E1862" s="5">
        <v>74523</v>
      </c>
      <c r="F1862" s="5">
        <v>169179863</v>
      </c>
      <c r="G1862" s="5">
        <v>3.2472503842119917</v>
      </c>
      <c r="H1862" s="5">
        <v>2270.1697865088631</v>
      </c>
      <c r="I1862" s="5">
        <v>73.718097114673611</v>
      </c>
    </row>
    <row r="1863" spans="1:9" x14ac:dyDescent="0.2">
      <c r="A1863" s="5" t="s">
        <v>90</v>
      </c>
      <c r="B1863" s="5" t="s">
        <v>63</v>
      </c>
      <c r="C1863" s="5" t="s">
        <v>52</v>
      </c>
      <c r="D1863" s="5">
        <v>2291869</v>
      </c>
      <c r="E1863" s="5">
        <v>73017</v>
      </c>
      <c r="F1863" s="5">
        <v>167007177</v>
      </c>
      <c r="G1863" s="5">
        <v>3.1859150762979906</v>
      </c>
      <c r="H1863" s="5">
        <v>2287.2369037347466</v>
      </c>
      <c r="I1863" s="5">
        <v>72.869425346736662</v>
      </c>
    </row>
    <row r="1864" spans="1:9" x14ac:dyDescent="0.2">
      <c r="A1864" s="5" t="s">
        <v>90</v>
      </c>
      <c r="B1864" s="5" t="s">
        <v>63</v>
      </c>
      <c r="C1864" s="5" t="s">
        <v>53</v>
      </c>
      <c r="D1864" s="5">
        <v>2290147</v>
      </c>
      <c r="E1864" s="5">
        <v>72312</v>
      </c>
      <c r="F1864" s="5">
        <v>166297319</v>
      </c>
      <c r="G1864" s="5">
        <v>3.1575265692551615</v>
      </c>
      <c r="H1864" s="5">
        <v>2299.7195347936718</v>
      </c>
      <c r="I1864" s="5">
        <v>72.614255329461386</v>
      </c>
    </row>
    <row r="1865" spans="1:9" x14ac:dyDescent="0.2">
      <c r="A1865" s="5" t="s">
        <v>90</v>
      </c>
      <c r="B1865" s="5" t="s">
        <v>63</v>
      </c>
      <c r="C1865" s="5" t="s">
        <v>54</v>
      </c>
      <c r="D1865" s="5">
        <v>2292128</v>
      </c>
      <c r="E1865" s="5">
        <v>73481</v>
      </c>
      <c r="F1865" s="5">
        <v>168939131</v>
      </c>
      <c r="G1865" s="5">
        <v>3.2057982800262463</v>
      </c>
      <c r="H1865" s="5">
        <v>2299.0858997563996</v>
      </c>
      <c r="I1865" s="5">
        <v>73.704056230716603</v>
      </c>
    </row>
    <row r="1866" spans="1:9" x14ac:dyDescent="0.2">
      <c r="A1866" s="5" t="s">
        <v>90</v>
      </c>
      <c r="B1866" s="5" t="s">
        <v>63</v>
      </c>
      <c r="C1866" s="5" t="s">
        <v>55</v>
      </c>
      <c r="D1866" s="5">
        <v>2296452</v>
      </c>
      <c r="E1866" s="5">
        <v>73069</v>
      </c>
      <c r="F1866" s="5">
        <v>167587473</v>
      </c>
      <c r="G1866" s="5">
        <v>3.1818213487588682</v>
      </c>
      <c r="H1866" s="5">
        <v>2293.5509313114999</v>
      </c>
      <c r="I1866" s="5">
        <v>72.976693177127146</v>
      </c>
    </row>
    <row r="1867" spans="1:9" x14ac:dyDescent="0.2">
      <c r="A1867" s="5" t="s">
        <v>90</v>
      </c>
      <c r="B1867" s="5" t="s">
        <v>63</v>
      </c>
      <c r="C1867" s="5" t="s">
        <v>56</v>
      </c>
      <c r="D1867" s="5">
        <v>2301418</v>
      </c>
      <c r="E1867" s="5">
        <v>72935</v>
      </c>
      <c r="F1867" s="5">
        <v>168068266</v>
      </c>
      <c r="G1867" s="5">
        <v>3.169133117060873</v>
      </c>
      <c r="H1867" s="5">
        <v>2304.3568382806607</v>
      </c>
      <c r="I1867" s="5">
        <v>73.028135697209279</v>
      </c>
    </row>
    <row r="1868" spans="1:9" x14ac:dyDescent="0.2">
      <c r="A1868" s="5" t="s">
        <v>90</v>
      </c>
      <c r="B1868" s="5" t="s">
        <v>63</v>
      </c>
      <c r="C1868" s="5" t="s">
        <v>57</v>
      </c>
      <c r="D1868" s="5">
        <v>2307479</v>
      </c>
      <c r="E1868" s="5">
        <v>72520</v>
      </c>
      <c r="F1868" s="5">
        <v>167071400</v>
      </c>
      <c r="G1868" s="5">
        <v>3.1428238350164834</v>
      </c>
      <c r="H1868" s="5">
        <v>2303.7975730832873</v>
      </c>
      <c r="I1868" s="5">
        <v>72.404299237392848</v>
      </c>
    </row>
    <row r="1869" spans="1:9" x14ac:dyDescent="0.2">
      <c r="A1869" s="5" t="s">
        <v>90</v>
      </c>
      <c r="B1869" s="5" t="s">
        <v>63</v>
      </c>
      <c r="C1869" s="5" t="s">
        <v>58</v>
      </c>
      <c r="D1869" s="5">
        <v>2312592</v>
      </c>
      <c r="E1869" s="5">
        <v>71085</v>
      </c>
      <c r="F1869" s="5">
        <v>165116726</v>
      </c>
      <c r="G1869" s="5">
        <v>3.0738236576101623</v>
      </c>
      <c r="H1869" s="5">
        <v>2322.8068650207497</v>
      </c>
      <c r="I1869" s="5">
        <v>71.398986937600753</v>
      </c>
    </row>
    <row r="1870" spans="1:9" x14ac:dyDescent="0.2">
      <c r="A1870" s="5" t="s">
        <v>90</v>
      </c>
      <c r="B1870" s="5" t="s">
        <v>63</v>
      </c>
      <c r="C1870" s="5" t="s">
        <v>59</v>
      </c>
      <c r="D1870" s="5">
        <v>2316874</v>
      </c>
      <c r="E1870" s="5">
        <v>70738</v>
      </c>
      <c r="F1870" s="5">
        <v>164387497</v>
      </c>
      <c r="G1870" s="5">
        <v>3.0531656015821316</v>
      </c>
      <c r="H1870" s="5">
        <v>2323.8923492323788</v>
      </c>
      <c r="I1870" s="5">
        <v>70.952281824561894</v>
      </c>
    </row>
    <row r="1871" spans="1:9" x14ac:dyDescent="0.2">
      <c r="A1871" s="5" t="s">
        <v>90</v>
      </c>
      <c r="B1871" s="5" t="s">
        <v>63</v>
      </c>
      <c r="C1871" s="5" t="s">
        <v>60</v>
      </c>
      <c r="D1871" s="5">
        <v>2322002</v>
      </c>
      <c r="E1871" s="5">
        <v>70182</v>
      </c>
      <c r="F1871" s="5">
        <v>163143651</v>
      </c>
      <c r="G1871" s="5">
        <v>3.0224780168148002</v>
      </c>
      <c r="H1871" s="5">
        <v>2324.5796785500556</v>
      </c>
      <c r="I1871" s="5">
        <v>70.259909767519574</v>
      </c>
    </row>
    <row r="1872" spans="1:9" x14ac:dyDescent="0.2">
      <c r="A1872" s="5" t="s">
        <v>90</v>
      </c>
      <c r="B1872" s="5" t="s">
        <v>63</v>
      </c>
      <c r="C1872" s="5" t="s">
        <v>61</v>
      </c>
      <c r="D1872" s="5">
        <v>2327508</v>
      </c>
      <c r="E1872" s="5">
        <v>69688</v>
      </c>
      <c r="F1872" s="5">
        <v>162277486</v>
      </c>
      <c r="G1872" s="5">
        <v>2.9941035648427419</v>
      </c>
      <c r="H1872" s="5">
        <v>2328.6288313626451</v>
      </c>
      <c r="I1872" s="5">
        <v>69.72155885178482</v>
      </c>
    </row>
    <row r="1873" spans="1:9" x14ac:dyDescent="0.2">
      <c r="A1873" s="5" t="s">
        <v>90</v>
      </c>
      <c r="B1873" s="5" t="s">
        <v>63</v>
      </c>
      <c r="C1873" s="5" t="s">
        <v>62</v>
      </c>
      <c r="D1873" s="5">
        <v>2335230</v>
      </c>
      <c r="E1873" s="5">
        <v>69298</v>
      </c>
      <c r="F1873" s="5">
        <v>162903624</v>
      </c>
      <c r="G1873" s="5">
        <v>2.9675021304111371</v>
      </c>
      <c r="H1873" s="5">
        <v>2350.7694882969204</v>
      </c>
      <c r="I1873" s="5">
        <v>69.759134646266105</v>
      </c>
    </row>
    <row r="1874" spans="1:9" x14ac:dyDescent="0.2">
      <c r="A1874" s="5" t="s">
        <v>90</v>
      </c>
      <c r="B1874" s="5" t="s">
        <v>73</v>
      </c>
      <c r="C1874" s="5" t="s">
        <v>45</v>
      </c>
      <c r="D1874" s="5">
        <v>2207811</v>
      </c>
      <c r="E1874" s="5">
        <v>41204</v>
      </c>
      <c r="F1874" s="5">
        <v>213963829</v>
      </c>
      <c r="G1874" s="5">
        <v>1.8662829381681674</v>
      </c>
      <c r="H1874" s="5">
        <v>5192.7926657606058</v>
      </c>
      <c r="I1874" s="5">
        <v>96.91220353553814</v>
      </c>
    </row>
    <row r="1875" spans="1:9" x14ac:dyDescent="0.2">
      <c r="A1875" s="5" t="s">
        <v>90</v>
      </c>
      <c r="B1875" s="5" t="s">
        <v>73</v>
      </c>
      <c r="C1875" s="5" t="s">
        <v>46</v>
      </c>
      <c r="D1875" s="5">
        <v>2229957</v>
      </c>
      <c r="E1875" s="5">
        <v>40498</v>
      </c>
      <c r="F1875" s="5">
        <v>213218204</v>
      </c>
      <c r="G1875" s="5">
        <v>1.816088830412425</v>
      </c>
      <c r="H1875" s="5">
        <v>5264.9070077534689</v>
      </c>
      <c r="I1875" s="5">
        <v>95.615388099411788</v>
      </c>
    </row>
    <row r="1876" spans="1:9" x14ac:dyDescent="0.2">
      <c r="A1876" s="5" t="s">
        <v>90</v>
      </c>
      <c r="B1876" s="5" t="s">
        <v>73</v>
      </c>
      <c r="C1876" s="5" t="s">
        <v>47</v>
      </c>
      <c r="D1876" s="5">
        <v>2255488</v>
      </c>
      <c r="E1876" s="5">
        <v>41291</v>
      </c>
      <c r="F1876" s="5">
        <v>211199780</v>
      </c>
      <c r="G1876" s="5">
        <v>1.8306902985074627</v>
      </c>
      <c r="H1876" s="5">
        <v>5114.9107553704198</v>
      </c>
      <c r="I1876" s="5">
        <v>93.638174975881057</v>
      </c>
    </row>
    <row r="1877" spans="1:9" x14ac:dyDescent="0.2">
      <c r="A1877" s="5" t="s">
        <v>90</v>
      </c>
      <c r="B1877" s="5" t="s">
        <v>73</v>
      </c>
      <c r="C1877" s="5" t="s">
        <v>48</v>
      </c>
      <c r="D1877" s="5">
        <v>2278533</v>
      </c>
      <c r="E1877" s="5">
        <v>41389</v>
      </c>
      <c r="F1877" s="5">
        <v>211302771</v>
      </c>
      <c r="G1877" s="5">
        <v>1.8164757762999264</v>
      </c>
      <c r="H1877" s="5">
        <v>5105.2881441929012</v>
      </c>
      <c r="I1877" s="5">
        <v>92.736322449576107</v>
      </c>
    </row>
    <row r="1878" spans="1:9" x14ac:dyDescent="0.2">
      <c r="A1878" s="5" t="s">
        <v>90</v>
      </c>
      <c r="B1878" s="5" t="s">
        <v>73</v>
      </c>
      <c r="C1878" s="5" t="s">
        <v>49</v>
      </c>
      <c r="D1878" s="5">
        <v>2292052</v>
      </c>
      <c r="E1878" s="5">
        <v>41070</v>
      </c>
      <c r="F1878" s="5">
        <v>210184199</v>
      </c>
      <c r="G1878" s="5">
        <v>1.7918441640940084</v>
      </c>
      <c r="H1878" s="5">
        <v>5117.706330654979</v>
      </c>
      <c r="I1878" s="5">
        <v>91.701322221310861</v>
      </c>
    </row>
    <row r="1879" spans="1:9" x14ac:dyDescent="0.2">
      <c r="A1879" s="5" t="s">
        <v>90</v>
      </c>
      <c r="B1879" s="5" t="s">
        <v>73</v>
      </c>
      <c r="C1879" s="5" t="s">
        <v>50</v>
      </c>
      <c r="D1879" s="5">
        <v>2296054</v>
      </c>
      <c r="E1879" s="5">
        <v>41096</v>
      </c>
      <c r="F1879" s="5">
        <v>212040252</v>
      </c>
      <c r="G1879" s="5">
        <v>1.7898533745286478</v>
      </c>
      <c r="H1879" s="5">
        <v>5159.6323729803389</v>
      </c>
      <c r="I1879" s="5">
        <v>92.349854141061144</v>
      </c>
    </row>
    <row r="1880" spans="1:9" x14ac:dyDescent="0.2">
      <c r="A1880" s="5" t="s">
        <v>90</v>
      </c>
      <c r="B1880" s="5" t="s">
        <v>73</v>
      </c>
      <c r="C1880" s="5" t="s">
        <v>51</v>
      </c>
      <c r="D1880" s="5">
        <v>2294957</v>
      </c>
      <c r="E1880" s="5">
        <v>40522</v>
      </c>
      <c r="F1880" s="5">
        <v>213019312</v>
      </c>
      <c r="G1880" s="5">
        <v>1.7656975708041589</v>
      </c>
      <c r="H1880" s="5">
        <v>5256.8805093529445</v>
      </c>
      <c r="I1880" s="5">
        <v>92.820611453722222</v>
      </c>
    </row>
    <row r="1881" spans="1:9" x14ac:dyDescent="0.2">
      <c r="A1881" s="5" t="s">
        <v>90</v>
      </c>
      <c r="B1881" s="5" t="s">
        <v>73</v>
      </c>
      <c r="C1881" s="5" t="s">
        <v>52</v>
      </c>
      <c r="D1881" s="5">
        <v>2291869</v>
      </c>
      <c r="E1881" s="5">
        <v>40417</v>
      </c>
      <c r="F1881" s="5">
        <v>211488921</v>
      </c>
      <c r="G1881" s="5">
        <v>1.7634952084957736</v>
      </c>
      <c r="H1881" s="5">
        <v>5232.6724150728651</v>
      </c>
      <c r="I1881" s="5">
        <v>92.277927316090057</v>
      </c>
    </row>
    <row r="1882" spans="1:9" x14ac:dyDescent="0.2">
      <c r="A1882" s="5" t="s">
        <v>90</v>
      </c>
      <c r="B1882" s="5" t="s">
        <v>73</v>
      </c>
      <c r="C1882" s="5" t="s">
        <v>53</v>
      </c>
      <c r="D1882" s="5">
        <v>2290147</v>
      </c>
      <c r="E1882" s="5">
        <v>39939</v>
      </c>
      <c r="F1882" s="5">
        <v>207850412</v>
      </c>
      <c r="G1882" s="5">
        <v>1.7439491875412365</v>
      </c>
      <c r="H1882" s="5">
        <v>5204.1966999674505</v>
      </c>
      <c r="I1882" s="5">
        <v>90.758546067130183</v>
      </c>
    </row>
    <row r="1883" spans="1:9" x14ac:dyDescent="0.2">
      <c r="A1883" s="5" t="s">
        <v>90</v>
      </c>
      <c r="B1883" s="5" t="s">
        <v>73</v>
      </c>
      <c r="C1883" s="5" t="s">
        <v>54</v>
      </c>
      <c r="D1883" s="5">
        <v>2292128</v>
      </c>
      <c r="E1883" s="5">
        <v>40559</v>
      </c>
      <c r="F1883" s="5">
        <v>203528467</v>
      </c>
      <c r="G1883" s="5">
        <v>1.7694910580909966</v>
      </c>
      <c r="H1883" s="5">
        <v>5018.0839517739587</v>
      </c>
      <c r="I1883" s="5">
        <v>88.794546814139522</v>
      </c>
    </row>
    <row r="1884" spans="1:9" x14ac:dyDescent="0.2">
      <c r="A1884" s="5" t="s">
        <v>90</v>
      </c>
      <c r="B1884" s="5" t="s">
        <v>73</v>
      </c>
      <c r="C1884" s="5" t="s">
        <v>55</v>
      </c>
      <c r="D1884" s="5">
        <v>2296452</v>
      </c>
      <c r="E1884" s="5">
        <v>39482</v>
      </c>
      <c r="F1884" s="5">
        <v>198923588</v>
      </c>
      <c r="G1884" s="5">
        <v>1.71926084237772</v>
      </c>
      <c r="H1884" s="5">
        <v>5038.336153183729</v>
      </c>
      <c r="I1884" s="5">
        <v>86.622140589047802</v>
      </c>
    </row>
    <row r="1885" spans="1:9" x14ac:dyDescent="0.2">
      <c r="A1885" s="5" t="s">
        <v>90</v>
      </c>
      <c r="B1885" s="5" t="s">
        <v>73</v>
      </c>
      <c r="C1885" s="5" t="s">
        <v>56</v>
      </c>
      <c r="D1885" s="5">
        <v>2301418</v>
      </c>
      <c r="E1885" s="5">
        <v>38034</v>
      </c>
      <c r="F1885" s="5">
        <v>196407852</v>
      </c>
      <c r="G1885" s="5">
        <v>1.6526332895632172</v>
      </c>
      <c r="H1885" s="5">
        <v>5164.0072566650888</v>
      </c>
      <c r="I1885" s="5">
        <v>85.34210299910751</v>
      </c>
    </row>
    <row r="1886" spans="1:9" x14ac:dyDescent="0.2">
      <c r="A1886" s="5" t="s">
        <v>90</v>
      </c>
      <c r="B1886" s="5" t="s">
        <v>73</v>
      </c>
      <c r="C1886" s="5" t="s">
        <v>57</v>
      </c>
      <c r="D1886" s="5">
        <v>2307479</v>
      </c>
      <c r="E1886" s="5">
        <v>37493</v>
      </c>
      <c r="F1886" s="5">
        <v>195426256</v>
      </c>
      <c r="G1886" s="5">
        <v>1.6248468566777856</v>
      </c>
      <c r="H1886" s="5">
        <v>5212.3397967620622</v>
      </c>
      <c r="I1886" s="5">
        <v>84.692539347053639</v>
      </c>
    </row>
    <row r="1887" spans="1:9" x14ac:dyDescent="0.2">
      <c r="A1887" s="5" t="s">
        <v>90</v>
      </c>
      <c r="B1887" s="5" t="s">
        <v>73</v>
      </c>
      <c r="C1887" s="5" t="s">
        <v>58</v>
      </c>
      <c r="D1887" s="5">
        <v>2312592</v>
      </c>
      <c r="E1887" s="5">
        <v>35735</v>
      </c>
      <c r="F1887" s="5">
        <v>193940944</v>
      </c>
      <c r="G1887" s="5">
        <v>1.5452358219694611</v>
      </c>
      <c r="H1887" s="5">
        <v>5427.1986567790682</v>
      </c>
      <c r="I1887" s="5">
        <v>83.86301777399558</v>
      </c>
    </row>
    <row r="1888" spans="1:9" x14ac:dyDescent="0.2">
      <c r="A1888" s="5" t="s">
        <v>90</v>
      </c>
      <c r="B1888" s="5" t="s">
        <v>73</v>
      </c>
      <c r="C1888" s="5" t="s">
        <v>59</v>
      </c>
      <c r="D1888" s="5">
        <v>2316874</v>
      </c>
      <c r="E1888" s="5">
        <v>35498</v>
      </c>
      <c r="F1888" s="5">
        <v>194413294</v>
      </c>
      <c r="G1888" s="5">
        <v>1.5321506478125266</v>
      </c>
      <c r="H1888" s="5">
        <v>5476.7393655980622</v>
      </c>
      <c r="I1888" s="5">
        <v>83.911897669014365</v>
      </c>
    </row>
    <row r="1889" spans="1:9" x14ac:dyDescent="0.2">
      <c r="A1889" s="5" t="s">
        <v>90</v>
      </c>
      <c r="B1889" s="5" t="s">
        <v>73</v>
      </c>
      <c r="C1889" s="5" t="s">
        <v>60</v>
      </c>
      <c r="D1889" s="5">
        <v>2322002</v>
      </c>
      <c r="E1889" s="5">
        <v>35368</v>
      </c>
      <c r="F1889" s="5">
        <v>192097242</v>
      </c>
      <c r="G1889" s="5">
        <v>1.523168369364023</v>
      </c>
      <c r="H1889" s="5">
        <v>5431.385489708211</v>
      </c>
      <c r="I1889" s="5">
        <v>82.729145797462706</v>
      </c>
    </row>
    <row r="1890" spans="1:9" x14ac:dyDescent="0.2">
      <c r="A1890" s="5" t="s">
        <v>90</v>
      </c>
      <c r="B1890" s="5" t="s">
        <v>73</v>
      </c>
      <c r="C1890" s="5" t="s">
        <v>61</v>
      </c>
      <c r="D1890" s="5">
        <v>2327508</v>
      </c>
      <c r="E1890" s="5">
        <v>34756</v>
      </c>
      <c r="F1890" s="5">
        <v>190401201</v>
      </c>
      <c r="G1890" s="5">
        <v>1.4932709146434728</v>
      </c>
      <c r="H1890" s="5">
        <v>5478.2253711589365</v>
      </c>
      <c r="I1890" s="5">
        <v>81.804746106135838</v>
      </c>
    </row>
    <row r="1891" spans="1:9" x14ac:dyDescent="0.2">
      <c r="A1891" s="5" t="s">
        <v>90</v>
      </c>
      <c r="B1891" s="5" t="s">
        <v>73</v>
      </c>
      <c r="C1891" s="5" t="s">
        <v>62</v>
      </c>
      <c r="D1891" s="5">
        <v>2335230</v>
      </c>
      <c r="E1891" s="5">
        <v>34128</v>
      </c>
      <c r="F1891" s="5">
        <v>189455240</v>
      </c>
      <c r="G1891" s="5">
        <v>1.4614406289744479</v>
      </c>
      <c r="H1891" s="5">
        <v>5551.313877168308</v>
      </c>
      <c r="I1891" s="5">
        <v>81.129156442834329</v>
      </c>
    </row>
    <row r="1892" spans="1:9" x14ac:dyDescent="0.2">
      <c r="A1892" s="5" t="s">
        <v>90</v>
      </c>
      <c r="B1892" s="5" t="s">
        <v>64</v>
      </c>
      <c r="C1892" s="5" t="s">
        <v>45</v>
      </c>
      <c r="D1892" s="5">
        <v>2027249</v>
      </c>
      <c r="E1892" s="5">
        <v>309449</v>
      </c>
      <c r="F1892" s="5">
        <v>267520916</v>
      </c>
      <c r="G1892" s="5">
        <v>15.264479104441536</v>
      </c>
      <c r="H1892" s="5">
        <v>864.5072887616376</v>
      </c>
      <c r="I1892" s="5">
        <v>131.96253444939424</v>
      </c>
    </row>
    <row r="1893" spans="1:9" x14ac:dyDescent="0.2">
      <c r="A1893" s="5" t="s">
        <v>90</v>
      </c>
      <c r="B1893" s="5" t="s">
        <v>64</v>
      </c>
      <c r="C1893" s="5" t="s">
        <v>46</v>
      </c>
      <c r="D1893" s="5">
        <v>2047667</v>
      </c>
      <c r="E1893" s="5">
        <v>317237</v>
      </c>
      <c r="F1893" s="5">
        <v>276667656</v>
      </c>
      <c r="G1893" s="5">
        <v>15.49260695220463</v>
      </c>
      <c r="H1893" s="5">
        <v>872.11660682707247</v>
      </c>
      <c r="I1893" s="5">
        <v>135.11359806062217</v>
      </c>
    </row>
    <row r="1894" spans="1:9" x14ac:dyDescent="0.2">
      <c r="A1894" s="5" t="s">
        <v>90</v>
      </c>
      <c r="B1894" s="5" t="s">
        <v>64</v>
      </c>
      <c r="C1894" s="5" t="s">
        <v>47</v>
      </c>
      <c r="D1894" s="5">
        <v>2070423</v>
      </c>
      <c r="E1894" s="5">
        <v>301488</v>
      </c>
      <c r="F1894" s="5">
        <v>244351887</v>
      </c>
      <c r="G1894" s="5">
        <v>14.561662037177911</v>
      </c>
      <c r="H1894" s="5">
        <v>810.48627806081834</v>
      </c>
      <c r="I1894" s="5">
        <v>118.02027266891838</v>
      </c>
    </row>
    <row r="1895" spans="1:9" x14ac:dyDescent="0.2">
      <c r="A1895" s="5" t="s">
        <v>90</v>
      </c>
      <c r="B1895" s="5" t="s">
        <v>64</v>
      </c>
      <c r="C1895" s="5" t="s">
        <v>48</v>
      </c>
      <c r="D1895" s="5">
        <v>2090449</v>
      </c>
      <c r="E1895" s="5">
        <v>286736</v>
      </c>
      <c r="F1895" s="5">
        <v>222239628</v>
      </c>
      <c r="G1895" s="5">
        <v>13.716479091333968</v>
      </c>
      <c r="H1895" s="5">
        <v>775.06705819987724</v>
      </c>
      <c r="I1895" s="5">
        <v>106.31191098180344</v>
      </c>
    </row>
    <row r="1896" spans="1:9" x14ac:dyDescent="0.2">
      <c r="A1896" s="5" t="s">
        <v>90</v>
      </c>
      <c r="B1896" s="5" t="s">
        <v>64</v>
      </c>
      <c r="C1896" s="5" t="s">
        <v>49</v>
      </c>
      <c r="D1896" s="5">
        <v>2102194</v>
      </c>
      <c r="E1896" s="5">
        <v>279621</v>
      </c>
      <c r="F1896" s="5">
        <v>215540431</v>
      </c>
      <c r="G1896" s="5">
        <v>13.301388929851385</v>
      </c>
      <c r="H1896" s="5">
        <v>770.83062788560233</v>
      </c>
      <c r="I1896" s="5">
        <v>102.53117980547943</v>
      </c>
    </row>
    <row r="1897" spans="1:9" x14ac:dyDescent="0.2">
      <c r="A1897" s="5" t="s">
        <v>90</v>
      </c>
      <c r="B1897" s="5" t="s">
        <v>64</v>
      </c>
      <c r="C1897" s="5" t="s">
        <v>50</v>
      </c>
      <c r="D1897" s="5">
        <v>2105307</v>
      </c>
      <c r="E1897" s="5">
        <v>268519</v>
      </c>
      <c r="F1897" s="5">
        <v>207272103</v>
      </c>
      <c r="G1897" s="5">
        <v>12.754386889893018</v>
      </c>
      <c r="H1897" s="5">
        <v>771.90851671576308</v>
      </c>
      <c r="I1897" s="5">
        <v>98.452198657962953</v>
      </c>
    </row>
    <row r="1898" spans="1:9" x14ac:dyDescent="0.2">
      <c r="A1898" s="5" t="s">
        <v>90</v>
      </c>
      <c r="B1898" s="5" t="s">
        <v>64</v>
      </c>
      <c r="C1898" s="5" t="s">
        <v>51</v>
      </c>
      <c r="D1898" s="5">
        <v>2102207</v>
      </c>
      <c r="E1898" s="5">
        <v>255091</v>
      </c>
      <c r="F1898" s="5">
        <v>192975660</v>
      </c>
      <c r="G1898" s="5">
        <v>12.134437759935153</v>
      </c>
      <c r="H1898" s="5">
        <v>756.49732840437332</v>
      </c>
      <c r="I1898" s="5">
        <v>91.796697470800922</v>
      </c>
    </row>
    <row r="1899" spans="1:9" x14ac:dyDescent="0.2">
      <c r="A1899" s="5" t="s">
        <v>90</v>
      </c>
      <c r="B1899" s="5" t="s">
        <v>64</v>
      </c>
      <c r="C1899" s="5" t="s">
        <v>52</v>
      </c>
      <c r="D1899" s="5">
        <v>2097140</v>
      </c>
      <c r="E1899" s="5">
        <v>246632</v>
      </c>
      <c r="F1899" s="5">
        <v>185288267</v>
      </c>
      <c r="G1899" s="5">
        <v>11.760397493729556</v>
      </c>
      <c r="H1899" s="5">
        <v>751.27423448700904</v>
      </c>
      <c r="I1899" s="5">
        <v>88.352836243646109</v>
      </c>
    </row>
    <row r="1900" spans="1:9" x14ac:dyDescent="0.2">
      <c r="A1900" s="5" t="s">
        <v>90</v>
      </c>
      <c r="B1900" s="5" t="s">
        <v>64</v>
      </c>
      <c r="C1900" s="5" t="s">
        <v>53</v>
      </c>
      <c r="D1900" s="5">
        <v>2092542</v>
      </c>
      <c r="E1900" s="5">
        <v>236745</v>
      </c>
      <c r="F1900" s="5">
        <v>177484074</v>
      </c>
      <c r="G1900" s="5">
        <v>11.313751408573879</v>
      </c>
      <c r="H1900" s="5">
        <v>749.68457200785656</v>
      </c>
      <c r="I1900" s="5">
        <v>84.817448825399921</v>
      </c>
    </row>
    <row r="1901" spans="1:9" x14ac:dyDescent="0.2">
      <c r="A1901" s="5" t="s">
        <v>90</v>
      </c>
      <c r="B1901" s="5" t="s">
        <v>64</v>
      </c>
      <c r="C1901" s="5" t="s">
        <v>54</v>
      </c>
      <c r="D1901" s="5">
        <v>2090435</v>
      </c>
      <c r="E1901" s="5">
        <v>232995</v>
      </c>
      <c r="F1901" s="5">
        <v>173791391</v>
      </c>
      <c r="G1901" s="5">
        <v>11.145766311796349</v>
      </c>
      <c r="H1901" s="5">
        <v>745.90180475975876</v>
      </c>
      <c r="I1901" s="5">
        <v>83.13647207399417</v>
      </c>
    </row>
    <row r="1902" spans="1:9" x14ac:dyDescent="0.2">
      <c r="A1902" s="5" t="s">
        <v>90</v>
      </c>
      <c r="B1902" s="5" t="s">
        <v>64</v>
      </c>
      <c r="C1902" s="5" t="s">
        <v>55</v>
      </c>
      <c r="D1902" s="5">
        <v>2090288</v>
      </c>
      <c r="E1902" s="5">
        <v>231052</v>
      </c>
      <c r="F1902" s="5">
        <v>174971519</v>
      </c>
      <c r="G1902" s="5">
        <v>11.053596442212747</v>
      </c>
      <c r="H1902" s="5">
        <v>757.28199279815794</v>
      </c>
      <c r="I1902" s="5">
        <v>83.706895413454987</v>
      </c>
    </row>
    <row r="1903" spans="1:9" x14ac:dyDescent="0.2">
      <c r="A1903" s="5" t="s">
        <v>90</v>
      </c>
      <c r="B1903" s="5" t="s">
        <v>64</v>
      </c>
      <c r="C1903" s="5" t="s">
        <v>56</v>
      </c>
      <c r="D1903" s="5">
        <v>2090601</v>
      </c>
      <c r="E1903" s="5">
        <v>223216</v>
      </c>
      <c r="F1903" s="5">
        <v>166314479</v>
      </c>
      <c r="G1903" s="5">
        <v>10.67712107666647</v>
      </c>
      <c r="H1903" s="5">
        <v>745.08314368145648</v>
      </c>
      <c r="I1903" s="5">
        <v>79.553429372701913</v>
      </c>
    </row>
    <row r="1904" spans="1:9" x14ac:dyDescent="0.2">
      <c r="A1904" s="5" t="s">
        <v>90</v>
      </c>
      <c r="B1904" s="5" t="s">
        <v>64</v>
      </c>
      <c r="C1904" s="5" t="s">
        <v>57</v>
      </c>
      <c r="D1904" s="5">
        <v>2091629</v>
      </c>
      <c r="E1904" s="5">
        <v>222169</v>
      </c>
      <c r="F1904" s="5">
        <v>165746575</v>
      </c>
      <c r="G1904" s="5">
        <v>10.621816775345915</v>
      </c>
      <c r="H1904" s="5">
        <v>746.03826366414751</v>
      </c>
      <c r="I1904" s="5">
        <v>79.242817440377806</v>
      </c>
    </row>
    <row r="1905" spans="1:9" x14ac:dyDescent="0.2">
      <c r="A1905" s="5" t="s">
        <v>90</v>
      </c>
      <c r="B1905" s="5" t="s">
        <v>64</v>
      </c>
      <c r="C1905" s="5" t="s">
        <v>58</v>
      </c>
      <c r="D1905" s="5">
        <v>2092880</v>
      </c>
      <c r="E1905" s="5">
        <v>223327</v>
      </c>
      <c r="F1905" s="5">
        <v>165546915</v>
      </c>
      <c r="G1905" s="5">
        <v>10.670798134627882</v>
      </c>
      <c r="H1905" s="5">
        <v>741.27586453944218</v>
      </c>
      <c r="I1905" s="5">
        <v>79.100051125721492</v>
      </c>
    </row>
    <row r="1906" spans="1:9" x14ac:dyDescent="0.2">
      <c r="A1906" s="5" t="s">
        <v>90</v>
      </c>
      <c r="B1906" s="5" t="s">
        <v>64</v>
      </c>
      <c r="C1906" s="5" t="s">
        <v>59</v>
      </c>
      <c r="D1906" s="5">
        <v>2094431</v>
      </c>
      <c r="E1906" s="5">
        <v>218409</v>
      </c>
      <c r="F1906" s="5">
        <v>160079637</v>
      </c>
      <c r="G1906" s="5">
        <v>10.428082854006648</v>
      </c>
      <c r="H1906" s="5">
        <v>732.93516750683352</v>
      </c>
      <c r="I1906" s="5">
        <v>76.431086533765011</v>
      </c>
    </row>
    <row r="1907" spans="1:9" x14ac:dyDescent="0.2">
      <c r="A1907" s="5" t="s">
        <v>90</v>
      </c>
      <c r="B1907" s="5" t="s">
        <v>64</v>
      </c>
      <c r="C1907" s="5" t="s">
        <v>60</v>
      </c>
      <c r="D1907" s="5">
        <v>2097593</v>
      </c>
      <c r="E1907" s="5">
        <v>226144</v>
      </c>
      <c r="F1907" s="5">
        <v>171330512</v>
      </c>
      <c r="G1907" s="5">
        <v>10.781119120820865</v>
      </c>
      <c r="H1907" s="5">
        <v>757.61688127918489</v>
      </c>
      <c r="I1907" s="5">
        <v>81.679578450156924</v>
      </c>
    </row>
    <row r="1908" spans="1:9" x14ac:dyDescent="0.2">
      <c r="A1908" s="5" t="s">
        <v>90</v>
      </c>
      <c r="B1908" s="5" t="s">
        <v>64</v>
      </c>
      <c r="C1908" s="5" t="s">
        <v>61</v>
      </c>
      <c r="D1908" s="5">
        <v>2102008</v>
      </c>
      <c r="E1908" s="5">
        <v>234119</v>
      </c>
      <c r="F1908" s="5">
        <v>189986572</v>
      </c>
      <c r="G1908" s="5">
        <v>11.137873880594174</v>
      </c>
      <c r="H1908" s="5">
        <v>811.49574361756197</v>
      </c>
      <c r="I1908" s="5">
        <v>90.383372470513905</v>
      </c>
    </row>
    <row r="1909" spans="1:9" x14ac:dyDescent="0.2">
      <c r="A1909" s="5" t="s">
        <v>90</v>
      </c>
      <c r="B1909" s="5" t="s">
        <v>64</v>
      </c>
      <c r="C1909" s="5" t="s">
        <v>62</v>
      </c>
      <c r="D1909" s="5">
        <v>2107789</v>
      </c>
      <c r="E1909" s="5">
        <v>231730</v>
      </c>
      <c r="F1909" s="5">
        <v>191005095</v>
      </c>
      <c r="G1909" s="5">
        <v>10.993984692016136</v>
      </c>
      <c r="H1909" s="5">
        <v>824.25708799033362</v>
      </c>
      <c r="I1909" s="5">
        <v>90.618698076515244</v>
      </c>
    </row>
    <row r="1910" spans="1:9" x14ac:dyDescent="0.2">
      <c r="A1910" s="5" t="s">
        <v>90</v>
      </c>
      <c r="B1910" s="5" t="s">
        <v>65</v>
      </c>
      <c r="C1910" s="5" t="s">
        <v>45</v>
      </c>
      <c r="D1910" s="5">
        <v>1858119</v>
      </c>
      <c r="E1910" s="5">
        <v>125065</v>
      </c>
      <c r="F1910" s="5">
        <v>266019214</v>
      </c>
      <c r="G1910" s="5">
        <v>6.7307314547668904</v>
      </c>
      <c r="H1910" s="5">
        <v>2127.0476472234436</v>
      </c>
      <c r="I1910" s="5">
        <v>143.16586504954742</v>
      </c>
    </row>
    <row r="1911" spans="1:9" x14ac:dyDescent="0.2">
      <c r="A1911" s="5" t="s">
        <v>90</v>
      </c>
      <c r="B1911" s="5" t="s">
        <v>65</v>
      </c>
      <c r="C1911" s="5" t="s">
        <v>46</v>
      </c>
      <c r="D1911" s="5">
        <v>1877333</v>
      </c>
      <c r="E1911" s="5">
        <v>119229</v>
      </c>
      <c r="F1911" s="5">
        <v>255849154</v>
      </c>
      <c r="G1911" s="5">
        <v>6.3509776901593913</v>
      </c>
      <c r="H1911" s="5">
        <v>2145.8634560383798</v>
      </c>
      <c r="I1911" s="5">
        <v>136.28330935428079</v>
      </c>
    </row>
    <row r="1912" spans="1:9" x14ac:dyDescent="0.2">
      <c r="A1912" s="5" t="s">
        <v>90</v>
      </c>
      <c r="B1912" s="5" t="s">
        <v>65</v>
      </c>
      <c r="C1912" s="5" t="s">
        <v>47</v>
      </c>
      <c r="D1912" s="5">
        <v>1898792</v>
      </c>
      <c r="E1912" s="5">
        <v>118892</v>
      </c>
      <c r="F1912" s="5">
        <v>262259831</v>
      </c>
      <c r="G1912" s="5">
        <v>6.2614546511676901</v>
      </c>
      <c r="H1912" s="5">
        <v>2205.8660885509539</v>
      </c>
      <c r="I1912" s="5">
        <v>138.11930480010449</v>
      </c>
    </row>
    <row r="1913" spans="1:9" x14ac:dyDescent="0.2">
      <c r="A1913" s="5" t="s">
        <v>90</v>
      </c>
      <c r="B1913" s="5" t="s">
        <v>65</v>
      </c>
      <c r="C1913" s="5" t="s">
        <v>48</v>
      </c>
      <c r="D1913" s="5">
        <v>1917806</v>
      </c>
      <c r="E1913" s="5">
        <v>117888</v>
      </c>
      <c r="F1913" s="5">
        <v>265825758</v>
      </c>
      <c r="G1913" s="5">
        <v>6.1470242558423536</v>
      </c>
      <c r="H1913" s="5">
        <v>2254.9009059446253</v>
      </c>
      <c r="I1913" s="5">
        <v>138.6093056336251</v>
      </c>
    </row>
    <row r="1914" spans="1:9" x14ac:dyDescent="0.2">
      <c r="A1914" s="5" t="s">
        <v>90</v>
      </c>
      <c r="B1914" s="5" t="s">
        <v>65</v>
      </c>
      <c r="C1914" s="5" t="s">
        <v>49</v>
      </c>
      <c r="D1914" s="5">
        <v>1929105</v>
      </c>
      <c r="E1914" s="5">
        <v>115678</v>
      </c>
      <c r="F1914" s="5">
        <v>265621815</v>
      </c>
      <c r="G1914" s="5">
        <v>5.9964594980573889</v>
      </c>
      <c r="H1914" s="5">
        <v>2296.2172150279225</v>
      </c>
      <c r="I1914" s="5">
        <v>137.69173528657072</v>
      </c>
    </row>
    <row r="1915" spans="1:9" x14ac:dyDescent="0.2">
      <c r="A1915" s="5" t="s">
        <v>90</v>
      </c>
      <c r="B1915" s="5" t="s">
        <v>65</v>
      </c>
      <c r="C1915" s="5" t="s">
        <v>50</v>
      </c>
      <c r="D1915" s="5">
        <v>1932251</v>
      </c>
      <c r="E1915" s="5">
        <v>112391</v>
      </c>
      <c r="F1915" s="5">
        <v>261959176</v>
      </c>
      <c r="G1915" s="5">
        <v>5.816583870314985</v>
      </c>
      <c r="H1915" s="5">
        <v>2330.7842798800616</v>
      </c>
      <c r="I1915" s="5">
        <v>135.57202247534093</v>
      </c>
    </row>
    <row r="1916" spans="1:9" x14ac:dyDescent="0.2">
      <c r="A1916" s="5" t="s">
        <v>90</v>
      </c>
      <c r="B1916" s="5" t="s">
        <v>65</v>
      </c>
      <c r="C1916" s="5" t="s">
        <v>51</v>
      </c>
      <c r="D1916" s="5">
        <v>1929847</v>
      </c>
      <c r="E1916" s="5">
        <v>108181</v>
      </c>
      <c r="F1916" s="5">
        <v>254709507</v>
      </c>
      <c r="G1916" s="5">
        <v>5.605677548531049</v>
      </c>
      <c r="H1916" s="5">
        <v>2354.4754346881614</v>
      </c>
      <c r="I1916" s="5">
        <v>131.98430082799311</v>
      </c>
    </row>
    <row r="1917" spans="1:9" x14ac:dyDescent="0.2">
      <c r="A1917" s="5" t="s">
        <v>90</v>
      </c>
      <c r="B1917" s="5" t="s">
        <v>65</v>
      </c>
      <c r="C1917" s="5" t="s">
        <v>52</v>
      </c>
      <c r="D1917" s="5">
        <v>1925308</v>
      </c>
      <c r="E1917" s="5">
        <v>104188</v>
      </c>
      <c r="F1917" s="5">
        <v>246588220</v>
      </c>
      <c r="G1917" s="5">
        <v>5.4114977967161622</v>
      </c>
      <c r="H1917" s="5">
        <v>2366.762199101624</v>
      </c>
      <c r="I1917" s="5">
        <v>128.07728425789537</v>
      </c>
    </row>
    <row r="1918" spans="1:9" x14ac:dyDescent="0.2">
      <c r="A1918" s="5" t="s">
        <v>90</v>
      </c>
      <c r="B1918" s="5" t="s">
        <v>65</v>
      </c>
      <c r="C1918" s="5" t="s">
        <v>53</v>
      </c>
      <c r="D1918" s="5">
        <v>1920738</v>
      </c>
      <c r="E1918" s="5">
        <v>101456</v>
      </c>
      <c r="F1918" s="5">
        <v>244547357</v>
      </c>
      <c r="G1918" s="5">
        <v>5.2821363455088619</v>
      </c>
      <c r="H1918" s="5">
        <v>2410.3784596278188</v>
      </c>
      <c r="I1918" s="5">
        <v>127.31947668031766</v>
      </c>
    </row>
    <row r="1919" spans="1:9" x14ac:dyDescent="0.2">
      <c r="A1919" s="5" t="s">
        <v>90</v>
      </c>
      <c r="B1919" s="5" t="s">
        <v>65</v>
      </c>
      <c r="C1919" s="5" t="s">
        <v>54</v>
      </c>
      <c r="D1919" s="5">
        <v>1918839</v>
      </c>
      <c r="E1919" s="5">
        <v>102191</v>
      </c>
      <c r="F1919" s="5">
        <v>248383576</v>
      </c>
      <c r="G1919" s="5">
        <v>5.3256682817057603</v>
      </c>
      <c r="H1919" s="5">
        <v>2430.5817146324039</v>
      </c>
      <c r="I1919" s="5">
        <v>129.44471943711795</v>
      </c>
    </row>
    <row r="1920" spans="1:9" x14ac:dyDescent="0.2">
      <c r="A1920" s="5" t="s">
        <v>90</v>
      </c>
      <c r="B1920" s="5" t="s">
        <v>65</v>
      </c>
      <c r="C1920" s="5" t="s">
        <v>55</v>
      </c>
      <c r="D1920" s="5">
        <v>1919156</v>
      </c>
      <c r="E1920" s="5">
        <v>99877</v>
      </c>
      <c r="F1920" s="5">
        <v>241330994</v>
      </c>
      <c r="G1920" s="5">
        <v>5.2042147694090524</v>
      </c>
      <c r="H1920" s="5">
        <v>2416.2819668191878</v>
      </c>
      <c r="I1920" s="5">
        <v>125.7485029877717</v>
      </c>
    </row>
    <row r="1921" spans="1:9" x14ac:dyDescent="0.2">
      <c r="A1921" s="5" t="s">
        <v>90</v>
      </c>
      <c r="B1921" s="5" t="s">
        <v>65</v>
      </c>
      <c r="C1921" s="5" t="s">
        <v>56</v>
      </c>
      <c r="D1921" s="5">
        <v>1919918</v>
      </c>
      <c r="E1921" s="5">
        <v>98420</v>
      </c>
      <c r="F1921" s="5">
        <v>240223500</v>
      </c>
      <c r="G1921" s="5">
        <v>5.126260600713155</v>
      </c>
      <c r="H1921" s="5">
        <v>2440.799634220687</v>
      </c>
      <c r="I1921" s="5">
        <v>125.12174999140588</v>
      </c>
    </row>
    <row r="1922" spans="1:9" x14ac:dyDescent="0.2">
      <c r="A1922" s="5" t="s">
        <v>90</v>
      </c>
      <c r="B1922" s="5" t="s">
        <v>65</v>
      </c>
      <c r="C1922" s="5" t="s">
        <v>57</v>
      </c>
      <c r="D1922" s="5">
        <v>1921858</v>
      </c>
      <c r="E1922" s="5">
        <v>97037</v>
      </c>
      <c r="F1922" s="5">
        <v>236574353</v>
      </c>
      <c r="G1922" s="5">
        <v>5.0491243369697445</v>
      </c>
      <c r="H1922" s="5">
        <v>2437.9809041911849</v>
      </c>
      <c r="I1922" s="5">
        <v>123.09668716419215</v>
      </c>
    </row>
    <row r="1923" spans="1:9" x14ac:dyDescent="0.2">
      <c r="A1923" s="5" t="s">
        <v>90</v>
      </c>
      <c r="B1923" s="5" t="s">
        <v>65</v>
      </c>
      <c r="C1923" s="5" t="s">
        <v>58</v>
      </c>
      <c r="D1923" s="5">
        <v>1923875</v>
      </c>
      <c r="E1923" s="5">
        <v>94049</v>
      </c>
      <c r="F1923" s="5">
        <v>228652018</v>
      </c>
      <c r="G1923" s="5">
        <v>4.8885192645052307</v>
      </c>
      <c r="H1923" s="5">
        <v>2431.2009484417699</v>
      </c>
      <c r="I1923" s="5">
        <v>118.84972672340979</v>
      </c>
    </row>
    <row r="1924" spans="1:9" x14ac:dyDescent="0.2">
      <c r="A1924" s="5" t="s">
        <v>90</v>
      </c>
      <c r="B1924" s="5" t="s">
        <v>65</v>
      </c>
      <c r="C1924" s="5" t="s">
        <v>59</v>
      </c>
      <c r="D1924" s="5">
        <v>1925933</v>
      </c>
      <c r="E1924" s="5">
        <v>92786</v>
      </c>
      <c r="F1924" s="5">
        <v>227305566</v>
      </c>
      <c r="G1924" s="5">
        <v>4.8177169195397767</v>
      </c>
      <c r="H1924" s="5">
        <v>2449.7830060569481</v>
      </c>
      <c r="I1924" s="5">
        <v>118.02361037481573</v>
      </c>
    </row>
    <row r="1925" spans="1:9" x14ac:dyDescent="0.2">
      <c r="A1925" s="5" t="s">
        <v>90</v>
      </c>
      <c r="B1925" s="5" t="s">
        <v>65</v>
      </c>
      <c r="C1925" s="5" t="s">
        <v>60</v>
      </c>
      <c r="D1925" s="5">
        <v>1929721</v>
      </c>
      <c r="E1925" s="5">
        <v>92066</v>
      </c>
      <c r="F1925" s="5">
        <v>225572067</v>
      </c>
      <c r="G1925" s="5">
        <v>4.7709487537317568</v>
      </c>
      <c r="H1925" s="5">
        <v>2450.1126040014774</v>
      </c>
      <c r="I1925" s="5">
        <v>116.89361674563318</v>
      </c>
    </row>
    <row r="1926" spans="1:9" x14ac:dyDescent="0.2">
      <c r="A1926" s="5" t="s">
        <v>90</v>
      </c>
      <c r="B1926" s="5" t="s">
        <v>65</v>
      </c>
      <c r="C1926" s="5" t="s">
        <v>61</v>
      </c>
      <c r="D1926" s="5">
        <v>1934359</v>
      </c>
      <c r="E1926" s="5">
        <v>92523</v>
      </c>
      <c r="F1926" s="5">
        <v>228636627</v>
      </c>
      <c r="G1926" s="5">
        <v>4.7831348782723371</v>
      </c>
      <c r="H1926" s="5">
        <v>2471.1328750689017</v>
      </c>
      <c r="I1926" s="5">
        <v>118.19761843587462</v>
      </c>
    </row>
    <row r="1927" spans="1:9" x14ac:dyDescent="0.2">
      <c r="A1927" s="5" t="s">
        <v>90</v>
      </c>
      <c r="B1927" s="5" t="s">
        <v>65</v>
      </c>
      <c r="C1927" s="5" t="s">
        <v>62</v>
      </c>
      <c r="D1927" s="5">
        <v>1941098</v>
      </c>
      <c r="E1927" s="5">
        <v>91141</v>
      </c>
      <c r="F1927" s="5">
        <v>225772853</v>
      </c>
      <c r="G1927" s="5">
        <v>4.6953322294907318</v>
      </c>
      <c r="H1927" s="5">
        <v>2477.1820914846226</v>
      </c>
      <c r="I1927" s="5">
        <v>116.31192912465006</v>
      </c>
    </row>
    <row r="1928" spans="1:9" x14ac:dyDescent="0.2">
      <c r="A1928" s="5" t="s">
        <v>91</v>
      </c>
      <c r="B1928" s="5" t="s">
        <v>44</v>
      </c>
      <c r="C1928" s="5" t="s">
        <v>45</v>
      </c>
      <c r="D1928" s="5">
        <v>2402239</v>
      </c>
      <c r="E1928" s="5">
        <v>24480</v>
      </c>
      <c r="F1928" s="5">
        <v>214697840</v>
      </c>
      <c r="G1928" s="5">
        <v>1.0190493119127615</v>
      </c>
      <c r="H1928" s="5">
        <v>8770.33660130719</v>
      </c>
      <c r="I1928" s="5">
        <v>89.374054788053982</v>
      </c>
    </row>
    <row r="1929" spans="1:9" x14ac:dyDescent="0.2">
      <c r="A1929" s="5" t="s">
        <v>91</v>
      </c>
      <c r="B1929" s="5" t="s">
        <v>44</v>
      </c>
      <c r="C1929" s="5" t="s">
        <v>46</v>
      </c>
      <c r="D1929" s="5">
        <v>2416942</v>
      </c>
      <c r="E1929" s="5">
        <v>23936</v>
      </c>
      <c r="F1929" s="5">
        <v>210460773</v>
      </c>
      <c r="G1929" s="5">
        <v>0.99034234168631274</v>
      </c>
      <c r="H1929" s="5">
        <v>8792.6459308155081</v>
      </c>
      <c r="I1929" s="5">
        <v>87.077295607424588</v>
      </c>
    </row>
    <row r="1930" spans="1:9" x14ac:dyDescent="0.2">
      <c r="A1930" s="5" t="s">
        <v>91</v>
      </c>
      <c r="B1930" s="5" t="s">
        <v>44</v>
      </c>
      <c r="C1930" s="5" t="s">
        <v>47</v>
      </c>
      <c r="D1930" s="5">
        <v>2432877</v>
      </c>
      <c r="E1930" s="5">
        <v>23737</v>
      </c>
      <c r="F1930" s="5">
        <v>212488044</v>
      </c>
      <c r="G1930" s="5">
        <v>0.97567612337162957</v>
      </c>
      <c r="H1930" s="5">
        <v>8951.764923958377</v>
      </c>
      <c r="I1930" s="5">
        <v>87.340232983418403</v>
      </c>
    </row>
    <row r="1931" spans="1:9" x14ac:dyDescent="0.2">
      <c r="A1931" s="5" t="s">
        <v>91</v>
      </c>
      <c r="B1931" s="5" t="s">
        <v>44</v>
      </c>
      <c r="C1931" s="5" t="s">
        <v>48</v>
      </c>
      <c r="D1931" s="5">
        <v>2445906</v>
      </c>
      <c r="E1931" s="5">
        <v>23368</v>
      </c>
      <c r="F1931" s="5">
        <v>209133624</v>
      </c>
      <c r="G1931" s="5">
        <v>0.95539239856315006</v>
      </c>
      <c r="H1931" s="5">
        <v>8949.5730914070518</v>
      </c>
      <c r="I1931" s="5">
        <v>85.503541019156089</v>
      </c>
    </row>
    <row r="1932" spans="1:9" x14ac:dyDescent="0.2">
      <c r="A1932" s="5" t="s">
        <v>91</v>
      </c>
      <c r="B1932" s="5" t="s">
        <v>44</v>
      </c>
      <c r="C1932" s="5" t="s">
        <v>49</v>
      </c>
      <c r="D1932" s="5">
        <v>2455132</v>
      </c>
      <c r="E1932" s="5">
        <v>23281</v>
      </c>
      <c r="F1932" s="5">
        <v>212954038</v>
      </c>
      <c r="G1932" s="5">
        <v>0.94825858650369921</v>
      </c>
      <c r="H1932" s="5">
        <v>9147.1173059576486</v>
      </c>
      <c r="I1932" s="5">
        <v>86.738325271309236</v>
      </c>
    </row>
    <row r="1933" spans="1:9" x14ac:dyDescent="0.2">
      <c r="A1933" s="5" t="s">
        <v>91</v>
      </c>
      <c r="B1933" s="5" t="s">
        <v>44</v>
      </c>
      <c r="C1933" s="5" t="s">
        <v>50</v>
      </c>
      <c r="D1933" s="5">
        <v>2461752</v>
      </c>
      <c r="E1933" s="5">
        <v>23300</v>
      </c>
      <c r="F1933" s="5">
        <v>214160404</v>
      </c>
      <c r="G1933" s="5">
        <v>0.94648039282592233</v>
      </c>
      <c r="H1933" s="5">
        <v>9191.4336480686688</v>
      </c>
      <c r="I1933" s="5">
        <v>86.995117298574343</v>
      </c>
    </row>
    <row r="1934" spans="1:9" x14ac:dyDescent="0.2">
      <c r="A1934" s="5" t="s">
        <v>91</v>
      </c>
      <c r="B1934" s="5" t="s">
        <v>44</v>
      </c>
      <c r="C1934" s="5" t="s">
        <v>51</v>
      </c>
      <c r="D1934" s="5">
        <v>2468392</v>
      </c>
      <c r="E1934" s="5">
        <v>23540</v>
      </c>
      <c r="F1934" s="5">
        <v>218303885</v>
      </c>
      <c r="G1934" s="5">
        <v>0.95365727971894254</v>
      </c>
      <c r="H1934" s="5">
        <v>9273.7419286321147</v>
      </c>
      <c r="I1934" s="5">
        <v>88.439715004748024</v>
      </c>
    </row>
    <row r="1935" spans="1:9" x14ac:dyDescent="0.2">
      <c r="A1935" s="5" t="s">
        <v>91</v>
      </c>
      <c r="B1935" s="5" t="s">
        <v>44</v>
      </c>
      <c r="C1935" s="5" t="s">
        <v>52</v>
      </c>
      <c r="D1935" s="5">
        <v>2476255</v>
      </c>
      <c r="E1935" s="5">
        <v>23654</v>
      </c>
      <c r="F1935" s="5">
        <v>223121024</v>
      </c>
      <c r="G1935" s="5">
        <v>0.95523280114527787</v>
      </c>
      <c r="H1935" s="5">
        <v>9432.6973873340667</v>
      </c>
      <c r="I1935" s="5">
        <v>90.104219476588639</v>
      </c>
    </row>
    <row r="1936" spans="1:9" x14ac:dyDescent="0.2">
      <c r="A1936" s="5" t="s">
        <v>91</v>
      </c>
      <c r="B1936" s="5" t="s">
        <v>44</v>
      </c>
      <c r="C1936" s="5" t="s">
        <v>53</v>
      </c>
      <c r="D1936" s="5">
        <v>2485244</v>
      </c>
      <c r="E1936" s="5">
        <v>23645</v>
      </c>
      <c r="F1936" s="5">
        <v>220501131</v>
      </c>
      <c r="G1936" s="5">
        <v>0.95141563564784781</v>
      </c>
      <c r="H1936" s="5">
        <v>9325.4866145062388</v>
      </c>
      <c r="I1936" s="5">
        <v>88.724137750659494</v>
      </c>
    </row>
    <row r="1937" spans="1:9" x14ac:dyDescent="0.2">
      <c r="A1937" s="5" t="s">
        <v>91</v>
      </c>
      <c r="B1937" s="5" t="s">
        <v>44</v>
      </c>
      <c r="C1937" s="5" t="s">
        <v>54</v>
      </c>
      <c r="D1937" s="5">
        <v>2493103</v>
      </c>
      <c r="E1937" s="5">
        <v>24127</v>
      </c>
      <c r="F1937" s="5">
        <v>224961745</v>
      </c>
      <c r="G1937" s="5">
        <v>0.96774982822611022</v>
      </c>
      <c r="H1937" s="5">
        <v>9324.066191403821</v>
      </c>
      <c r="I1937" s="5">
        <v>90.233634550999298</v>
      </c>
    </row>
    <row r="1938" spans="1:9" x14ac:dyDescent="0.2">
      <c r="A1938" s="5" t="s">
        <v>91</v>
      </c>
      <c r="B1938" s="5" t="s">
        <v>44</v>
      </c>
      <c r="C1938" s="5" t="s">
        <v>55</v>
      </c>
      <c r="D1938" s="5">
        <v>2498804</v>
      </c>
      <c r="E1938" s="5">
        <v>24476</v>
      </c>
      <c r="F1938" s="5">
        <v>227219429</v>
      </c>
      <c r="G1938" s="5">
        <v>0.97950859691276304</v>
      </c>
      <c r="H1938" s="5">
        <v>9283.3563082202982</v>
      </c>
      <c r="I1938" s="5">
        <v>90.93127312106111</v>
      </c>
    </row>
    <row r="1939" spans="1:9" x14ac:dyDescent="0.2">
      <c r="A1939" s="5" t="s">
        <v>91</v>
      </c>
      <c r="B1939" s="5" t="s">
        <v>44</v>
      </c>
      <c r="C1939" s="5" t="s">
        <v>56</v>
      </c>
      <c r="D1939" s="5">
        <v>2503018</v>
      </c>
      <c r="E1939" s="5">
        <v>24577</v>
      </c>
      <c r="F1939" s="5">
        <v>232021688</v>
      </c>
      <c r="G1939" s="5">
        <v>0.98189465677034682</v>
      </c>
      <c r="H1939" s="5">
        <v>9440.6025145461208</v>
      </c>
      <c r="I1939" s="5">
        <v>92.696771657255368</v>
      </c>
    </row>
    <row r="1940" spans="1:9" x14ac:dyDescent="0.2">
      <c r="A1940" s="5" t="s">
        <v>91</v>
      </c>
      <c r="B1940" s="5" t="s">
        <v>44</v>
      </c>
      <c r="C1940" s="5" t="s">
        <v>57</v>
      </c>
      <c r="D1940" s="5">
        <v>2506997</v>
      </c>
      <c r="E1940" s="5">
        <v>24295</v>
      </c>
      <c r="F1940" s="5">
        <v>240763892</v>
      </c>
      <c r="G1940" s="5">
        <v>0.96908771729682963</v>
      </c>
      <c r="H1940" s="5">
        <v>9910.0181930438357</v>
      </c>
      <c r="I1940" s="5">
        <v>96.03676909066904</v>
      </c>
    </row>
    <row r="1941" spans="1:9" x14ac:dyDescent="0.2">
      <c r="A1941" s="5" t="s">
        <v>91</v>
      </c>
      <c r="B1941" s="5" t="s">
        <v>44</v>
      </c>
      <c r="C1941" s="5" t="s">
        <v>58</v>
      </c>
      <c r="D1941" s="5">
        <v>2512433</v>
      </c>
      <c r="E1941" s="5">
        <v>23745</v>
      </c>
      <c r="F1941" s="5">
        <v>244874042</v>
      </c>
      <c r="G1941" s="5">
        <v>0.94509982952779237</v>
      </c>
      <c r="H1941" s="5">
        <v>10312.657064645189</v>
      </c>
      <c r="I1941" s="5">
        <v>97.464904337747512</v>
      </c>
    </row>
    <row r="1942" spans="1:9" x14ac:dyDescent="0.2">
      <c r="A1942" s="5" t="s">
        <v>91</v>
      </c>
      <c r="B1942" s="5" t="s">
        <v>44</v>
      </c>
      <c r="C1942" s="5" t="s">
        <v>59</v>
      </c>
      <c r="D1942" s="5">
        <v>2517078</v>
      </c>
      <c r="E1942" s="5">
        <v>22995</v>
      </c>
      <c r="F1942" s="5">
        <v>245242312</v>
      </c>
      <c r="G1942" s="5">
        <v>0.91355929375251776</v>
      </c>
      <c r="H1942" s="5">
        <v>10665.027701674277</v>
      </c>
      <c r="I1942" s="5">
        <v>97.431351749925909</v>
      </c>
    </row>
    <row r="1943" spans="1:9" x14ac:dyDescent="0.2">
      <c r="A1943" s="5" t="s">
        <v>91</v>
      </c>
      <c r="B1943" s="5" t="s">
        <v>44</v>
      </c>
      <c r="C1943" s="5" t="s">
        <v>60</v>
      </c>
      <c r="D1943" s="5">
        <v>2521552</v>
      </c>
      <c r="E1943" s="5">
        <v>22699</v>
      </c>
      <c r="F1943" s="5">
        <v>248186958</v>
      </c>
      <c r="G1943" s="5">
        <v>0.90019955963628751</v>
      </c>
      <c r="H1943" s="5">
        <v>10933.827833825279</v>
      </c>
      <c r="I1943" s="5">
        <v>98.426270011484988</v>
      </c>
    </row>
    <row r="1944" spans="1:9" x14ac:dyDescent="0.2">
      <c r="A1944" s="5" t="s">
        <v>91</v>
      </c>
      <c r="B1944" s="5" t="s">
        <v>44</v>
      </c>
      <c r="C1944" s="5" t="s">
        <v>61</v>
      </c>
      <c r="D1944" s="5">
        <v>2526436</v>
      </c>
      <c r="E1944" s="5">
        <v>22475</v>
      </c>
      <c r="F1944" s="5">
        <v>248064257</v>
      </c>
      <c r="G1944" s="5">
        <v>0.88959308686228344</v>
      </c>
      <c r="H1944" s="5">
        <v>11037.341802002225</v>
      </c>
      <c r="I1944" s="5">
        <v>98.187429643972777</v>
      </c>
    </row>
    <row r="1945" spans="1:9" x14ac:dyDescent="0.2">
      <c r="A1945" s="5" t="s">
        <v>91</v>
      </c>
      <c r="B1945" s="5" t="s">
        <v>44</v>
      </c>
      <c r="C1945" s="5" t="s">
        <v>62</v>
      </c>
      <c r="D1945" s="5">
        <v>2531526</v>
      </c>
      <c r="E1945" s="5">
        <v>22144</v>
      </c>
      <c r="F1945" s="5">
        <v>243639860</v>
      </c>
      <c r="G1945" s="5">
        <v>0.874729313465475</v>
      </c>
      <c r="H1945" s="5">
        <v>11002.522579479768</v>
      </c>
      <c r="I1945" s="5">
        <v>96.242290223367249</v>
      </c>
    </row>
    <row r="1946" spans="1:9" x14ac:dyDescent="0.2">
      <c r="A1946" s="5" t="s">
        <v>91</v>
      </c>
      <c r="B1946" s="5" t="s">
        <v>63</v>
      </c>
      <c r="C1946" s="5" t="s">
        <v>45</v>
      </c>
      <c r="D1946" s="5">
        <v>2402239</v>
      </c>
      <c r="E1946" s="5">
        <v>101279</v>
      </c>
      <c r="F1946" s="5">
        <v>224248453</v>
      </c>
      <c r="G1946" s="5">
        <v>4.2160251332194676</v>
      </c>
      <c r="H1946" s="5">
        <v>2214.1653551081668</v>
      </c>
      <c r="I1946" s="5">
        <v>93.349767862398366</v>
      </c>
    </row>
    <row r="1947" spans="1:9" x14ac:dyDescent="0.2">
      <c r="A1947" s="5" t="s">
        <v>91</v>
      </c>
      <c r="B1947" s="5" t="s">
        <v>63</v>
      </c>
      <c r="C1947" s="5" t="s">
        <v>46</v>
      </c>
      <c r="D1947" s="5">
        <v>2416942</v>
      </c>
      <c r="E1947" s="5">
        <v>99210</v>
      </c>
      <c r="F1947" s="5">
        <v>222224563</v>
      </c>
      <c r="G1947" s="5">
        <v>4.1047737181943136</v>
      </c>
      <c r="H1947" s="5">
        <v>2239.9411652051203</v>
      </c>
      <c r="I1947" s="5">
        <v>91.944516252355243</v>
      </c>
    </row>
    <row r="1948" spans="1:9" x14ac:dyDescent="0.2">
      <c r="A1948" s="5" t="s">
        <v>91</v>
      </c>
      <c r="B1948" s="5" t="s">
        <v>63</v>
      </c>
      <c r="C1948" s="5" t="s">
        <v>47</v>
      </c>
      <c r="D1948" s="5">
        <v>2432877</v>
      </c>
      <c r="E1948" s="5">
        <v>100863</v>
      </c>
      <c r="F1948" s="5">
        <v>226265627</v>
      </c>
      <c r="G1948" s="5">
        <v>4.1458322800536154</v>
      </c>
      <c r="H1948" s="5">
        <v>2243.2966201679506</v>
      </c>
      <c r="I1948" s="5">
        <v>93.003315416274646</v>
      </c>
    </row>
    <row r="1949" spans="1:9" x14ac:dyDescent="0.2">
      <c r="A1949" s="5" t="s">
        <v>91</v>
      </c>
      <c r="B1949" s="5" t="s">
        <v>63</v>
      </c>
      <c r="C1949" s="5" t="s">
        <v>48</v>
      </c>
      <c r="D1949" s="5">
        <v>2445906</v>
      </c>
      <c r="E1949" s="5">
        <v>101978</v>
      </c>
      <c r="F1949" s="5">
        <v>230762955</v>
      </c>
      <c r="G1949" s="5">
        <v>4.1693343897925761</v>
      </c>
      <c r="H1949" s="5">
        <v>2262.8699817607721</v>
      </c>
      <c r="I1949" s="5">
        <v>94.346616345844851</v>
      </c>
    </row>
    <row r="1950" spans="1:9" x14ac:dyDescent="0.2">
      <c r="A1950" s="5" t="s">
        <v>91</v>
      </c>
      <c r="B1950" s="5" t="s">
        <v>63</v>
      </c>
      <c r="C1950" s="5" t="s">
        <v>49</v>
      </c>
      <c r="D1950" s="5">
        <v>2455132</v>
      </c>
      <c r="E1950" s="5">
        <v>101572</v>
      </c>
      <c r="F1950" s="5">
        <v>230789564</v>
      </c>
      <c r="G1950" s="5">
        <v>4.1371298977000013</v>
      </c>
      <c r="H1950" s="5">
        <v>2272.1770172882289</v>
      </c>
      <c r="I1950" s="5">
        <v>94.002914710899461</v>
      </c>
    </row>
    <row r="1951" spans="1:9" x14ac:dyDescent="0.2">
      <c r="A1951" s="5" t="s">
        <v>91</v>
      </c>
      <c r="B1951" s="5" t="s">
        <v>63</v>
      </c>
      <c r="C1951" s="5" t="s">
        <v>50</v>
      </c>
      <c r="D1951" s="5">
        <v>2461752</v>
      </c>
      <c r="E1951" s="5">
        <v>102139</v>
      </c>
      <c r="F1951" s="5">
        <v>232338185</v>
      </c>
      <c r="G1951" s="5">
        <v>4.149036946044931</v>
      </c>
      <c r="H1951" s="5">
        <v>2274.7254721506965</v>
      </c>
      <c r="I1951" s="5">
        <v>94.379200260627385</v>
      </c>
    </row>
    <row r="1952" spans="1:9" x14ac:dyDescent="0.2">
      <c r="A1952" s="5" t="s">
        <v>91</v>
      </c>
      <c r="B1952" s="5" t="s">
        <v>63</v>
      </c>
      <c r="C1952" s="5" t="s">
        <v>51</v>
      </c>
      <c r="D1952" s="5">
        <v>2468392</v>
      </c>
      <c r="E1952" s="5">
        <v>100758</v>
      </c>
      <c r="F1952" s="5">
        <v>230964216</v>
      </c>
      <c r="G1952" s="5">
        <v>4.0819286401835688</v>
      </c>
      <c r="H1952" s="5">
        <v>2292.2667778240934</v>
      </c>
      <c r="I1952" s="5">
        <v>93.568694113414722</v>
      </c>
    </row>
    <row r="1953" spans="1:9" x14ac:dyDescent="0.2">
      <c r="A1953" s="5" t="s">
        <v>91</v>
      </c>
      <c r="B1953" s="5" t="s">
        <v>63</v>
      </c>
      <c r="C1953" s="5" t="s">
        <v>52</v>
      </c>
      <c r="D1953" s="5">
        <v>2476255</v>
      </c>
      <c r="E1953" s="5">
        <v>99860</v>
      </c>
      <c r="F1953" s="5">
        <v>229850403</v>
      </c>
      <c r="G1953" s="5">
        <v>4.0327026093839287</v>
      </c>
      <c r="H1953" s="5">
        <v>2301.726447025836</v>
      </c>
      <c r="I1953" s="5">
        <v>92.821782490090882</v>
      </c>
    </row>
    <row r="1954" spans="1:9" x14ac:dyDescent="0.2">
      <c r="A1954" s="5" t="s">
        <v>91</v>
      </c>
      <c r="B1954" s="5" t="s">
        <v>63</v>
      </c>
      <c r="C1954" s="5" t="s">
        <v>53</v>
      </c>
      <c r="D1954" s="5">
        <v>2485244</v>
      </c>
      <c r="E1954" s="5">
        <v>99696</v>
      </c>
      <c r="F1954" s="5">
        <v>230390704</v>
      </c>
      <c r="G1954" s="5">
        <v>4.0115175813722921</v>
      </c>
      <c r="H1954" s="5">
        <v>2310.9322741133046</v>
      </c>
      <c r="I1954" s="5">
        <v>92.703454469661736</v>
      </c>
    </row>
    <row r="1955" spans="1:9" x14ac:dyDescent="0.2">
      <c r="A1955" s="5" t="s">
        <v>91</v>
      </c>
      <c r="B1955" s="5" t="s">
        <v>63</v>
      </c>
      <c r="C1955" s="5" t="s">
        <v>54</v>
      </c>
      <c r="D1955" s="5">
        <v>2493103</v>
      </c>
      <c r="E1955" s="5">
        <v>99596</v>
      </c>
      <c r="F1955" s="5">
        <v>231428963</v>
      </c>
      <c r="G1955" s="5">
        <v>3.9948610225891188</v>
      </c>
      <c r="H1955" s="5">
        <v>2323.677286236395</v>
      </c>
      <c r="I1955" s="5">
        <v>92.827678198614336</v>
      </c>
    </row>
    <row r="1956" spans="1:9" x14ac:dyDescent="0.2">
      <c r="A1956" s="5" t="s">
        <v>91</v>
      </c>
      <c r="B1956" s="5" t="s">
        <v>63</v>
      </c>
      <c r="C1956" s="5" t="s">
        <v>55</v>
      </c>
      <c r="D1956" s="5">
        <v>2498804</v>
      </c>
      <c r="E1956" s="5">
        <v>99467</v>
      </c>
      <c r="F1956" s="5">
        <v>231460718</v>
      </c>
      <c r="G1956" s="5">
        <v>3.980584311534638</v>
      </c>
      <c r="H1956" s="5">
        <v>2327.0101440678818</v>
      </c>
      <c r="I1956" s="5">
        <v>92.628600722585688</v>
      </c>
    </row>
    <row r="1957" spans="1:9" x14ac:dyDescent="0.2">
      <c r="A1957" s="5" t="s">
        <v>91</v>
      </c>
      <c r="B1957" s="5" t="s">
        <v>63</v>
      </c>
      <c r="C1957" s="5" t="s">
        <v>56</v>
      </c>
      <c r="D1957" s="5">
        <v>2503018</v>
      </c>
      <c r="E1957" s="5">
        <v>98175</v>
      </c>
      <c r="F1957" s="5">
        <v>227058697</v>
      </c>
      <c r="G1957" s="5">
        <v>3.92226504164173</v>
      </c>
      <c r="H1957" s="5">
        <v>2312.7954876496051</v>
      </c>
      <c r="I1957" s="5">
        <v>90.713968896747843</v>
      </c>
    </row>
    <row r="1958" spans="1:9" x14ac:dyDescent="0.2">
      <c r="A1958" s="5" t="s">
        <v>91</v>
      </c>
      <c r="B1958" s="5" t="s">
        <v>63</v>
      </c>
      <c r="C1958" s="5" t="s">
        <v>57</v>
      </c>
      <c r="D1958" s="5">
        <v>2506997</v>
      </c>
      <c r="E1958" s="5">
        <v>97092</v>
      </c>
      <c r="F1958" s="5">
        <v>225016456</v>
      </c>
      <c r="G1958" s="5">
        <v>3.8728406934671242</v>
      </c>
      <c r="H1958" s="5">
        <v>2317.5591809829853</v>
      </c>
      <c r="I1958" s="5">
        <v>89.755375056292451</v>
      </c>
    </row>
    <row r="1959" spans="1:9" x14ac:dyDescent="0.2">
      <c r="A1959" s="5" t="s">
        <v>91</v>
      </c>
      <c r="B1959" s="5" t="s">
        <v>63</v>
      </c>
      <c r="C1959" s="5" t="s">
        <v>58</v>
      </c>
      <c r="D1959" s="5">
        <v>2512433</v>
      </c>
      <c r="E1959" s="5">
        <v>95525</v>
      </c>
      <c r="F1959" s="5">
        <v>223841829</v>
      </c>
      <c r="G1959" s="5">
        <v>3.8020914388562801</v>
      </c>
      <c r="H1959" s="5">
        <v>2343.2800732792462</v>
      </c>
      <c r="I1959" s="5">
        <v>89.093651054575389</v>
      </c>
    </row>
    <row r="1960" spans="1:9" x14ac:dyDescent="0.2">
      <c r="A1960" s="5" t="s">
        <v>91</v>
      </c>
      <c r="B1960" s="5" t="s">
        <v>63</v>
      </c>
      <c r="C1960" s="5" t="s">
        <v>59</v>
      </c>
      <c r="D1960" s="5">
        <v>2517078</v>
      </c>
      <c r="E1960" s="5">
        <v>95157</v>
      </c>
      <c r="F1960" s="5">
        <v>223414755</v>
      </c>
      <c r="G1960" s="5">
        <v>3.7804549561038634</v>
      </c>
      <c r="H1960" s="5">
        <v>2347.8541252876826</v>
      </c>
      <c r="I1960" s="5">
        <v>88.759567641527198</v>
      </c>
    </row>
    <row r="1961" spans="1:9" x14ac:dyDescent="0.2">
      <c r="A1961" s="5" t="s">
        <v>91</v>
      </c>
      <c r="B1961" s="5" t="s">
        <v>63</v>
      </c>
      <c r="C1961" s="5" t="s">
        <v>60</v>
      </c>
      <c r="D1961" s="5">
        <v>2521552</v>
      </c>
      <c r="E1961" s="5">
        <v>94718</v>
      </c>
      <c r="F1961" s="5">
        <v>225201055</v>
      </c>
      <c r="G1961" s="5">
        <v>3.7563373668280486</v>
      </c>
      <c r="H1961" s="5">
        <v>2377.5951244747566</v>
      </c>
      <c r="I1961" s="5">
        <v>89.310494092527136</v>
      </c>
    </row>
    <row r="1962" spans="1:9" x14ac:dyDescent="0.2">
      <c r="A1962" s="5" t="s">
        <v>91</v>
      </c>
      <c r="B1962" s="5" t="s">
        <v>63</v>
      </c>
      <c r="C1962" s="5" t="s">
        <v>61</v>
      </c>
      <c r="D1962" s="5">
        <v>2526436</v>
      </c>
      <c r="E1962" s="5">
        <v>93235</v>
      </c>
      <c r="F1962" s="5">
        <v>222834882</v>
      </c>
      <c r="G1962" s="5">
        <v>3.6903764829190213</v>
      </c>
      <c r="H1962" s="5">
        <v>2390.0346650935808</v>
      </c>
      <c r="I1962" s="5">
        <v>88.201277214225897</v>
      </c>
    </row>
    <row r="1963" spans="1:9" x14ac:dyDescent="0.2">
      <c r="A1963" s="5" t="s">
        <v>91</v>
      </c>
      <c r="B1963" s="5" t="s">
        <v>63</v>
      </c>
      <c r="C1963" s="5" t="s">
        <v>62</v>
      </c>
      <c r="D1963" s="5">
        <v>2531526</v>
      </c>
      <c r="E1963" s="5">
        <v>91673</v>
      </c>
      <c r="F1963" s="5">
        <v>219887204</v>
      </c>
      <c r="G1963" s="5">
        <v>3.6212545318515392</v>
      </c>
      <c r="H1963" s="5">
        <v>2398.6037764663533</v>
      </c>
      <c r="I1963" s="5">
        <v>86.859547956449987</v>
      </c>
    </row>
    <row r="1964" spans="1:9" x14ac:dyDescent="0.2">
      <c r="A1964" s="5" t="s">
        <v>91</v>
      </c>
      <c r="B1964" s="5" t="s">
        <v>64</v>
      </c>
      <c r="C1964" s="5" t="s">
        <v>45</v>
      </c>
      <c r="D1964" s="5">
        <v>1946981</v>
      </c>
      <c r="E1964" s="5">
        <v>242391</v>
      </c>
      <c r="F1964" s="5">
        <v>348846203</v>
      </c>
      <c r="G1964" s="5">
        <v>12.44958219931268</v>
      </c>
      <c r="H1964" s="5">
        <v>1439.1879360207267</v>
      </c>
      <c r="I1964" s="5">
        <v>179.17288509749196</v>
      </c>
    </row>
    <row r="1965" spans="1:9" x14ac:dyDescent="0.2">
      <c r="A1965" s="5" t="s">
        <v>91</v>
      </c>
      <c r="B1965" s="5" t="s">
        <v>64</v>
      </c>
      <c r="C1965" s="5" t="s">
        <v>46</v>
      </c>
      <c r="D1965" s="5">
        <v>1957873</v>
      </c>
      <c r="E1965" s="5">
        <v>243987</v>
      </c>
      <c r="F1965" s="5">
        <v>358979153</v>
      </c>
      <c r="G1965" s="5">
        <v>12.461839966126506</v>
      </c>
      <c r="H1965" s="5">
        <v>1471.3044260554866</v>
      </c>
      <c r="I1965" s="5">
        <v>183.35160298957084</v>
      </c>
    </row>
    <row r="1966" spans="1:9" x14ac:dyDescent="0.2">
      <c r="A1966" s="5" t="s">
        <v>91</v>
      </c>
      <c r="B1966" s="5" t="s">
        <v>64</v>
      </c>
      <c r="C1966" s="5" t="s">
        <v>47</v>
      </c>
      <c r="D1966" s="5">
        <v>1970191</v>
      </c>
      <c r="E1966" s="5">
        <v>184579</v>
      </c>
      <c r="F1966" s="5">
        <v>193924975</v>
      </c>
      <c r="G1966" s="5">
        <v>9.3685840611392504</v>
      </c>
      <c r="H1966" s="5">
        <v>1050.6340103695436</v>
      </c>
      <c r="I1966" s="5">
        <v>98.429530436389157</v>
      </c>
    </row>
    <row r="1967" spans="1:9" x14ac:dyDescent="0.2">
      <c r="A1967" s="5" t="s">
        <v>91</v>
      </c>
      <c r="B1967" s="5" t="s">
        <v>64</v>
      </c>
      <c r="C1967" s="5" t="s">
        <v>48</v>
      </c>
      <c r="D1967" s="5">
        <v>1979976</v>
      </c>
      <c r="E1967" s="5">
        <v>177613</v>
      </c>
      <c r="F1967" s="5">
        <v>181896800</v>
      </c>
      <c r="G1967" s="5">
        <v>8.9704622682295145</v>
      </c>
      <c r="H1967" s="5">
        <v>1024.1187300479132</v>
      </c>
      <c r="I1967" s="5">
        <v>91.868184260819319</v>
      </c>
    </row>
    <row r="1968" spans="1:9" x14ac:dyDescent="0.2">
      <c r="A1968" s="5" t="s">
        <v>91</v>
      </c>
      <c r="B1968" s="5" t="s">
        <v>64</v>
      </c>
      <c r="C1968" s="5" t="s">
        <v>49</v>
      </c>
      <c r="D1968" s="5">
        <v>1985710</v>
      </c>
      <c r="E1968" s="5">
        <v>160763</v>
      </c>
      <c r="F1968" s="5">
        <v>147977452</v>
      </c>
      <c r="G1968" s="5">
        <v>8.095995890638612</v>
      </c>
      <c r="H1968" s="5">
        <v>920.46958566336787</v>
      </c>
      <c r="I1968" s="5">
        <v>74.521179829884531</v>
      </c>
    </row>
    <row r="1969" spans="1:9" x14ac:dyDescent="0.2">
      <c r="A1969" s="5" t="s">
        <v>91</v>
      </c>
      <c r="B1969" s="5" t="s">
        <v>64</v>
      </c>
      <c r="C1969" s="5" t="s">
        <v>50</v>
      </c>
      <c r="D1969" s="5">
        <v>1988884</v>
      </c>
      <c r="E1969" s="5">
        <v>153693</v>
      </c>
      <c r="F1969" s="5">
        <v>138425954</v>
      </c>
      <c r="G1969" s="5">
        <v>7.727600000804471</v>
      </c>
      <c r="H1969" s="5">
        <v>900.66531331940951</v>
      </c>
      <c r="I1969" s="5">
        <v>69.599812759316279</v>
      </c>
    </row>
    <row r="1970" spans="1:9" x14ac:dyDescent="0.2">
      <c r="A1970" s="5" t="s">
        <v>91</v>
      </c>
      <c r="B1970" s="5" t="s">
        <v>64</v>
      </c>
      <c r="C1970" s="5" t="s">
        <v>51</v>
      </c>
      <c r="D1970" s="5">
        <v>1990733</v>
      </c>
      <c r="E1970" s="5">
        <v>175764</v>
      </c>
      <c r="F1970" s="5">
        <v>192044632</v>
      </c>
      <c r="G1970" s="5">
        <v>8.8291096797008937</v>
      </c>
      <c r="H1970" s="5">
        <v>1092.6277963633054</v>
      </c>
      <c r="I1970" s="5">
        <v>96.469306531815164</v>
      </c>
    </row>
    <row r="1971" spans="1:9" x14ac:dyDescent="0.2">
      <c r="A1971" s="5" t="s">
        <v>91</v>
      </c>
      <c r="B1971" s="5" t="s">
        <v>64</v>
      </c>
      <c r="C1971" s="5" t="s">
        <v>52</v>
      </c>
      <c r="D1971" s="5">
        <v>1992222</v>
      </c>
      <c r="E1971" s="5">
        <v>177819</v>
      </c>
      <c r="F1971" s="5">
        <v>201301380</v>
      </c>
      <c r="G1971" s="5">
        <v>8.9256618991257</v>
      </c>
      <c r="H1971" s="5">
        <v>1132.0577666053684</v>
      </c>
      <c r="I1971" s="5">
        <v>101.04364874998871</v>
      </c>
    </row>
    <row r="1972" spans="1:9" x14ac:dyDescent="0.2">
      <c r="A1972" s="5" t="s">
        <v>91</v>
      </c>
      <c r="B1972" s="5" t="s">
        <v>64</v>
      </c>
      <c r="C1972" s="5" t="s">
        <v>53</v>
      </c>
      <c r="D1972" s="5">
        <v>1994092</v>
      </c>
      <c r="E1972" s="5">
        <v>177849</v>
      </c>
      <c r="F1972" s="5">
        <v>206790905</v>
      </c>
      <c r="G1972" s="5">
        <v>8.9187961237495568</v>
      </c>
      <c r="H1972" s="5">
        <v>1162.7330207085786</v>
      </c>
      <c r="I1972" s="5">
        <v>103.70178758051283</v>
      </c>
    </row>
    <row r="1973" spans="1:9" x14ac:dyDescent="0.2">
      <c r="A1973" s="5" t="s">
        <v>91</v>
      </c>
      <c r="B1973" s="5" t="s">
        <v>64</v>
      </c>
      <c r="C1973" s="5" t="s">
        <v>54</v>
      </c>
      <c r="D1973" s="5">
        <v>1995134</v>
      </c>
      <c r="E1973" s="5">
        <v>178904</v>
      </c>
      <c r="F1973" s="5">
        <v>206538151</v>
      </c>
      <c r="G1973" s="5">
        <v>8.9670167517570256</v>
      </c>
      <c r="H1973" s="5">
        <v>1154.463572642311</v>
      </c>
      <c r="I1973" s="5">
        <v>103.52094195176865</v>
      </c>
    </row>
    <row r="1974" spans="1:9" x14ac:dyDescent="0.2">
      <c r="A1974" s="5" t="s">
        <v>91</v>
      </c>
      <c r="B1974" s="5" t="s">
        <v>64</v>
      </c>
      <c r="C1974" s="5" t="s">
        <v>55</v>
      </c>
      <c r="D1974" s="5">
        <v>1994312</v>
      </c>
      <c r="E1974" s="5">
        <v>171868</v>
      </c>
      <c r="F1974" s="5">
        <v>208825172</v>
      </c>
      <c r="G1974" s="5">
        <v>8.6179093341463116</v>
      </c>
      <c r="H1974" s="5">
        <v>1215.0323038611027</v>
      </c>
      <c r="I1974" s="5">
        <v>104.71038232733895</v>
      </c>
    </row>
    <row r="1975" spans="1:9" x14ac:dyDescent="0.2">
      <c r="A1975" s="5" t="s">
        <v>91</v>
      </c>
      <c r="B1975" s="5" t="s">
        <v>64</v>
      </c>
      <c r="C1975" s="5" t="s">
        <v>56</v>
      </c>
      <c r="D1975" s="5">
        <v>1992262</v>
      </c>
      <c r="E1975" s="5">
        <v>170510</v>
      </c>
      <c r="F1975" s="5">
        <v>213571317</v>
      </c>
      <c r="G1975" s="5">
        <v>8.558613274760047</v>
      </c>
      <c r="H1975" s="5">
        <v>1252.5442320098527</v>
      </c>
      <c r="I1975" s="5">
        <v>107.20041691303653</v>
      </c>
    </row>
    <row r="1976" spans="1:9" x14ac:dyDescent="0.2">
      <c r="A1976" s="5" t="s">
        <v>91</v>
      </c>
      <c r="B1976" s="5" t="s">
        <v>64</v>
      </c>
      <c r="C1976" s="5" t="s">
        <v>57</v>
      </c>
      <c r="D1976" s="5">
        <v>1990636</v>
      </c>
      <c r="E1976" s="5">
        <v>168835</v>
      </c>
      <c r="F1976" s="5">
        <v>210186199</v>
      </c>
      <c r="G1976" s="5">
        <v>8.481460196640672</v>
      </c>
      <c r="H1976" s="5">
        <v>1244.9207747208814</v>
      </c>
      <c r="I1976" s="5">
        <v>105.58745998766223</v>
      </c>
    </row>
    <row r="1977" spans="1:9" x14ac:dyDescent="0.2">
      <c r="A1977" s="5" t="s">
        <v>91</v>
      </c>
      <c r="B1977" s="5" t="s">
        <v>64</v>
      </c>
      <c r="C1977" s="5" t="s">
        <v>58</v>
      </c>
      <c r="D1977" s="5">
        <v>1990571</v>
      </c>
      <c r="E1977" s="5">
        <v>166623</v>
      </c>
      <c r="F1977" s="5">
        <v>209499288</v>
      </c>
      <c r="G1977" s="5">
        <v>8.3706132561963376</v>
      </c>
      <c r="H1977" s="5">
        <v>1257.3251471885635</v>
      </c>
      <c r="I1977" s="5">
        <v>105.245825444056</v>
      </c>
    </row>
    <row r="1978" spans="1:9" x14ac:dyDescent="0.2">
      <c r="A1978" s="5" t="s">
        <v>91</v>
      </c>
      <c r="B1978" s="5" t="s">
        <v>64</v>
      </c>
      <c r="C1978" s="5" t="s">
        <v>59</v>
      </c>
      <c r="D1978" s="5">
        <v>1990978</v>
      </c>
      <c r="E1978" s="5">
        <v>141086</v>
      </c>
      <c r="F1978" s="5">
        <v>139945618</v>
      </c>
      <c r="G1978" s="5">
        <v>7.0862661465872554</v>
      </c>
      <c r="H1978" s="5">
        <v>991.91711438413449</v>
      </c>
      <c r="I1978" s="5">
        <v>70.289886678808102</v>
      </c>
    </row>
    <row r="1979" spans="1:9" x14ac:dyDescent="0.2">
      <c r="A1979" s="5" t="s">
        <v>91</v>
      </c>
      <c r="B1979" s="5" t="s">
        <v>64</v>
      </c>
      <c r="C1979" s="5" t="s">
        <v>60</v>
      </c>
      <c r="D1979" s="5">
        <v>1993197</v>
      </c>
      <c r="E1979" s="5">
        <v>134007</v>
      </c>
      <c r="F1979" s="5">
        <v>125482631</v>
      </c>
      <c r="G1979" s="5">
        <v>6.7232190295289431</v>
      </c>
      <c r="H1979" s="5">
        <v>936.38862895221894</v>
      </c>
      <c r="I1979" s="5">
        <v>62.955458492060743</v>
      </c>
    </row>
    <row r="1980" spans="1:9" x14ac:dyDescent="0.2">
      <c r="A1980" s="5" t="s">
        <v>91</v>
      </c>
      <c r="B1980" s="5" t="s">
        <v>64</v>
      </c>
      <c r="C1980" s="5" t="s">
        <v>61</v>
      </c>
      <c r="D1980" s="5">
        <v>1996558</v>
      </c>
      <c r="E1980" s="5">
        <v>129447</v>
      </c>
      <c r="F1980" s="5">
        <v>123505076</v>
      </c>
      <c r="G1980" s="5">
        <v>6.4835081174701665</v>
      </c>
      <c r="H1980" s="5">
        <v>954.09763069055293</v>
      </c>
      <c r="I1980" s="5">
        <v>61.858997334412521</v>
      </c>
    </row>
    <row r="1981" spans="1:9" x14ac:dyDescent="0.2">
      <c r="A1981" s="5" t="s">
        <v>91</v>
      </c>
      <c r="B1981" s="5" t="s">
        <v>64</v>
      </c>
      <c r="C1981" s="5" t="s">
        <v>62</v>
      </c>
      <c r="D1981" s="5">
        <v>2000368</v>
      </c>
      <c r="E1981" s="5">
        <v>165684</v>
      </c>
      <c r="F1981" s="5">
        <v>213334009</v>
      </c>
      <c r="G1981" s="5">
        <v>8.2826759876182781</v>
      </c>
      <c r="H1981" s="5">
        <v>1287.5957183554235</v>
      </c>
      <c r="I1981" s="5">
        <v>106.64738138182574</v>
      </c>
    </row>
    <row r="1982" spans="1:9" x14ac:dyDescent="0.2">
      <c r="A1982" s="5" t="s">
        <v>91</v>
      </c>
      <c r="B1982" s="5" t="s">
        <v>65</v>
      </c>
      <c r="C1982" s="5" t="s">
        <v>45</v>
      </c>
      <c r="D1982" s="5">
        <v>1905109</v>
      </c>
      <c r="E1982" s="5">
        <v>119688</v>
      </c>
      <c r="F1982" s="5">
        <v>309656972</v>
      </c>
      <c r="G1982" s="5">
        <v>6.2824751759610606</v>
      </c>
      <c r="H1982" s="5">
        <v>2587.201490542076</v>
      </c>
      <c r="I1982" s="5">
        <v>162.54029139540049</v>
      </c>
    </row>
    <row r="1983" spans="1:9" x14ac:dyDescent="0.2">
      <c r="A1983" s="5" t="s">
        <v>91</v>
      </c>
      <c r="B1983" s="5" t="s">
        <v>65</v>
      </c>
      <c r="C1983" s="5" t="s">
        <v>46</v>
      </c>
      <c r="D1983" s="5">
        <v>1916679</v>
      </c>
      <c r="E1983" s="5">
        <v>117086</v>
      </c>
      <c r="F1983" s="5">
        <v>304736908</v>
      </c>
      <c r="G1983" s="5">
        <v>6.1087954738378203</v>
      </c>
      <c r="H1983" s="5">
        <v>2602.6758792682303</v>
      </c>
      <c r="I1983" s="5">
        <v>158.99214631140634</v>
      </c>
    </row>
    <row r="1984" spans="1:9" x14ac:dyDescent="0.2">
      <c r="A1984" s="5" t="s">
        <v>91</v>
      </c>
      <c r="B1984" s="5" t="s">
        <v>65</v>
      </c>
      <c r="C1984" s="5" t="s">
        <v>47</v>
      </c>
      <c r="D1984" s="5">
        <v>1929678</v>
      </c>
      <c r="E1984" s="5">
        <v>118956</v>
      </c>
      <c r="F1984" s="5">
        <v>309026646</v>
      </c>
      <c r="G1984" s="5">
        <v>6.1645518060526161</v>
      </c>
      <c r="H1984" s="5">
        <v>2597.8231110662764</v>
      </c>
      <c r="I1984" s="5">
        <v>160.14415151128841</v>
      </c>
    </row>
    <row r="1985" spans="1:9" x14ac:dyDescent="0.2">
      <c r="A1985" s="5" t="s">
        <v>91</v>
      </c>
      <c r="B1985" s="5" t="s">
        <v>65</v>
      </c>
      <c r="C1985" s="5" t="s">
        <v>48</v>
      </c>
      <c r="D1985" s="5">
        <v>1940372</v>
      </c>
      <c r="E1985" s="5">
        <v>119387</v>
      </c>
      <c r="F1985" s="5">
        <v>312281902</v>
      </c>
      <c r="G1985" s="5">
        <v>6.1527892589668376</v>
      </c>
      <c r="H1985" s="5">
        <v>2615.7111075745265</v>
      </c>
      <c r="I1985" s="5">
        <v>160.93919207244795</v>
      </c>
    </row>
    <row r="1986" spans="1:9" x14ac:dyDescent="0.2">
      <c r="A1986" s="5" t="s">
        <v>91</v>
      </c>
      <c r="B1986" s="5" t="s">
        <v>65</v>
      </c>
      <c r="C1986" s="5" t="s">
        <v>49</v>
      </c>
      <c r="D1986" s="5">
        <v>1947343</v>
      </c>
      <c r="E1986" s="5">
        <v>117978</v>
      </c>
      <c r="F1986" s="5">
        <v>311105255</v>
      </c>
      <c r="G1986" s="5">
        <v>6.058408816525902</v>
      </c>
      <c r="H1986" s="5">
        <v>2636.9768516164031</v>
      </c>
      <c r="I1986" s="5">
        <v>159.75883806807533</v>
      </c>
    </row>
    <row r="1987" spans="1:9" x14ac:dyDescent="0.2">
      <c r="A1987" s="5" t="s">
        <v>91</v>
      </c>
      <c r="B1987" s="5" t="s">
        <v>65</v>
      </c>
      <c r="C1987" s="5" t="s">
        <v>50</v>
      </c>
      <c r="D1987" s="5">
        <v>1951859</v>
      </c>
      <c r="E1987" s="5">
        <v>118002</v>
      </c>
      <c r="F1987" s="5">
        <v>317347973</v>
      </c>
      <c r="G1987" s="5">
        <v>6.0456211232471198</v>
      </c>
      <c r="H1987" s="5">
        <v>2689.3440195928883</v>
      </c>
      <c r="I1987" s="5">
        <v>162.58755012529082</v>
      </c>
    </row>
    <row r="1988" spans="1:9" x14ac:dyDescent="0.2">
      <c r="A1988" s="5" t="s">
        <v>91</v>
      </c>
      <c r="B1988" s="5" t="s">
        <v>65</v>
      </c>
      <c r="C1988" s="5" t="s">
        <v>51</v>
      </c>
      <c r="D1988" s="5">
        <v>1955116</v>
      </c>
      <c r="E1988" s="5">
        <v>115002</v>
      </c>
      <c r="F1988" s="5">
        <v>312015004</v>
      </c>
      <c r="G1988" s="5">
        <v>5.8821062279680589</v>
      </c>
      <c r="H1988" s="5">
        <v>2713.1267630128173</v>
      </c>
      <c r="I1988" s="5">
        <v>159.58899829984512</v>
      </c>
    </row>
    <row r="1989" spans="1:9" x14ac:dyDescent="0.2">
      <c r="A1989" s="5" t="s">
        <v>91</v>
      </c>
      <c r="B1989" s="5" t="s">
        <v>65</v>
      </c>
      <c r="C1989" s="5" t="s">
        <v>52</v>
      </c>
      <c r="D1989" s="5">
        <v>1957927</v>
      </c>
      <c r="E1989" s="5">
        <v>112532</v>
      </c>
      <c r="F1989" s="5">
        <v>308138798</v>
      </c>
      <c r="G1989" s="5">
        <v>5.7475074402671806</v>
      </c>
      <c r="H1989" s="5">
        <v>2738.2326627092739</v>
      </c>
      <c r="I1989" s="5">
        <v>157.38012602104163</v>
      </c>
    </row>
    <row r="1990" spans="1:9" x14ac:dyDescent="0.2">
      <c r="A1990" s="5" t="s">
        <v>91</v>
      </c>
      <c r="B1990" s="5" t="s">
        <v>65</v>
      </c>
      <c r="C1990" s="5" t="s">
        <v>53</v>
      </c>
      <c r="D1990" s="5">
        <v>1960960</v>
      </c>
      <c r="E1990" s="5">
        <v>111578</v>
      </c>
      <c r="F1990" s="5">
        <v>307583957</v>
      </c>
      <c r="G1990" s="5">
        <v>5.6899681788511751</v>
      </c>
      <c r="H1990" s="5">
        <v>2756.6720769327285</v>
      </c>
      <c r="I1990" s="5">
        <v>156.85376397274806</v>
      </c>
    </row>
    <row r="1991" spans="1:9" x14ac:dyDescent="0.2">
      <c r="A1991" s="5" t="s">
        <v>91</v>
      </c>
      <c r="B1991" s="5" t="s">
        <v>65</v>
      </c>
      <c r="C1991" s="5" t="s">
        <v>54</v>
      </c>
      <c r="D1991" s="5">
        <v>1963127</v>
      </c>
      <c r="E1991" s="5">
        <v>109474</v>
      </c>
      <c r="F1991" s="5">
        <v>298541114</v>
      </c>
      <c r="G1991" s="5">
        <v>5.5765113515325293</v>
      </c>
      <c r="H1991" s="5">
        <v>2727.0503863931162</v>
      </c>
      <c r="I1991" s="5">
        <v>152.07427435922384</v>
      </c>
    </row>
    <row r="1992" spans="1:9" x14ac:dyDescent="0.2">
      <c r="A1992" s="5" t="s">
        <v>91</v>
      </c>
      <c r="B1992" s="5" t="s">
        <v>65</v>
      </c>
      <c r="C1992" s="5" t="s">
        <v>55</v>
      </c>
      <c r="D1992" s="5">
        <v>1963547</v>
      </c>
      <c r="E1992" s="5">
        <v>108156</v>
      </c>
      <c r="F1992" s="5">
        <v>296534354</v>
      </c>
      <c r="G1992" s="5">
        <v>5.5081951183241351</v>
      </c>
      <c r="H1992" s="5">
        <v>2741.7281889123119</v>
      </c>
      <c r="I1992" s="5">
        <v>151.01973825938467</v>
      </c>
    </row>
    <row r="1993" spans="1:9" x14ac:dyDescent="0.2">
      <c r="A1993" s="5" t="s">
        <v>91</v>
      </c>
      <c r="B1993" s="5" t="s">
        <v>65</v>
      </c>
      <c r="C1993" s="5" t="s">
        <v>56</v>
      </c>
      <c r="D1993" s="5">
        <v>1962685</v>
      </c>
      <c r="E1993" s="5">
        <v>105745</v>
      </c>
      <c r="F1993" s="5">
        <v>292077970</v>
      </c>
      <c r="G1993" s="5">
        <v>5.387772362860062</v>
      </c>
      <c r="H1993" s="5">
        <v>2762.097214998345</v>
      </c>
      <c r="I1993" s="5">
        <v>148.81551038500828</v>
      </c>
    </row>
    <row r="1994" spans="1:9" x14ac:dyDescent="0.2">
      <c r="A1994" s="5" t="s">
        <v>91</v>
      </c>
      <c r="B1994" s="5" t="s">
        <v>65</v>
      </c>
      <c r="C1994" s="5" t="s">
        <v>57</v>
      </c>
      <c r="D1994" s="5">
        <v>1962255</v>
      </c>
      <c r="E1994" s="5">
        <v>103827</v>
      </c>
      <c r="F1994" s="5">
        <v>290070282</v>
      </c>
      <c r="G1994" s="5">
        <v>5.2912083291926892</v>
      </c>
      <c r="H1994" s="5">
        <v>2793.7846802854747</v>
      </c>
      <c r="I1994" s="5">
        <v>147.82496770297439</v>
      </c>
    </row>
    <row r="1995" spans="1:9" x14ac:dyDescent="0.2">
      <c r="A1995" s="5" t="s">
        <v>91</v>
      </c>
      <c r="B1995" s="5" t="s">
        <v>65</v>
      </c>
      <c r="C1995" s="5" t="s">
        <v>58</v>
      </c>
      <c r="D1995" s="5">
        <v>1963448</v>
      </c>
      <c r="E1995" s="5">
        <v>101185</v>
      </c>
      <c r="F1995" s="5">
        <v>289276501</v>
      </c>
      <c r="G1995" s="5">
        <v>5.1534341627585754</v>
      </c>
      <c r="H1995" s="5">
        <v>2858.8871967188811</v>
      </c>
      <c r="I1995" s="5">
        <v>147.3308694704418</v>
      </c>
    </row>
    <row r="1996" spans="1:9" x14ac:dyDescent="0.2">
      <c r="A1996" s="5" t="s">
        <v>91</v>
      </c>
      <c r="B1996" s="5" t="s">
        <v>65</v>
      </c>
      <c r="C1996" s="5" t="s">
        <v>59</v>
      </c>
      <c r="D1996" s="5">
        <v>1965096</v>
      </c>
      <c r="E1996" s="5">
        <v>99982</v>
      </c>
      <c r="F1996" s="5">
        <v>289593182</v>
      </c>
      <c r="G1996" s="5">
        <v>5.0878939247751767</v>
      </c>
      <c r="H1996" s="5">
        <v>2896.4531815726832</v>
      </c>
      <c r="I1996" s="5">
        <v>147.36846545919386</v>
      </c>
    </row>
    <row r="1997" spans="1:9" x14ac:dyDescent="0.2">
      <c r="A1997" s="5" t="s">
        <v>91</v>
      </c>
      <c r="B1997" s="5" t="s">
        <v>65</v>
      </c>
      <c r="C1997" s="5" t="s">
        <v>60</v>
      </c>
      <c r="D1997" s="5">
        <v>1968559</v>
      </c>
      <c r="E1997" s="5">
        <v>99852</v>
      </c>
      <c r="F1997" s="5">
        <v>288473519</v>
      </c>
      <c r="G1997" s="5">
        <v>5.0723397165134498</v>
      </c>
      <c r="H1997" s="5">
        <v>2889.0109261707325</v>
      </c>
      <c r="I1997" s="5">
        <v>146.54044862257112</v>
      </c>
    </row>
    <row r="1998" spans="1:9" x14ac:dyDescent="0.2">
      <c r="A1998" s="5" t="s">
        <v>91</v>
      </c>
      <c r="B1998" s="5" t="s">
        <v>65</v>
      </c>
      <c r="C1998" s="5" t="s">
        <v>61</v>
      </c>
      <c r="D1998" s="5">
        <v>1973055</v>
      </c>
      <c r="E1998" s="5">
        <v>99385</v>
      </c>
      <c r="F1998" s="5">
        <v>288501821</v>
      </c>
      <c r="G1998" s="5">
        <v>5.0371124981310711</v>
      </c>
      <c r="H1998" s="5">
        <v>2902.8708658248229</v>
      </c>
      <c r="I1998" s="5">
        <v>146.22087118706776</v>
      </c>
    </row>
    <row r="1999" spans="1:9" x14ac:dyDescent="0.2">
      <c r="A1999" s="5" t="s">
        <v>91</v>
      </c>
      <c r="B1999" s="5" t="s">
        <v>65</v>
      </c>
      <c r="C1999" s="5" t="s">
        <v>62</v>
      </c>
      <c r="D1999" s="5">
        <v>1977990</v>
      </c>
      <c r="E1999" s="5">
        <v>97398</v>
      </c>
      <c r="F1999" s="5">
        <v>280931831</v>
      </c>
      <c r="G1999" s="5">
        <v>4.9240896061152988</v>
      </c>
      <c r="H1999" s="5">
        <v>2884.3696071787922</v>
      </c>
      <c r="I1999" s="5">
        <v>142.02894402903959</v>
      </c>
    </row>
    <row r="2000" spans="1:9" x14ac:dyDescent="0.2">
      <c r="A2000" s="5" t="s">
        <v>92</v>
      </c>
      <c r="B2000" s="5" t="s">
        <v>44</v>
      </c>
      <c r="C2000" s="5" t="s">
        <v>45</v>
      </c>
      <c r="D2000" s="5">
        <v>798577</v>
      </c>
      <c r="E2000" s="5">
        <v>7388</v>
      </c>
      <c r="F2000" s="5">
        <v>70697020</v>
      </c>
      <c r="G2000" s="5">
        <v>0.92514560274087532</v>
      </c>
      <c r="H2000" s="5">
        <v>9569.1689225771515</v>
      </c>
      <c r="I2000" s="5">
        <v>88.528745506068915</v>
      </c>
    </row>
    <row r="2001" spans="1:9" x14ac:dyDescent="0.2">
      <c r="A2001" s="5" t="s">
        <v>92</v>
      </c>
      <c r="B2001" s="5" t="s">
        <v>44</v>
      </c>
      <c r="C2001" s="5" t="s">
        <v>46</v>
      </c>
      <c r="D2001" s="5">
        <v>813387</v>
      </c>
      <c r="E2001" s="5">
        <v>7480</v>
      </c>
      <c r="F2001" s="5">
        <v>73459753</v>
      </c>
      <c r="G2001" s="5">
        <v>0.9196114518673153</v>
      </c>
      <c r="H2001" s="5">
        <v>9820.8225935828868</v>
      </c>
      <c r="I2001" s="5">
        <v>90.313409238160929</v>
      </c>
    </row>
    <row r="2002" spans="1:9" x14ac:dyDescent="0.2">
      <c r="A2002" s="5" t="s">
        <v>92</v>
      </c>
      <c r="B2002" s="5" t="s">
        <v>44</v>
      </c>
      <c r="C2002" s="5" t="s">
        <v>47</v>
      </c>
      <c r="D2002" s="5">
        <v>826644</v>
      </c>
      <c r="E2002" s="5">
        <v>7526</v>
      </c>
      <c r="F2002" s="5">
        <v>76820563</v>
      </c>
      <c r="G2002" s="5">
        <v>0.91042818916002533</v>
      </c>
      <c r="H2002" s="5">
        <v>10207.356231730002</v>
      </c>
      <c r="I2002" s="5">
        <v>92.93064850165247</v>
      </c>
    </row>
    <row r="2003" spans="1:9" x14ac:dyDescent="0.2">
      <c r="A2003" s="5" t="s">
        <v>92</v>
      </c>
      <c r="B2003" s="5" t="s">
        <v>44</v>
      </c>
      <c r="C2003" s="5" t="s">
        <v>48</v>
      </c>
      <c r="D2003" s="5">
        <v>834160</v>
      </c>
      <c r="E2003" s="5">
        <v>7755</v>
      </c>
      <c r="F2003" s="5">
        <v>79252749</v>
      </c>
      <c r="G2003" s="5">
        <v>0.92967775966241484</v>
      </c>
      <c r="H2003" s="5">
        <v>10219.567891682786</v>
      </c>
      <c r="I2003" s="5">
        <v>95.009049822576003</v>
      </c>
    </row>
    <row r="2004" spans="1:9" x14ac:dyDescent="0.2">
      <c r="A2004" s="5" t="s">
        <v>92</v>
      </c>
      <c r="B2004" s="5" t="s">
        <v>44</v>
      </c>
      <c r="C2004" s="5" t="s">
        <v>49</v>
      </c>
      <c r="D2004" s="5">
        <v>835859</v>
      </c>
      <c r="E2004" s="5">
        <v>7872</v>
      </c>
      <c r="F2004" s="5">
        <v>80152933</v>
      </c>
      <c r="G2004" s="5">
        <v>0.94178563609412591</v>
      </c>
      <c r="H2004" s="5">
        <v>10182.029090447155</v>
      </c>
      <c r="I2004" s="5">
        <v>95.892887436756681</v>
      </c>
    </row>
    <row r="2005" spans="1:9" x14ac:dyDescent="0.2">
      <c r="A2005" s="5" t="s">
        <v>92</v>
      </c>
      <c r="B2005" s="5" t="s">
        <v>44</v>
      </c>
      <c r="C2005" s="5" t="s">
        <v>50</v>
      </c>
      <c r="D2005" s="5">
        <v>834150</v>
      </c>
      <c r="E2005" s="5">
        <v>8013</v>
      </c>
      <c r="F2005" s="5">
        <v>80117419</v>
      </c>
      <c r="G2005" s="5">
        <v>0.96061859377809744</v>
      </c>
      <c r="H2005" s="5">
        <v>9998.4299263696485</v>
      </c>
      <c r="I2005" s="5">
        <v>96.046776958580594</v>
      </c>
    </row>
    <row r="2006" spans="1:9" x14ac:dyDescent="0.2">
      <c r="A2006" s="5" t="s">
        <v>92</v>
      </c>
      <c r="B2006" s="5" t="s">
        <v>44</v>
      </c>
      <c r="C2006" s="5" t="s">
        <v>51</v>
      </c>
      <c r="D2006" s="5">
        <v>830765</v>
      </c>
      <c r="E2006" s="5">
        <v>8125</v>
      </c>
      <c r="F2006" s="5">
        <v>80287578</v>
      </c>
      <c r="G2006" s="5">
        <v>0.97801423988733271</v>
      </c>
      <c r="H2006" s="5">
        <v>9881.5480615384622</v>
      </c>
      <c r="I2006" s="5">
        <v>96.642947163156848</v>
      </c>
    </row>
    <row r="2007" spans="1:9" x14ac:dyDescent="0.2">
      <c r="A2007" s="5" t="s">
        <v>92</v>
      </c>
      <c r="B2007" s="5" t="s">
        <v>44</v>
      </c>
      <c r="C2007" s="5" t="s">
        <v>52</v>
      </c>
      <c r="D2007" s="5">
        <v>827292</v>
      </c>
      <c r="E2007" s="5">
        <v>8158</v>
      </c>
      <c r="F2007" s="5">
        <v>81454153</v>
      </c>
      <c r="G2007" s="5">
        <v>0.98610889504552202</v>
      </c>
      <c r="H2007" s="5">
        <v>9984.5737925962239</v>
      </c>
      <c r="I2007" s="5">
        <v>98.458770301175406</v>
      </c>
    </row>
    <row r="2008" spans="1:9" x14ac:dyDescent="0.2">
      <c r="A2008" s="5" t="s">
        <v>92</v>
      </c>
      <c r="B2008" s="5" t="s">
        <v>44</v>
      </c>
      <c r="C2008" s="5" t="s">
        <v>53</v>
      </c>
      <c r="D2008" s="5">
        <v>825244</v>
      </c>
      <c r="E2008" s="5">
        <v>8046</v>
      </c>
      <c r="F2008" s="5">
        <v>81730956</v>
      </c>
      <c r="G2008" s="5">
        <v>0.97498436825956925</v>
      </c>
      <c r="H2008" s="5">
        <v>10157.961222967935</v>
      </c>
      <c r="I2008" s="5">
        <v>99.038534057805933</v>
      </c>
    </row>
    <row r="2009" spans="1:9" x14ac:dyDescent="0.2">
      <c r="A2009" s="5" t="s">
        <v>92</v>
      </c>
      <c r="B2009" s="5" t="s">
        <v>44</v>
      </c>
      <c r="C2009" s="5" t="s">
        <v>54</v>
      </c>
      <c r="D2009" s="5">
        <v>824152</v>
      </c>
      <c r="E2009" s="5">
        <v>7802</v>
      </c>
      <c r="F2009" s="5">
        <v>81986795</v>
      </c>
      <c r="G2009" s="5">
        <v>0.9466700317417176</v>
      </c>
      <c r="H2009" s="5">
        <v>10508.433094078442</v>
      </c>
      <c r="I2009" s="5">
        <v>99.480186907269527</v>
      </c>
    </row>
    <row r="2010" spans="1:9" x14ac:dyDescent="0.2">
      <c r="A2010" s="5" t="s">
        <v>92</v>
      </c>
      <c r="B2010" s="5" t="s">
        <v>44</v>
      </c>
      <c r="C2010" s="5" t="s">
        <v>55</v>
      </c>
      <c r="D2010" s="5">
        <v>824244</v>
      </c>
      <c r="E2010" s="5">
        <v>7685</v>
      </c>
      <c r="F2010" s="5">
        <v>83717369</v>
      </c>
      <c r="G2010" s="5">
        <v>0.93236954105823033</v>
      </c>
      <c r="H2010" s="5">
        <v>10893.606896551724</v>
      </c>
      <c r="I2010" s="5">
        <v>101.56867262606704</v>
      </c>
    </row>
    <row r="2011" spans="1:9" x14ac:dyDescent="0.2">
      <c r="A2011" s="5" t="s">
        <v>92</v>
      </c>
      <c r="B2011" s="5" t="s">
        <v>44</v>
      </c>
      <c r="C2011" s="5" t="s">
        <v>56</v>
      </c>
      <c r="D2011" s="5">
        <v>826054</v>
      </c>
      <c r="E2011" s="5">
        <v>7588</v>
      </c>
      <c r="F2011" s="5">
        <v>85121565</v>
      </c>
      <c r="G2011" s="5">
        <v>0.91858401508860199</v>
      </c>
      <c r="H2011" s="5">
        <v>11217.918423827095</v>
      </c>
      <c r="I2011" s="5">
        <v>103.04600546695494</v>
      </c>
    </row>
    <row r="2012" spans="1:9" x14ac:dyDescent="0.2">
      <c r="A2012" s="5" t="s">
        <v>92</v>
      </c>
      <c r="B2012" s="5" t="s">
        <v>44</v>
      </c>
      <c r="C2012" s="5" t="s">
        <v>57</v>
      </c>
      <c r="D2012" s="5">
        <v>829188</v>
      </c>
      <c r="E2012" s="5">
        <v>7396</v>
      </c>
      <c r="F2012" s="5">
        <v>83474854</v>
      </c>
      <c r="G2012" s="5">
        <v>0.89195695065533998</v>
      </c>
      <c r="H2012" s="5">
        <v>11286.486479177935</v>
      </c>
      <c r="I2012" s="5">
        <v>100.67060063580274</v>
      </c>
    </row>
    <row r="2013" spans="1:9" x14ac:dyDescent="0.2">
      <c r="A2013" s="5" t="s">
        <v>92</v>
      </c>
      <c r="B2013" s="5" t="s">
        <v>44</v>
      </c>
      <c r="C2013" s="5" t="s">
        <v>58</v>
      </c>
      <c r="D2013" s="5">
        <v>834669</v>
      </c>
      <c r="E2013" s="5">
        <v>7492</v>
      </c>
      <c r="F2013" s="5">
        <v>85108430</v>
      </c>
      <c r="G2013" s="5">
        <v>0.89760132459693598</v>
      </c>
      <c r="H2013" s="5">
        <v>11359.907901761879</v>
      </c>
      <c r="I2013" s="5">
        <v>101.96668379920663</v>
      </c>
    </row>
    <row r="2014" spans="1:9" x14ac:dyDescent="0.2">
      <c r="A2014" s="5" t="s">
        <v>92</v>
      </c>
      <c r="B2014" s="5" t="s">
        <v>44</v>
      </c>
      <c r="C2014" s="5" t="s">
        <v>59</v>
      </c>
      <c r="D2014" s="5">
        <v>841686</v>
      </c>
      <c r="E2014" s="5">
        <v>7472</v>
      </c>
      <c r="F2014" s="5">
        <v>81650244</v>
      </c>
      <c r="G2014" s="5">
        <v>0.88774198454055309</v>
      </c>
      <c r="H2014" s="5">
        <v>10927.495182012848</v>
      </c>
      <c r="I2014" s="5">
        <v>97.007962589374188</v>
      </c>
    </row>
    <row r="2015" spans="1:9" x14ac:dyDescent="0.2">
      <c r="A2015" s="5" t="s">
        <v>92</v>
      </c>
      <c r="B2015" s="5" t="s">
        <v>44</v>
      </c>
      <c r="C2015" s="5" t="s">
        <v>60</v>
      </c>
      <c r="D2015" s="5">
        <v>849632</v>
      </c>
      <c r="E2015" s="5">
        <v>7332</v>
      </c>
      <c r="F2015" s="5">
        <v>77377062</v>
      </c>
      <c r="G2015" s="5">
        <v>0.86296184701141199</v>
      </c>
      <c r="H2015" s="5">
        <v>10553.336333878888</v>
      </c>
      <c r="I2015" s="5">
        <v>91.07126614816768</v>
      </c>
    </row>
    <row r="2016" spans="1:9" x14ac:dyDescent="0.2">
      <c r="A2016" s="5" t="s">
        <v>92</v>
      </c>
      <c r="B2016" s="5" t="s">
        <v>44</v>
      </c>
      <c r="C2016" s="5" t="s">
        <v>61</v>
      </c>
      <c r="D2016" s="5">
        <v>856191</v>
      </c>
      <c r="E2016" s="5">
        <v>7100</v>
      </c>
      <c r="F2016" s="5">
        <v>73565587</v>
      </c>
      <c r="G2016" s="5">
        <v>0.8292542201448041</v>
      </c>
      <c r="H2016" s="5">
        <v>10361.35028169014</v>
      </c>
      <c r="I2016" s="5">
        <v>85.92193447490105</v>
      </c>
    </row>
    <row r="2017" spans="1:9" x14ac:dyDescent="0.2">
      <c r="A2017" s="5" t="s">
        <v>92</v>
      </c>
      <c r="B2017" s="5" t="s">
        <v>44</v>
      </c>
      <c r="C2017" s="5" t="s">
        <v>62</v>
      </c>
      <c r="D2017" s="5">
        <v>861855</v>
      </c>
      <c r="E2017" s="5">
        <v>6891</v>
      </c>
      <c r="F2017" s="5">
        <v>71039874</v>
      </c>
      <c r="G2017" s="5">
        <v>0.79955444941434461</v>
      </c>
      <c r="H2017" s="5">
        <v>10309.080539834567</v>
      </c>
      <c r="I2017" s="5">
        <v>82.42671214995562</v>
      </c>
    </row>
    <row r="2018" spans="1:9" x14ac:dyDescent="0.2">
      <c r="A2018" s="5" t="s">
        <v>92</v>
      </c>
      <c r="B2018" s="5" t="s">
        <v>63</v>
      </c>
      <c r="C2018" s="5" t="s">
        <v>45</v>
      </c>
      <c r="D2018" s="5">
        <v>798577</v>
      </c>
      <c r="E2018" s="5">
        <v>25990</v>
      </c>
      <c r="F2018" s="5">
        <v>61074275</v>
      </c>
      <c r="G2018" s="5">
        <v>3.25453901126629</v>
      </c>
      <c r="H2018" s="5">
        <v>2349.9143901500579</v>
      </c>
      <c r="I2018" s="5">
        <v>76.478880558793961</v>
      </c>
    </row>
    <row r="2019" spans="1:9" x14ac:dyDescent="0.2">
      <c r="A2019" s="5" t="s">
        <v>92</v>
      </c>
      <c r="B2019" s="5" t="s">
        <v>63</v>
      </c>
      <c r="C2019" s="5" t="s">
        <v>46</v>
      </c>
      <c r="D2019" s="5">
        <v>813387</v>
      </c>
      <c r="E2019" s="5">
        <v>26558</v>
      </c>
      <c r="F2019" s="5">
        <v>62707971</v>
      </c>
      <c r="G2019" s="5">
        <v>3.2651124249588448</v>
      </c>
      <c r="H2019" s="5">
        <v>2361.170683033361</v>
      </c>
      <c r="I2019" s="5">
        <v>77.094877346207895</v>
      </c>
    </row>
    <row r="2020" spans="1:9" x14ac:dyDescent="0.2">
      <c r="A2020" s="5" t="s">
        <v>92</v>
      </c>
      <c r="B2020" s="5" t="s">
        <v>63</v>
      </c>
      <c r="C2020" s="5" t="s">
        <v>47</v>
      </c>
      <c r="D2020" s="5">
        <v>826644</v>
      </c>
      <c r="E2020" s="5">
        <v>27100</v>
      </c>
      <c r="F2020" s="5">
        <v>64540847</v>
      </c>
      <c r="G2020" s="5">
        <v>3.2783156957529482</v>
      </c>
      <c r="H2020" s="5">
        <v>2381.5810701107011</v>
      </c>
      <c r="I2020" s="5">
        <v>78.075746028520143</v>
      </c>
    </row>
    <row r="2021" spans="1:9" x14ac:dyDescent="0.2">
      <c r="A2021" s="5" t="s">
        <v>92</v>
      </c>
      <c r="B2021" s="5" t="s">
        <v>63</v>
      </c>
      <c r="C2021" s="5" t="s">
        <v>48</v>
      </c>
      <c r="D2021" s="5">
        <v>834160</v>
      </c>
      <c r="E2021" s="5">
        <v>27673</v>
      </c>
      <c r="F2021" s="5">
        <v>66081854</v>
      </c>
      <c r="G2021" s="5">
        <v>3.3174690706818835</v>
      </c>
      <c r="H2021" s="5">
        <v>2387.9541068911935</v>
      </c>
      <c r="I2021" s="5">
        <v>79.219638918193155</v>
      </c>
    </row>
    <row r="2022" spans="1:9" x14ac:dyDescent="0.2">
      <c r="A2022" s="5" t="s">
        <v>92</v>
      </c>
      <c r="B2022" s="5" t="s">
        <v>63</v>
      </c>
      <c r="C2022" s="5" t="s">
        <v>49</v>
      </c>
      <c r="D2022" s="5">
        <v>835859</v>
      </c>
      <c r="E2022" s="5">
        <v>27510</v>
      </c>
      <c r="F2022" s="5">
        <v>66195079</v>
      </c>
      <c r="G2022" s="5">
        <v>3.2912249554051582</v>
      </c>
      <c r="H2022" s="5">
        <v>2406.2187931661215</v>
      </c>
      <c r="I2022" s="5">
        <v>79.194073402332208</v>
      </c>
    </row>
    <row r="2023" spans="1:9" x14ac:dyDescent="0.2">
      <c r="A2023" s="5" t="s">
        <v>92</v>
      </c>
      <c r="B2023" s="5" t="s">
        <v>63</v>
      </c>
      <c r="C2023" s="5" t="s">
        <v>50</v>
      </c>
      <c r="D2023" s="5">
        <v>834150</v>
      </c>
      <c r="E2023" s="5">
        <v>27212</v>
      </c>
      <c r="F2023" s="5">
        <v>66422822</v>
      </c>
      <c r="G2023" s="5">
        <v>3.2622430018581792</v>
      </c>
      <c r="H2023" s="5">
        <v>2440.9386300161696</v>
      </c>
      <c r="I2023" s="5">
        <v>79.629349637355389</v>
      </c>
    </row>
    <row r="2024" spans="1:9" x14ac:dyDescent="0.2">
      <c r="A2024" s="5" t="s">
        <v>92</v>
      </c>
      <c r="B2024" s="5" t="s">
        <v>63</v>
      </c>
      <c r="C2024" s="5" t="s">
        <v>51</v>
      </c>
      <c r="D2024" s="5">
        <v>830765</v>
      </c>
      <c r="E2024" s="5">
        <v>26901</v>
      </c>
      <c r="F2024" s="5">
        <v>66062893</v>
      </c>
      <c r="G2024" s="5">
        <v>3.2380998236565093</v>
      </c>
      <c r="H2024" s="5">
        <v>2455.7783353778668</v>
      </c>
      <c r="I2024" s="5">
        <v>79.520553947265469</v>
      </c>
    </row>
    <row r="2025" spans="1:9" x14ac:dyDescent="0.2">
      <c r="A2025" s="5" t="s">
        <v>92</v>
      </c>
      <c r="B2025" s="5" t="s">
        <v>63</v>
      </c>
      <c r="C2025" s="5" t="s">
        <v>52</v>
      </c>
      <c r="D2025" s="5">
        <v>827292</v>
      </c>
      <c r="E2025" s="5">
        <v>26500</v>
      </c>
      <c r="F2025" s="5">
        <v>65762356</v>
      </c>
      <c r="G2025" s="5">
        <v>3.2032220787823404</v>
      </c>
      <c r="H2025" s="5">
        <v>2481.5983396226416</v>
      </c>
      <c r="I2025" s="5">
        <v>79.491105921488426</v>
      </c>
    </row>
    <row r="2026" spans="1:9" x14ac:dyDescent="0.2">
      <c r="A2026" s="5" t="s">
        <v>92</v>
      </c>
      <c r="B2026" s="5" t="s">
        <v>63</v>
      </c>
      <c r="C2026" s="5" t="s">
        <v>53</v>
      </c>
      <c r="D2026" s="5">
        <v>825244</v>
      </c>
      <c r="E2026" s="5">
        <v>26250</v>
      </c>
      <c r="F2026" s="5">
        <v>65432742</v>
      </c>
      <c r="G2026" s="5">
        <v>3.1808774132256641</v>
      </c>
      <c r="H2026" s="5">
        <v>2492.6758857142859</v>
      </c>
      <c r="I2026" s="5">
        <v>79.288964233608482</v>
      </c>
    </row>
    <row r="2027" spans="1:9" x14ac:dyDescent="0.2">
      <c r="A2027" s="5" t="s">
        <v>92</v>
      </c>
      <c r="B2027" s="5" t="s">
        <v>63</v>
      </c>
      <c r="C2027" s="5" t="s">
        <v>54</v>
      </c>
      <c r="D2027" s="5">
        <v>824152</v>
      </c>
      <c r="E2027" s="5">
        <v>26103</v>
      </c>
      <c r="F2027" s="5">
        <v>65134332</v>
      </c>
      <c r="G2027" s="5">
        <v>3.1672555548005707</v>
      </c>
      <c r="H2027" s="5">
        <v>2495.2814619009309</v>
      </c>
      <c r="I2027" s="5">
        <v>79.031940709966122</v>
      </c>
    </row>
    <row r="2028" spans="1:9" x14ac:dyDescent="0.2">
      <c r="A2028" s="5" t="s">
        <v>92</v>
      </c>
      <c r="B2028" s="5" t="s">
        <v>63</v>
      </c>
      <c r="C2028" s="5" t="s">
        <v>55</v>
      </c>
      <c r="D2028" s="5">
        <v>824244</v>
      </c>
      <c r="E2028" s="5">
        <v>25990</v>
      </c>
      <c r="F2028" s="5">
        <v>65540343</v>
      </c>
      <c r="G2028" s="5">
        <v>3.15319250124963</v>
      </c>
      <c r="H2028" s="5">
        <v>2521.7523278183917</v>
      </c>
      <c r="I2028" s="5">
        <v>79.515705300857519</v>
      </c>
    </row>
    <row r="2029" spans="1:9" x14ac:dyDescent="0.2">
      <c r="A2029" s="5" t="s">
        <v>92</v>
      </c>
      <c r="B2029" s="5" t="s">
        <v>63</v>
      </c>
      <c r="C2029" s="5" t="s">
        <v>56</v>
      </c>
      <c r="D2029" s="5">
        <v>826054</v>
      </c>
      <c r="E2029" s="5">
        <v>25733</v>
      </c>
      <c r="F2029" s="5">
        <v>64849579</v>
      </c>
      <c r="G2029" s="5">
        <v>3.1151716473741424</v>
      </c>
      <c r="H2029" s="5">
        <v>2520.0940038083395</v>
      </c>
      <c r="I2029" s="5">
        <v>78.505253893813233</v>
      </c>
    </row>
    <row r="2030" spans="1:9" x14ac:dyDescent="0.2">
      <c r="A2030" s="5" t="s">
        <v>92</v>
      </c>
      <c r="B2030" s="5" t="s">
        <v>63</v>
      </c>
      <c r="C2030" s="5" t="s">
        <v>57</v>
      </c>
      <c r="D2030" s="5">
        <v>829188</v>
      </c>
      <c r="E2030" s="5">
        <v>25477</v>
      </c>
      <c r="F2030" s="5">
        <v>64408917</v>
      </c>
      <c r="G2030" s="5">
        <v>3.0725239632025549</v>
      </c>
      <c r="H2030" s="5">
        <v>2528.1201475840953</v>
      </c>
      <c r="I2030" s="5">
        <v>77.677097353073123</v>
      </c>
    </row>
    <row r="2031" spans="1:9" x14ac:dyDescent="0.2">
      <c r="A2031" s="5" t="s">
        <v>92</v>
      </c>
      <c r="B2031" s="5" t="s">
        <v>63</v>
      </c>
      <c r="C2031" s="5" t="s">
        <v>58</v>
      </c>
      <c r="D2031" s="5">
        <v>834669</v>
      </c>
      <c r="E2031" s="5">
        <v>25484</v>
      </c>
      <c r="F2031" s="5">
        <v>64838384</v>
      </c>
      <c r="G2031" s="5">
        <v>3.0531863529135501</v>
      </c>
      <c r="H2031" s="5">
        <v>2544.2781353005807</v>
      </c>
      <c r="I2031" s="5">
        <v>77.681552807160685</v>
      </c>
    </row>
    <row r="2032" spans="1:9" x14ac:dyDescent="0.2">
      <c r="A2032" s="5" t="s">
        <v>92</v>
      </c>
      <c r="B2032" s="5" t="s">
        <v>63</v>
      </c>
      <c r="C2032" s="5" t="s">
        <v>59</v>
      </c>
      <c r="D2032" s="5">
        <v>841686</v>
      </c>
      <c r="E2032" s="5">
        <v>25705</v>
      </c>
      <c r="F2032" s="5">
        <v>65494637</v>
      </c>
      <c r="G2032" s="5">
        <v>3.0539892549002836</v>
      </c>
      <c r="H2032" s="5">
        <v>2547.9337482979963</v>
      </c>
      <c r="I2032" s="5">
        <v>77.813622894998844</v>
      </c>
    </row>
    <row r="2033" spans="1:9" x14ac:dyDescent="0.2">
      <c r="A2033" s="5" t="s">
        <v>92</v>
      </c>
      <c r="B2033" s="5" t="s">
        <v>63</v>
      </c>
      <c r="C2033" s="5" t="s">
        <v>60</v>
      </c>
      <c r="D2033" s="5">
        <v>849632</v>
      </c>
      <c r="E2033" s="5">
        <v>25481</v>
      </c>
      <c r="F2033" s="5">
        <v>65584472</v>
      </c>
      <c r="G2033" s="5">
        <v>2.99906312379948</v>
      </c>
      <c r="H2033" s="5">
        <v>2573.8578548722576</v>
      </c>
      <c r="I2033" s="5">
        <v>77.191621784490223</v>
      </c>
    </row>
    <row r="2034" spans="1:9" x14ac:dyDescent="0.2">
      <c r="A2034" s="5" t="s">
        <v>92</v>
      </c>
      <c r="B2034" s="5" t="s">
        <v>63</v>
      </c>
      <c r="C2034" s="5" t="s">
        <v>61</v>
      </c>
      <c r="D2034" s="5">
        <v>856191</v>
      </c>
      <c r="E2034" s="5">
        <v>25552</v>
      </c>
      <c r="F2034" s="5">
        <v>67645511</v>
      </c>
      <c r="G2034" s="5">
        <v>2.9843808215690188</v>
      </c>
      <c r="H2034" s="5">
        <v>2647.3665857858487</v>
      </c>
      <c r="I2034" s="5">
        <v>79.007500662819396</v>
      </c>
    </row>
    <row r="2035" spans="1:9" x14ac:dyDescent="0.2">
      <c r="A2035" s="5" t="s">
        <v>92</v>
      </c>
      <c r="B2035" s="5" t="s">
        <v>63</v>
      </c>
      <c r="C2035" s="5" t="s">
        <v>62</v>
      </c>
      <c r="D2035" s="5">
        <v>861855</v>
      </c>
      <c r="E2035" s="5">
        <v>26177</v>
      </c>
      <c r="F2035" s="5">
        <v>70281050</v>
      </c>
      <c r="G2035" s="5">
        <v>3.0372858543490495</v>
      </c>
      <c r="H2035" s="5">
        <v>2684.83974481415</v>
      </c>
      <c r="I2035" s="5">
        <v>81.546257781181282</v>
      </c>
    </row>
    <row r="2036" spans="1:9" x14ac:dyDescent="0.2">
      <c r="A2036" s="5" t="s">
        <v>92</v>
      </c>
      <c r="B2036" s="5" t="s">
        <v>64</v>
      </c>
      <c r="C2036" s="5" t="s">
        <v>45</v>
      </c>
      <c r="D2036" s="5">
        <v>622581</v>
      </c>
      <c r="E2036" s="5">
        <v>107385</v>
      </c>
      <c r="F2036" s="5">
        <v>60314041</v>
      </c>
      <c r="G2036" s="5">
        <v>17.24835804497728</v>
      </c>
      <c r="H2036" s="5">
        <v>561.66169390510777</v>
      </c>
      <c r="I2036" s="5">
        <v>96.877419966237326</v>
      </c>
    </row>
    <row r="2037" spans="1:9" x14ac:dyDescent="0.2">
      <c r="A2037" s="5" t="s">
        <v>92</v>
      </c>
      <c r="B2037" s="5" t="s">
        <v>64</v>
      </c>
      <c r="C2037" s="5" t="s">
        <v>46</v>
      </c>
      <c r="D2037" s="5">
        <v>634167</v>
      </c>
      <c r="E2037" s="5">
        <v>108872</v>
      </c>
      <c r="F2037" s="5">
        <v>58234959</v>
      </c>
      <c r="G2037" s="5">
        <v>17.167717651659579</v>
      </c>
      <c r="H2037" s="5">
        <v>534.89381108090231</v>
      </c>
      <c r="I2037" s="5">
        <v>91.829059222570706</v>
      </c>
    </row>
    <row r="2038" spans="1:9" x14ac:dyDescent="0.2">
      <c r="A2038" s="5" t="s">
        <v>92</v>
      </c>
      <c r="B2038" s="5" t="s">
        <v>64</v>
      </c>
      <c r="C2038" s="5" t="s">
        <v>47</v>
      </c>
      <c r="D2038" s="5">
        <v>645035</v>
      </c>
      <c r="E2038" s="5">
        <v>108703</v>
      </c>
      <c r="F2038" s="5">
        <v>56308758</v>
      </c>
      <c r="G2038" s="5">
        <v>16.852263830644848</v>
      </c>
      <c r="H2038" s="5">
        <v>518.00555642438576</v>
      </c>
      <c r="I2038" s="5">
        <v>87.295663026037346</v>
      </c>
    </row>
    <row r="2039" spans="1:9" x14ac:dyDescent="0.2">
      <c r="A2039" s="5" t="s">
        <v>92</v>
      </c>
      <c r="B2039" s="5" t="s">
        <v>64</v>
      </c>
      <c r="C2039" s="5" t="s">
        <v>48</v>
      </c>
      <c r="D2039" s="5">
        <v>651325</v>
      </c>
      <c r="E2039" s="5">
        <v>109651</v>
      </c>
      <c r="F2039" s="5">
        <v>56399540</v>
      </c>
      <c r="G2039" s="5">
        <v>16.835066978850804</v>
      </c>
      <c r="H2039" s="5">
        <v>514.35499904241635</v>
      </c>
      <c r="I2039" s="5">
        <v>86.592008597858211</v>
      </c>
    </row>
    <row r="2040" spans="1:9" x14ac:dyDescent="0.2">
      <c r="A2040" s="5" t="s">
        <v>92</v>
      </c>
      <c r="B2040" s="5" t="s">
        <v>64</v>
      </c>
      <c r="C2040" s="5" t="s">
        <v>49</v>
      </c>
      <c r="D2040" s="5">
        <v>653115</v>
      </c>
      <c r="E2040" s="5">
        <v>109180</v>
      </c>
      <c r="F2040" s="5">
        <v>60069571</v>
      </c>
      <c r="G2040" s="5">
        <v>16.716810975096269</v>
      </c>
      <c r="H2040" s="5">
        <v>550.18841362886974</v>
      </c>
      <c r="I2040" s="5">
        <v>91.973957113218958</v>
      </c>
    </row>
    <row r="2041" spans="1:9" x14ac:dyDescent="0.2">
      <c r="A2041" s="5" t="s">
        <v>92</v>
      </c>
      <c r="B2041" s="5" t="s">
        <v>64</v>
      </c>
      <c r="C2041" s="5" t="s">
        <v>50</v>
      </c>
      <c r="D2041" s="5">
        <v>652296</v>
      </c>
      <c r="E2041" s="5">
        <v>107349</v>
      </c>
      <c r="F2041" s="5">
        <v>59674129</v>
      </c>
      <c r="G2041" s="5">
        <v>16.457099231023953</v>
      </c>
      <c r="H2041" s="5">
        <v>555.8890068840883</v>
      </c>
      <c r="I2041" s="5">
        <v>91.483205477267987</v>
      </c>
    </row>
    <row r="2042" spans="1:9" x14ac:dyDescent="0.2">
      <c r="A2042" s="5" t="s">
        <v>92</v>
      </c>
      <c r="B2042" s="5" t="s">
        <v>64</v>
      </c>
      <c r="C2042" s="5" t="s">
        <v>51</v>
      </c>
      <c r="D2042" s="5">
        <v>649900</v>
      </c>
      <c r="E2042" s="5">
        <v>109227</v>
      </c>
      <c r="F2042" s="5">
        <v>71454419</v>
      </c>
      <c r="G2042" s="5">
        <v>16.806739498384367</v>
      </c>
      <c r="H2042" s="5">
        <v>654.1827478553837</v>
      </c>
      <c r="I2042" s="5">
        <v>109.94679027542699</v>
      </c>
    </row>
    <row r="2043" spans="1:9" x14ac:dyDescent="0.2">
      <c r="A2043" s="5" t="s">
        <v>92</v>
      </c>
      <c r="B2043" s="5" t="s">
        <v>64</v>
      </c>
      <c r="C2043" s="5" t="s">
        <v>52</v>
      </c>
      <c r="D2043" s="5">
        <v>647226</v>
      </c>
      <c r="E2043" s="5">
        <v>108240</v>
      </c>
      <c r="F2043" s="5">
        <v>71911928</v>
      </c>
      <c r="G2043" s="5">
        <v>16.723679209426074</v>
      </c>
      <c r="H2043" s="5">
        <v>664.37479674796748</v>
      </c>
      <c r="I2043" s="5">
        <v>111.10790975640657</v>
      </c>
    </row>
    <row r="2044" spans="1:9" x14ac:dyDescent="0.2">
      <c r="A2044" s="5" t="s">
        <v>92</v>
      </c>
      <c r="B2044" s="5" t="s">
        <v>64</v>
      </c>
      <c r="C2044" s="5" t="s">
        <v>53</v>
      </c>
      <c r="D2044" s="5">
        <v>644951</v>
      </c>
      <c r="E2044" s="5">
        <v>104153</v>
      </c>
      <c r="F2044" s="5">
        <v>64874229</v>
      </c>
      <c r="G2044" s="5">
        <v>16.148978759626701</v>
      </c>
      <c r="H2044" s="5">
        <v>622.87431951071983</v>
      </c>
      <c r="I2044" s="5">
        <v>100.5878415569555</v>
      </c>
    </row>
    <row r="2045" spans="1:9" x14ac:dyDescent="0.2">
      <c r="A2045" s="5" t="s">
        <v>92</v>
      </c>
      <c r="B2045" s="5" t="s">
        <v>64</v>
      </c>
      <c r="C2045" s="5" t="s">
        <v>54</v>
      </c>
      <c r="D2045" s="5">
        <v>643100</v>
      </c>
      <c r="E2045" s="5">
        <v>102652</v>
      </c>
      <c r="F2045" s="5">
        <v>63463797</v>
      </c>
      <c r="G2045" s="5">
        <v>15.962058777795056</v>
      </c>
      <c r="H2045" s="5">
        <v>618.24218719557336</v>
      </c>
      <c r="I2045" s="5">
        <v>98.684181309283161</v>
      </c>
    </row>
    <row r="2046" spans="1:9" x14ac:dyDescent="0.2">
      <c r="A2046" s="5" t="s">
        <v>92</v>
      </c>
      <c r="B2046" s="5" t="s">
        <v>64</v>
      </c>
      <c r="C2046" s="5" t="s">
        <v>55</v>
      </c>
      <c r="D2046" s="5">
        <v>641918</v>
      </c>
      <c r="E2046" s="5">
        <v>95847</v>
      </c>
      <c r="F2046" s="5">
        <v>48204484</v>
      </c>
      <c r="G2046" s="5">
        <v>14.93134637134338</v>
      </c>
      <c r="H2046" s="5">
        <v>502.93158888645445</v>
      </c>
      <c r="I2046" s="5">
        <v>75.094457547537218</v>
      </c>
    </row>
    <row r="2047" spans="1:9" x14ac:dyDescent="0.2">
      <c r="A2047" s="5" t="s">
        <v>92</v>
      </c>
      <c r="B2047" s="5" t="s">
        <v>64</v>
      </c>
      <c r="C2047" s="5" t="s">
        <v>56</v>
      </c>
      <c r="D2047" s="5">
        <v>642014</v>
      </c>
      <c r="E2047" s="5">
        <v>92341</v>
      </c>
      <c r="F2047" s="5">
        <v>46138615</v>
      </c>
      <c r="G2047" s="5">
        <v>14.383019684928989</v>
      </c>
      <c r="H2047" s="5">
        <v>499.65470376105958</v>
      </c>
      <c r="I2047" s="5">
        <v>71.865434398626817</v>
      </c>
    </row>
    <row r="2048" spans="1:9" x14ac:dyDescent="0.2">
      <c r="A2048" s="5" t="s">
        <v>92</v>
      </c>
      <c r="B2048" s="5" t="s">
        <v>64</v>
      </c>
      <c r="C2048" s="5" t="s">
        <v>57</v>
      </c>
      <c r="D2048" s="5">
        <v>643324</v>
      </c>
      <c r="E2048" s="5">
        <v>90501</v>
      </c>
      <c r="F2048" s="5">
        <v>46360446</v>
      </c>
      <c r="G2048" s="5">
        <v>14.067717044599611</v>
      </c>
      <c r="H2048" s="5">
        <v>512.26446116617501</v>
      </c>
      <c r="I2048" s="5">
        <v>72.063914916900345</v>
      </c>
    </row>
    <row r="2049" spans="1:9" x14ac:dyDescent="0.2">
      <c r="A2049" s="5" t="s">
        <v>92</v>
      </c>
      <c r="B2049" s="5" t="s">
        <v>64</v>
      </c>
      <c r="C2049" s="5" t="s">
        <v>58</v>
      </c>
      <c r="D2049" s="5">
        <v>646304</v>
      </c>
      <c r="E2049" s="5">
        <v>89996</v>
      </c>
      <c r="F2049" s="5">
        <v>50031685</v>
      </c>
      <c r="G2049" s="5">
        <v>13.924716542060702</v>
      </c>
      <c r="H2049" s="5">
        <v>555.93231921418726</v>
      </c>
      <c r="I2049" s="5">
        <v>77.411999616279644</v>
      </c>
    </row>
    <row r="2050" spans="1:9" x14ac:dyDescent="0.2">
      <c r="A2050" s="5" t="s">
        <v>92</v>
      </c>
      <c r="B2050" s="5" t="s">
        <v>64</v>
      </c>
      <c r="C2050" s="5" t="s">
        <v>59</v>
      </c>
      <c r="D2050" s="5">
        <v>650686</v>
      </c>
      <c r="E2050" s="5">
        <v>92086</v>
      </c>
      <c r="F2050" s="5">
        <v>58099051</v>
      </c>
      <c r="G2050" s="5">
        <v>14.152140971221142</v>
      </c>
      <c r="H2050" s="5">
        <v>630.92164932780224</v>
      </c>
      <c r="I2050" s="5">
        <v>89.288921230824087</v>
      </c>
    </row>
    <row r="2051" spans="1:9" x14ac:dyDescent="0.2">
      <c r="A2051" s="5" t="s">
        <v>92</v>
      </c>
      <c r="B2051" s="5" t="s">
        <v>64</v>
      </c>
      <c r="C2051" s="5" t="s">
        <v>60</v>
      </c>
      <c r="D2051" s="5">
        <v>656014</v>
      </c>
      <c r="E2051" s="5">
        <v>108197</v>
      </c>
      <c r="F2051" s="5">
        <v>186635951</v>
      </c>
      <c r="G2051" s="5">
        <v>16.493093135207481</v>
      </c>
      <c r="H2051" s="5">
        <v>1724.9641949407101</v>
      </c>
      <c r="I2051" s="5">
        <v>284.49995122055321</v>
      </c>
    </row>
    <row r="2052" spans="1:9" x14ac:dyDescent="0.2">
      <c r="A2052" s="5" t="s">
        <v>92</v>
      </c>
      <c r="B2052" s="5" t="s">
        <v>64</v>
      </c>
      <c r="C2052" s="5" t="s">
        <v>61</v>
      </c>
      <c r="D2052" s="5">
        <v>660837</v>
      </c>
      <c r="E2052" s="5">
        <v>129579</v>
      </c>
      <c r="F2052" s="5">
        <v>337384460</v>
      </c>
      <c r="G2052" s="5">
        <v>19.608314909728119</v>
      </c>
      <c r="H2052" s="5">
        <v>2603.6970496762592</v>
      </c>
      <c r="I2052" s="5">
        <v>510.54111679582104</v>
      </c>
    </row>
    <row r="2053" spans="1:9" x14ac:dyDescent="0.2">
      <c r="A2053" s="5" t="s">
        <v>92</v>
      </c>
      <c r="B2053" s="5" t="s">
        <v>64</v>
      </c>
      <c r="C2053" s="5" t="s">
        <v>62</v>
      </c>
      <c r="D2053" s="5">
        <v>665944</v>
      </c>
      <c r="E2053" s="5">
        <v>127137</v>
      </c>
      <c r="F2053" s="5">
        <v>325465628</v>
      </c>
      <c r="G2053" s="5">
        <v>19.09124490948188</v>
      </c>
      <c r="H2053" s="5">
        <v>2559.9599487167388</v>
      </c>
      <c r="I2053" s="5">
        <v>488.72822339415927</v>
      </c>
    </row>
    <row r="2054" spans="1:9" x14ac:dyDescent="0.2">
      <c r="A2054" s="5" t="s">
        <v>92</v>
      </c>
      <c r="B2054" s="5" t="s">
        <v>65</v>
      </c>
      <c r="C2054" s="5" t="s">
        <v>45</v>
      </c>
      <c r="D2054" s="5">
        <v>600215</v>
      </c>
      <c r="E2054" s="5">
        <v>37703</v>
      </c>
      <c r="F2054" s="5">
        <v>104085809</v>
      </c>
      <c r="G2054" s="5">
        <v>6.281582432961522</v>
      </c>
      <c r="H2054" s="5">
        <v>2760.6771079224463</v>
      </c>
      <c r="I2054" s="5">
        <v>173.41420824204661</v>
      </c>
    </row>
    <row r="2055" spans="1:9" x14ac:dyDescent="0.2">
      <c r="A2055" s="5" t="s">
        <v>92</v>
      </c>
      <c r="B2055" s="5" t="s">
        <v>65</v>
      </c>
      <c r="C2055" s="5" t="s">
        <v>46</v>
      </c>
      <c r="D2055" s="5">
        <v>611519</v>
      </c>
      <c r="E2055" s="5">
        <v>37838</v>
      </c>
      <c r="F2055" s="5">
        <v>104413132</v>
      </c>
      <c r="G2055" s="5">
        <v>6.1875428236898609</v>
      </c>
      <c r="H2055" s="5">
        <v>2759.4780908081821</v>
      </c>
      <c r="I2055" s="5">
        <v>170.74388857909565</v>
      </c>
    </row>
    <row r="2056" spans="1:9" x14ac:dyDescent="0.2">
      <c r="A2056" s="5" t="s">
        <v>92</v>
      </c>
      <c r="B2056" s="5" t="s">
        <v>65</v>
      </c>
      <c r="C2056" s="5" t="s">
        <v>47</v>
      </c>
      <c r="D2056" s="5">
        <v>622099</v>
      </c>
      <c r="E2056" s="5">
        <v>38420</v>
      </c>
      <c r="F2056" s="5">
        <v>107132766</v>
      </c>
      <c r="G2056" s="5">
        <v>6.1758658991575297</v>
      </c>
      <c r="H2056" s="5">
        <v>2788.4634565330557</v>
      </c>
      <c r="I2056" s="5">
        <v>172.21176372249434</v>
      </c>
    </row>
    <row r="2057" spans="1:9" x14ac:dyDescent="0.2">
      <c r="A2057" s="5" t="s">
        <v>92</v>
      </c>
      <c r="B2057" s="5" t="s">
        <v>65</v>
      </c>
      <c r="C2057" s="5" t="s">
        <v>48</v>
      </c>
      <c r="D2057" s="5">
        <v>628307</v>
      </c>
      <c r="E2057" s="5">
        <v>38965</v>
      </c>
      <c r="F2057" s="5">
        <v>109139729</v>
      </c>
      <c r="G2057" s="5">
        <v>6.2015861672717314</v>
      </c>
      <c r="H2057" s="5">
        <v>2800.9682792249455</v>
      </c>
      <c r="I2057" s="5">
        <v>173.70446135408326</v>
      </c>
    </row>
    <row r="2058" spans="1:9" x14ac:dyDescent="0.2">
      <c r="A2058" s="5" t="s">
        <v>92</v>
      </c>
      <c r="B2058" s="5" t="s">
        <v>65</v>
      </c>
      <c r="C2058" s="5" t="s">
        <v>49</v>
      </c>
      <c r="D2058" s="5">
        <v>630150</v>
      </c>
      <c r="E2058" s="5">
        <v>38789</v>
      </c>
      <c r="F2058" s="5">
        <v>111089408</v>
      </c>
      <c r="G2058" s="5">
        <v>6.1555185273347615</v>
      </c>
      <c r="H2058" s="5">
        <v>2863.9410142050583</v>
      </c>
      <c r="I2058" s="5">
        <v>176.29041974133142</v>
      </c>
    </row>
    <row r="2059" spans="1:9" x14ac:dyDescent="0.2">
      <c r="A2059" s="5" t="s">
        <v>92</v>
      </c>
      <c r="B2059" s="5" t="s">
        <v>65</v>
      </c>
      <c r="C2059" s="5" t="s">
        <v>50</v>
      </c>
      <c r="D2059" s="5">
        <v>629406</v>
      </c>
      <c r="E2059" s="5">
        <v>38185</v>
      </c>
      <c r="F2059" s="5">
        <v>110028433</v>
      </c>
      <c r="G2059" s="5">
        <v>6.0668312663050559</v>
      </c>
      <c r="H2059" s="5">
        <v>2881.456933350792</v>
      </c>
      <c r="I2059" s="5">
        <v>174.8131301576407</v>
      </c>
    </row>
    <row r="2060" spans="1:9" x14ac:dyDescent="0.2">
      <c r="A2060" s="5" t="s">
        <v>92</v>
      </c>
      <c r="B2060" s="5" t="s">
        <v>65</v>
      </c>
      <c r="C2060" s="5" t="s">
        <v>51</v>
      </c>
      <c r="D2060" s="5">
        <v>627071</v>
      </c>
      <c r="E2060" s="5">
        <v>37502</v>
      </c>
      <c r="F2060" s="5">
        <v>108582136</v>
      </c>
      <c r="G2060" s="5">
        <v>5.9805030052418306</v>
      </c>
      <c r="H2060" s="5">
        <v>2895.369206975628</v>
      </c>
      <c r="I2060" s="5">
        <v>173.15764243602399</v>
      </c>
    </row>
    <row r="2061" spans="1:9" x14ac:dyDescent="0.2">
      <c r="A2061" s="5" t="s">
        <v>92</v>
      </c>
      <c r="B2061" s="5" t="s">
        <v>65</v>
      </c>
      <c r="C2061" s="5" t="s">
        <v>52</v>
      </c>
      <c r="D2061" s="5">
        <v>624460</v>
      </c>
      <c r="E2061" s="5">
        <v>36948</v>
      </c>
      <c r="F2061" s="5">
        <v>108681366</v>
      </c>
      <c r="G2061" s="5">
        <v>5.9167921083816415</v>
      </c>
      <c r="H2061" s="5">
        <v>2941.4681714842482</v>
      </c>
      <c r="I2061" s="5">
        <v>174.04055664093778</v>
      </c>
    </row>
    <row r="2062" spans="1:9" x14ac:dyDescent="0.2">
      <c r="A2062" s="5" t="s">
        <v>92</v>
      </c>
      <c r="B2062" s="5" t="s">
        <v>65</v>
      </c>
      <c r="C2062" s="5" t="s">
        <v>53</v>
      </c>
      <c r="D2062" s="5">
        <v>622216</v>
      </c>
      <c r="E2062" s="5">
        <v>36330</v>
      </c>
      <c r="F2062" s="5">
        <v>105407555</v>
      </c>
      <c r="G2062" s="5">
        <v>5.8388083880838808</v>
      </c>
      <c r="H2062" s="5">
        <v>2901.391549683457</v>
      </c>
      <c r="I2062" s="5">
        <v>169.4066931740746</v>
      </c>
    </row>
    <row r="2063" spans="1:9" x14ac:dyDescent="0.2">
      <c r="A2063" s="5" t="s">
        <v>92</v>
      </c>
      <c r="B2063" s="5" t="s">
        <v>65</v>
      </c>
      <c r="C2063" s="5" t="s">
        <v>54</v>
      </c>
      <c r="D2063" s="5">
        <v>620449</v>
      </c>
      <c r="E2063" s="5">
        <v>36152</v>
      </c>
      <c r="F2063" s="5">
        <v>105461538</v>
      </c>
      <c r="G2063" s="5">
        <v>5.8267480485906171</v>
      </c>
      <c r="H2063" s="5">
        <v>2917.1702257136535</v>
      </c>
      <c r="I2063" s="5">
        <v>169.9761592008368</v>
      </c>
    </row>
    <row r="2064" spans="1:9" x14ac:dyDescent="0.2">
      <c r="A2064" s="5" t="s">
        <v>92</v>
      </c>
      <c r="B2064" s="5" t="s">
        <v>65</v>
      </c>
      <c r="C2064" s="5" t="s">
        <v>55</v>
      </c>
      <c r="D2064" s="5">
        <v>619307</v>
      </c>
      <c r="E2064" s="5">
        <v>35622</v>
      </c>
      <c r="F2064" s="5">
        <v>105029111</v>
      </c>
      <c r="G2064" s="5">
        <v>5.7519130253654485</v>
      </c>
      <c r="H2064" s="5">
        <v>2948.4338610970749</v>
      </c>
      <c r="I2064" s="5">
        <v>169.59135130072806</v>
      </c>
    </row>
    <row r="2065" spans="1:9" x14ac:dyDescent="0.2">
      <c r="A2065" s="5" t="s">
        <v>92</v>
      </c>
      <c r="B2065" s="5" t="s">
        <v>65</v>
      </c>
      <c r="C2065" s="5" t="s">
        <v>56</v>
      </c>
      <c r="D2065" s="5">
        <v>619354</v>
      </c>
      <c r="E2065" s="5">
        <v>34933</v>
      </c>
      <c r="F2065" s="5">
        <v>100971584</v>
      </c>
      <c r="G2065" s="5">
        <v>5.6402315961469531</v>
      </c>
      <c r="H2065" s="5">
        <v>2890.4355194228951</v>
      </c>
      <c r="I2065" s="5">
        <v>163.02725743274445</v>
      </c>
    </row>
    <row r="2066" spans="1:9" x14ac:dyDescent="0.2">
      <c r="A2066" s="5" t="s">
        <v>92</v>
      </c>
      <c r="B2066" s="5" t="s">
        <v>65</v>
      </c>
      <c r="C2066" s="5" t="s">
        <v>57</v>
      </c>
      <c r="D2066" s="5">
        <v>620576</v>
      </c>
      <c r="E2066" s="5">
        <v>34763</v>
      </c>
      <c r="F2066" s="5">
        <v>102262969</v>
      </c>
      <c r="G2066" s="5">
        <v>5.6017312947970916</v>
      </c>
      <c r="H2066" s="5">
        <v>2941.7187526968328</v>
      </c>
      <c r="I2066" s="5">
        <v>164.78717997473316</v>
      </c>
    </row>
    <row r="2067" spans="1:9" x14ac:dyDescent="0.2">
      <c r="A2067" s="5" t="s">
        <v>92</v>
      </c>
      <c r="B2067" s="5" t="s">
        <v>65</v>
      </c>
      <c r="C2067" s="5" t="s">
        <v>58</v>
      </c>
      <c r="D2067" s="5">
        <v>623413</v>
      </c>
      <c r="E2067" s="5">
        <v>34771</v>
      </c>
      <c r="F2067" s="5">
        <v>102589193</v>
      </c>
      <c r="G2067" s="5">
        <v>5.5775224449923249</v>
      </c>
      <c r="H2067" s="5">
        <v>2950.4240027609217</v>
      </c>
      <c r="I2067" s="5">
        <v>164.56056097643136</v>
      </c>
    </row>
    <row r="2068" spans="1:9" x14ac:dyDescent="0.2">
      <c r="A2068" s="5" t="s">
        <v>92</v>
      </c>
      <c r="B2068" s="5" t="s">
        <v>65</v>
      </c>
      <c r="C2068" s="5" t="s">
        <v>59</v>
      </c>
      <c r="D2068" s="5">
        <v>627656</v>
      </c>
      <c r="E2068" s="5">
        <v>35339</v>
      </c>
      <c r="F2068" s="5">
        <v>105758008</v>
      </c>
      <c r="G2068" s="5">
        <v>5.630313420089986</v>
      </c>
      <c r="H2068" s="5">
        <v>2992.6712131073318</v>
      </c>
      <c r="I2068" s="5">
        <v>168.49676893075187</v>
      </c>
    </row>
    <row r="2069" spans="1:9" x14ac:dyDescent="0.2">
      <c r="A2069" s="5" t="s">
        <v>92</v>
      </c>
      <c r="B2069" s="5" t="s">
        <v>65</v>
      </c>
      <c r="C2069" s="5" t="s">
        <v>60</v>
      </c>
      <c r="D2069" s="5">
        <v>632868</v>
      </c>
      <c r="E2069" s="5">
        <v>35602</v>
      </c>
      <c r="F2069" s="5">
        <v>108582914</v>
      </c>
      <c r="G2069" s="5">
        <v>5.6255016843954824</v>
      </c>
      <c r="H2069" s="5">
        <v>3049.9105106454695</v>
      </c>
      <c r="I2069" s="5">
        <v>171.57276714891572</v>
      </c>
    </row>
    <row r="2070" spans="1:9" x14ac:dyDescent="0.2">
      <c r="A2070" s="5" t="s">
        <v>92</v>
      </c>
      <c r="B2070" s="5" t="s">
        <v>65</v>
      </c>
      <c r="C2070" s="5" t="s">
        <v>61</v>
      </c>
      <c r="D2070" s="5">
        <v>637776</v>
      </c>
      <c r="E2070" s="5">
        <v>36619</v>
      </c>
      <c r="F2070" s="5">
        <v>114297240</v>
      </c>
      <c r="G2070" s="5">
        <v>5.7416710569228071</v>
      </c>
      <c r="H2070" s="5">
        <v>3121.2550861574591</v>
      </c>
      <c r="I2070" s="5">
        <v>179.21219989463384</v>
      </c>
    </row>
    <row r="2071" spans="1:9" x14ac:dyDescent="0.2">
      <c r="A2071" s="5" t="s">
        <v>92</v>
      </c>
      <c r="B2071" s="5" t="s">
        <v>65</v>
      </c>
      <c r="C2071" s="5" t="s">
        <v>62</v>
      </c>
      <c r="D2071" s="5">
        <v>643076</v>
      </c>
      <c r="E2071" s="5">
        <v>37851</v>
      </c>
      <c r="F2071" s="5">
        <v>121623120</v>
      </c>
      <c r="G2071" s="5">
        <v>5.8859295013342123</v>
      </c>
      <c r="H2071" s="5">
        <v>3213.207577078545</v>
      </c>
      <c r="I2071" s="5">
        <v>189.12713271837234</v>
      </c>
    </row>
    <row r="2072" spans="1:9" x14ac:dyDescent="0.2">
      <c r="A2072" s="5" t="s">
        <v>93</v>
      </c>
      <c r="B2072" s="5" t="s">
        <v>44</v>
      </c>
      <c r="C2072" s="5" t="s">
        <v>45</v>
      </c>
      <c r="D2072" s="5">
        <v>422836</v>
      </c>
      <c r="E2072" s="5">
        <v>3599</v>
      </c>
      <c r="F2072" s="5">
        <v>45373044</v>
      </c>
      <c r="G2072" s="5">
        <v>0.8511574227360017</v>
      </c>
      <c r="H2072" s="5">
        <v>12607.12531258683</v>
      </c>
      <c r="I2072" s="5">
        <v>107.30648289171215</v>
      </c>
    </row>
    <row r="2073" spans="1:9" x14ac:dyDescent="0.2">
      <c r="A2073" s="5" t="s">
        <v>93</v>
      </c>
      <c r="B2073" s="5" t="s">
        <v>44</v>
      </c>
      <c r="C2073" s="5" t="s">
        <v>46</v>
      </c>
      <c r="D2073" s="5">
        <v>424296</v>
      </c>
      <c r="E2073" s="5">
        <v>3651</v>
      </c>
      <c r="F2073" s="5">
        <v>45733986</v>
      </c>
      <c r="G2073" s="5">
        <v>0.86048419028225576</v>
      </c>
      <c r="H2073" s="5">
        <v>12526.427280197206</v>
      </c>
      <c r="I2073" s="5">
        <v>107.78792635330052</v>
      </c>
    </row>
    <row r="2074" spans="1:9" x14ac:dyDescent="0.2">
      <c r="A2074" s="5" t="s">
        <v>93</v>
      </c>
      <c r="B2074" s="5" t="s">
        <v>44</v>
      </c>
      <c r="C2074" s="5" t="s">
        <v>47</v>
      </c>
      <c r="D2074" s="5">
        <v>424627</v>
      </c>
      <c r="E2074" s="5">
        <v>3654</v>
      </c>
      <c r="F2074" s="5">
        <v>44546151</v>
      </c>
      <c r="G2074" s="5">
        <v>0.86051993867559062</v>
      </c>
      <c r="H2074" s="5">
        <v>12191.06486042693</v>
      </c>
      <c r="I2074" s="5">
        <v>104.90654386084728</v>
      </c>
    </row>
    <row r="2075" spans="1:9" x14ac:dyDescent="0.2">
      <c r="A2075" s="5" t="s">
        <v>93</v>
      </c>
      <c r="B2075" s="5" t="s">
        <v>44</v>
      </c>
      <c r="C2075" s="5" t="s">
        <v>48</v>
      </c>
      <c r="D2075" s="5">
        <v>422976</v>
      </c>
      <c r="E2075" s="5">
        <v>3642</v>
      </c>
      <c r="F2075" s="5">
        <v>43819415</v>
      </c>
      <c r="G2075" s="5">
        <v>0.86104176123468001</v>
      </c>
      <c r="H2075" s="5">
        <v>12031.690005491488</v>
      </c>
      <c r="I2075" s="5">
        <v>103.59787552958088</v>
      </c>
    </row>
    <row r="2076" spans="1:9" x14ac:dyDescent="0.2">
      <c r="A2076" s="5" t="s">
        <v>93</v>
      </c>
      <c r="B2076" s="5" t="s">
        <v>44</v>
      </c>
      <c r="C2076" s="5" t="s">
        <v>49</v>
      </c>
      <c r="D2076" s="5">
        <v>419886</v>
      </c>
      <c r="E2076" s="5">
        <v>3522</v>
      </c>
      <c r="F2076" s="5">
        <v>43789093</v>
      </c>
      <c r="G2076" s="5">
        <v>0.83879910261356649</v>
      </c>
      <c r="H2076" s="5">
        <v>12433.019023282226</v>
      </c>
      <c r="I2076" s="5">
        <v>104.28805199506533</v>
      </c>
    </row>
    <row r="2077" spans="1:9" x14ac:dyDescent="0.2">
      <c r="A2077" s="5" t="s">
        <v>93</v>
      </c>
      <c r="B2077" s="5" t="s">
        <v>44</v>
      </c>
      <c r="C2077" s="5" t="s">
        <v>50</v>
      </c>
      <c r="D2077" s="5">
        <v>416347</v>
      </c>
      <c r="E2077" s="5">
        <v>3449</v>
      </c>
      <c r="F2077" s="5">
        <v>41981808</v>
      </c>
      <c r="G2077" s="5">
        <v>0.82839554506217172</v>
      </c>
      <c r="H2077" s="5">
        <v>12172.168164685416</v>
      </c>
      <c r="I2077" s="5">
        <v>100.8336988137299</v>
      </c>
    </row>
    <row r="2078" spans="1:9" x14ac:dyDescent="0.2">
      <c r="A2078" s="5" t="s">
        <v>93</v>
      </c>
      <c r="B2078" s="5" t="s">
        <v>44</v>
      </c>
      <c r="C2078" s="5" t="s">
        <v>51</v>
      </c>
      <c r="D2078" s="5">
        <v>412467</v>
      </c>
      <c r="E2078" s="5">
        <v>3504</v>
      </c>
      <c r="F2078" s="5">
        <v>42224629</v>
      </c>
      <c r="G2078" s="5">
        <v>0.8495225072551259</v>
      </c>
      <c r="H2078" s="5">
        <v>12050.407819634704</v>
      </c>
      <c r="I2078" s="5">
        <v>102.37092664382848</v>
      </c>
    </row>
    <row r="2079" spans="1:9" x14ac:dyDescent="0.2">
      <c r="A2079" s="5" t="s">
        <v>93</v>
      </c>
      <c r="B2079" s="5" t="s">
        <v>44</v>
      </c>
      <c r="C2079" s="5" t="s">
        <v>52</v>
      </c>
      <c r="D2079" s="5">
        <v>409376</v>
      </c>
      <c r="E2079" s="5">
        <v>3467</v>
      </c>
      <c r="F2079" s="5">
        <v>43231819</v>
      </c>
      <c r="G2079" s="5">
        <v>0.84689869459860856</v>
      </c>
      <c r="H2079" s="5">
        <v>12469.518027112777</v>
      </c>
      <c r="I2079" s="5">
        <v>105.60418539435629</v>
      </c>
    </row>
    <row r="2080" spans="1:9" x14ac:dyDescent="0.2">
      <c r="A2080" s="5" t="s">
        <v>93</v>
      </c>
      <c r="B2080" s="5" t="s">
        <v>44</v>
      </c>
      <c r="C2080" s="5" t="s">
        <v>53</v>
      </c>
      <c r="D2080" s="5">
        <v>406781</v>
      </c>
      <c r="E2080" s="5">
        <v>3532</v>
      </c>
      <c r="F2080" s="5">
        <v>42284293</v>
      </c>
      <c r="G2080" s="5">
        <v>0.86828047524343566</v>
      </c>
      <c r="H2080" s="5">
        <v>11971.770385050962</v>
      </c>
      <c r="I2080" s="5">
        <v>103.94854479437339</v>
      </c>
    </row>
    <row r="2081" spans="1:9" x14ac:dyDescent="0.2">
      <c r="A2081" s="5" t="s">
        <v>93</v>
      </c>
      <c r="B2081" s="5" t="s">
        <v>44</v>
      </c>
      <c r="C2081" s="5" t="s">
        <v>54</v>
      </c>
      <c r="D2081" s="5">
        <v>404766</v>
      </c>
      <c r="E2081" s="5">
        <v>3646</v>
      </c>
      <c r="F2081" s="5">
        <v>43284942</v>
      </c>
      <c r="G2081" s="5">
        <v>0.90076735694203569</v>
      </c>
      <c r="H2081" s="5">
        <v>11871.898518924849</v>
      </c>
      <c r="I2081" s="5">
        <v>106.93818650776004</v>
      </c>
    </row>
    <row r="2082" spans="1:9" x14ac:dyDescent="0.2">
      <c r="A2082" s="5" t="s">
        <v>93</v>
      </c>
      <c r="B2082" s="5" t="s">
        <v>44</v>
      </c>
      <c r="C2082" s="5" t="s">
        <v>55</v>
      </c>
      <c r="D2082" s="5">
        <v>403677</v>
      </c>
      <c r="E2082" s="5">
        <v>3549</v>
      </c>
      <c r="F2082" s="5">
        <v>44797382</v>
      </c>
      <c r="G2082" s="5">
        <v>0.87916824589956821</v>
      </c>
      <c r="H2082" s="5">
        <v>12622.536489151873</v>
      </c>
      <c r="I2082" s="5">
        <v>110.97333263970947</v>
      </c>
    </row>
    <row r="2083" spans="1:9" x14ac:dyDescent="0.2">
      <c r="A2083" s="5" t="s">
        <v>93</v>
      </c>
      <c r="B2083" s="5" t="s">
        <v>44</v>
      </c>
      <c r="C2083" s="5" t="s">
        <v>56</v>
      </c>
      <c r="D2083" s="5">
        <v>403113</v>
      </c>
      <c r="E2083" s="5">
        <v>3662</v>
      </c>
      <c r="F2083" s="5">
        <v>45089532</v>
      </c>
      <c r="G2083" s="5">
        <v>0.90843014241664244</v>
      </c>
      <c r="H2083" s="5">
        <v>12312.815947569634</v>
      </c>
      <c r="I2083" s="5">
        <v>111.85333144800589</v>
      </c>
    </row>
    <row r="2084" spans="1:9" x14ac:dyDescent="0.2">
      <c r="A2084" s="5" t="s">
        <v>93</v>
      </c>
      <c r="B2084" s="5" t="s">
        <v>44</v>
      </c>
      <c r="C2084" s="5" t="s">
        <v>57</v>
      </c>
      <c r="D2084" s="5">
        <v>403262</v>
      </c>
      <c r="E2084" s="5">
        <v>3602</v>
      </c>
      <c r="F2084" s="5">
        <v>47605451</v>
      </c>
      <c r="G2084" s="5">
        <v>0.89321582494755269</v>
      </c>
      <c r="H2084" s="5">
        <v>13216.393947806773</v>
      </c>
      <c r="I2084" s="5">
        <v>118.0509222292207</v>
      </c>
    </row>
    <row r="2085" spans="1:9" x14ac:dyDescent="0.2">
      <c r="A2085" s="5" t="s">
        <v>93</v>
      </c>
      <c r="B2085" s="5" t="s">
        <v>44</v>
      </c>
      <c r="C2085" s="5" t="s">
        <v>58</v>
      </c>
      <c r="D2085" s="5">
        <v>403987</v>
      </c>
      <c r="E2085" s="5">
        <v>3421</v>
      </c>
      <c r="F2085" s="5">
        <v>46500445</v>
      </c>
      <c r="G2085" s="5">
        <v>0.84680942703601847</v>
      </c>
      <c r="H2085" s="5">
        <v>13592.646886875184</v>
      </c>
      <c r="I2085" s="5">
        <v>115.10381522177694</v>
      </c>
    </row>
    <row r="2086" spans="1:9" x14ac:dyDescent="0.2">
      <c r="A2086" s="5" t="s">
        <v>93</v>
      </c>
      <c r="B2086" s="5" t="s">
        <v>44</v>
      </c>
      <c r="C2086" s="5" t="s">
        <v>59</v>
      </c>
      <c r="D2086" s="5">
        <v>404741</v>
      </c>
      <c r="E2086" s="5">
        <v>3365</v>
      </c>
      <c r="F2086" s="5">
        <v>44979350</v>
      </c>
      <c r="G2086" s="5">
        <v>0.8313958803284075</v>
      </c>
      <c r="H2086" s="5">
        <v>13366.820208023773</v>
      </c>
      <c r="I2086" s="5">
        <v>111.13119254041473</v>
      </c>
    </row>
    <row r="2087" spans="1:9" x14ac:dyDescent="0.2">
      <c r="A2087" s="5" t="s">
        <v>93</v>
      </c>
      <c r="B2087" s="5" t="s">
        <v>44</v>
      </c>
      <c r="C2087" s="5" t="s">
        <v>60</v>
      </c>
      <c r="D2087" s="5">
        <v>405810</v>
      </c>
      <c r="E2087" s="5">
        <v>3206</v>
      </c>
      <c r="F2087" s="5">
        <v>43643482</v>
      </c>
      <c r="G2087" s="5">
        <v>0.79002488849461572</v>
      </c>
      <c r="H2087" s="5">
        <v>13613.063630692452</v>
      </c>
      <c r="I2087" s="5">
        <v>107.54659076907913</v>
      </c>
    </row>
    <row r="2088" spans="1:9" x14ac:dyDescent="0.2">
      <c r="A2088" s="5" t="s">
        <v>93</v>
      </c>
      <c r="B2088" s="5" t="s">
        <v>44</v>
      </c>
      <c r="C2088" s="5" t="s">
        <v>61</v>
      </c>
      <c r="D2088" s="5">
        <v>407518</v>
      </c>
      <c r="E2088" s="5">
        <v>3078</v>
      </c>
      <c r="F2088" s="5">
        <v>41833632</v>
      </c>
      <c r="G2088" s="5">
        <v>0.7553040601887524</v>
      </c>
      <c r="H2088" s="5">
        <v>13591.173489278752</v>
      </c>
      <c r="I2088" s="5">
        <v>102.65468519181975</v>
      </c>
    </row>
    <row r="2089" spans="1:9" x14ac:dyDescent="0.2">
      <c r="A2089" s="5" t="s">
        <v>93</v>
      </c>
      <c r="B2089" s="5" t="s">
        <v>44</v>
      </c>
      <c r="C2089" s="5" t="s">
        <v>62</v>
      </c>
      <c r="D2089" s="5">
        <v>409573</v>
      </c>
      <c r="E2089" s="5">
        <v>3071</v>
      </c>
      <c r="F2089" s="5">
        <v>42339771</v>
      </c>
      <c r="G2089" s="5">
        <v>0.74980528501634625</v>
      </c>
      <c r="H2089" s="5">
        <v>13786.965483555845</v>
      </c>
      <c r="I2089" s="5">
        <v>103.37539583908119</v>
      </c>
    </row>
    <row r="2090" spans="1:9" x14ac:dyDescent="0.2">
      <c r="A2090" s="5" t="s">
        <v>93</v>
      </c>
      <c r="B2090" s="5" t="s">
        <v>63</v>
      </c>
      <c r="C2090" s="5" t="s">
        <v>45</v>
      </c>
      <c r="D2090" s="5">
        <v>422836</v>
      </c>
      <c r="E2090" s="5">
        <v>12568</v>
      </c>
      <c r="F2090" s="5">
        <v>27268440</v>
      </c>
      <c r="G2090" s="5">
        <v>2.9723107777010473</v>
      </c>
      <c r="H2090" s="5">
        <v>2169.6721833227243</v>
      </c>
      <c r="I2090" s="5">
        <v>64.489400145682964</v>
      </c>
    </row>
    <row r="2091" spans="1:9" x14ac:dyDescent="0.2">
      <c r="A2091" s="5" t="s">
        <v>93</v>
      </c>
      <c r="B2091" s="5" t="s">
        <v>63</v>
      </c>
      <c r="C2091" s="5" t="s">
        <v>46</v>
      </c>
      <c r="D2091" s="5">
        <v>424296</v>
      </c>
      <c r="E2091" s="5">
        <v>11923</v>
      </c>
      <c r="F2091" s="5">
        <v>26867164</v>
      </c>
      <c r="G2091" s="5">
        <v>2.8100665573090482</v>
      </c>
      <c r="H2091" s="5">
        <v>2253.389583158601</v>
      </c>
      <c r="I2091" s="5">
        <v>63.321747082225613</v>
      </c>
    </row>
    <row r="2092" spans="1:9" x14ac:dyDescent="0.2">
      <c r="A2092" s="5" t="s">
        <v>93</v>
      </c>
      <c r="B2092" s="5" t="s">
        <v>63</v>
      </c>
      <c r="C2092" s="5" t="s">
        <v>47</v>
      </c>
      <c r="D2092" s="5">
        <v>424627</v>
      </c>
      <c r="E2092" s="5">
        <v>12187</v>
      </c>
      <c r="F2092" s="5">
        <v>27449190</v>
      </c>
      <c r="G2092" s="5">
        <v>2.8700483012149487</v>
      </c>
      <c r="H2092" s="5">
        <v>2252.3336342003777</v>
      </c>
      <c r="I2092" s="5">
        <v>64.643063206060845</v>
      </c>
    </row>
    <row r="2093" spans="1:9" x14ac:dyDescent="0.2">
      <c r="A2093" s="5" t="s">
        <v>93</v>
      </c>
      <c r="B2093" s="5" t="s">
        <v>63</v>
      </c>
      <c r="C2093" s="5" t="s">
        <v>48</v>
      </c>
      <c r="D2093" s="5">
        <v>422976</v>
      </c>
      <c r="E2093" s="5">
        <v>12417</v>
      </c>
      <c r="F2093" s="5">
        <v>27981652</v>
      </c>
      <c r="G2093" s="5">
        <v>2.9356275533363596</v>
      </c>
      <c r="H2093" s="5">
        <v>2253.495369251832</v>
      </c>
      <c r="I2093" s="5">
        <v>66.154230972915727</v>
      </c>
    </row>
    <row r="2094" spans="1:9" x14ac:dyDescent="0.2">
      <c r="A2094" s="5" t="s">
        <v>93</v>
      </c>
      <c r="B2094" s="5" t="s">
        <v>63</v>
      </c>
      <c r="C2094" s="5" t="s">
        <v>49</v>
      </c>
      <c r="D2094" s="5">
        <v>419886</v>
      </c>
      <c r="E2094" s="5">
        <v>12465</v>
      </c>
      <c r="F2094" s="5">
        <v>27952421</v>
      </c>
      <c r="G2094" s="5">
        <v>2.9686629227933294</v>
      </c>
      <c r="H2094" s="5">
        <v>2242.4726032892099</v>
      </c>
      <c r="I2094" s="5">
        <v>66.571452727645124</v>
      </c>
    </row>
    <row r="2095" spans="1:9" x14ac:dyDescent="0.2">
      <c r="A2095" s="5" t="s">
        <v>93</v>
      </c>
      <c r="B2095" s="5" t="s">
        <v>63</v>
      </c>
      <c r="C2095" s="5" t="s">
        <v>50</v>
      </c>
      <c r="D2095" s="5">
        <v>416347</v>
      </c>
      <c r="E2095" s="5">
        <v>12359</v>
      </c>
      <c r="F2095" s="5">
        <v>27608125</v>
      </c>
      <c r="G2095" s="5">
        <v>2.9684373851618964</v>
      </c>
      <c r="H2095" s="5">
        <v>2233.8478032203252</v>
      </c>
      <c r="I2095" s="5">
        <v>66.310373318409887</v>
      </c>
    </row>
    <row r="2096" spans="1:9" x14ac:dyDescent="0.2">
      <c r="A2096" s="5" t="s">
        <v>93</v>
      </c>
      <c r="B2096" s="5" t="s">
        <v>63</v>
      </c>
      <c r="C2096" s="5" t="s">
        <v>51</v>
      </c>
      <c r="D2096" s="5">
        <v>412467</v>
      </c>
      <c r="E2096" s="5">
        <v>11888</v>
      </c>
      <c r="F2096" s="5">
        <v>27166115</v>
      </c>
      <c r="G2096" s="5">
        <v>2.8821699675367967</v>
      </c>
      <c r="H2096" s="5">
        <v>2285.1711810228803</v>
      </c>
      <c r="I2096" s="5">
        <v>65.862517486247384</v>
      </c>
    </row>
    <row r="2097" spans="1:9" x14ac:dyDescent="0.2">
      <c r="A2097" s="5" t="s">
        <v>93</v>
      </c>
      <c r="B2097" s="5" t="s">
        <v>63</v>
      </c>
      <c r="C2097" s="5" t="s">
        <v>52</v>
      </c>
      <c r="D2097" s="5">
        <v>409376</v>
      </c>
      <c r="E2097" s="5">
        <v>11617</v>
      </c>
      <c r="F2097" s="5">
        <v>26745017</v>
      </c>
      <c r="G2097" s="5">
        <v>2.8377335261471117</v>
      </c>
      <c r="H2097" s="5">
        <v>2302.2309546354481</v>
      </c>
      <c r="I2097" s="5">
        <v>65.331179649026808</v>
      </c>
    </row>
    <row r="2098" spans="1:9" x14ac:dyDescent="0.2">
      <c r="A2098" s="5" t="s">
        <v>93</v>
      </c>
      <c r="B2098" s="5" t="s">
        <v>63</v>
      </c>
      <c r="C2098" s="5" t="s">
        <v>53</v>
      </c>
      <c r="D2098" s="5">
        <v>406781</v>
      </c>
      <c r="E2098" s="5">
        <v>11541</v>
      </c>
      <c r="F2098" s="5">
        <v>26305371</v>
      </c>
      <c r="G2098" s="5">
        <v>2.8371531610375116</v>
      </c>
      <c r="H2098" s="5">
        <v>2279.297374577593</v>
      </c>
      <c r="I2098" s="5">
        <v>64.667157512273192</v>
      </c>
    </row>
    <row r="2099" spans="1:9" x14ac:dyDescent="0.2">
      <c r="A2099" s="5" t="s">
        <v>93</v>
      </c>
      <c r="B2099" s="5" t="s">
        <v>63</v>
      </c>
      <c r="C2099" s="5" t="s">
        <v>54</v>
      </c>
      <c r="D2099" s="5">
        <v>404766</v>
      </c>
      <c r="E2099" s="5">
        <v>11529</v>
      </c>
      <c r="F2099" s="5">
        <v>26558347</v>
      </c>
      <c r="G2099" s="5">
        <v>2.8483123582514343</v>
      </c>
      <c r="H2099" s="5">
        <v>2303.6123688090902</v>
      </c>
      <c r="I2099" s="5">
        <v>65.614075786997915</v>
      </c>
    </row>
    <row r="2100" spans="1:9" x14ac:dyDescent="0.2">
      <c r="A2100" s="5" t="s">
        <v>93</v>
      </c>
      <c r="B2100" s="5" t="s">
        <v>63</v>
      </c>
      <c r="C2100" s="5" t="s">
        <v>55</v>
      </c>
      <c r="D2100" s="5">
        <v>403677</v>
      </c>
      <c r="E2100" s="5">
        <v>11305</v>
      </c>
      <c r="F2100" s="5">
        <v>25992667</v>
      </c>
      <c r="G2100" s="5">
        <v>2.8005063454197292</v>
      </c>
      <c r="H2100" s="5">
        <v>2299.2186643078285</v>
      </c>
      <c r="I2100" s="5">
        <v>64.389764589015471</v>
      </c>
    </row>
    <row r="2101" spans="1:9" x14ac:dyDescent="0.2">
      <c r="A2101" s="5" t="s">
        <v>93</v>
      </c>
      <c r="B2101" s="5" t="s">
        <v>63</v>
      </c>
      <c r="C2101" s="5" t="s">
        <v>56</v>
      </c>
      <c r="D2101" s="5">
        <v>403113</v>
      </c>
      <c r="E2101" s="5">
        <v>11140</v>
      </c>
      <c r="F2101" s="5">
        <v>25747712</v>
      </c>
      <c r="G2101" s="5">
        <v>2.763493114833806</v>
      </c>
      <c r="H2101" s="5">
        <v>2311.2847396768402</v>
      </c>
      <c r="I2101" s="5">
        <v>63.872194645173934</v>
      </c>
    </row>
    <row r="2102" spans="1:9" x14ac:dyDescent="0.2">
      <c r="A2102" s="5" t="s">
        <v>93</v>
      </c>
      <c r="B2102" s="5" t="s">
        <v>63</v>
      </c>
      <c r="C2102" s="5" t="s">
        <v>57</v>
      </c>
      <c r="D2102" s="5">
        <v>403262</v>
      </c>
      <c r="E2102" s="5">
        <v>10751</v>
      </c>
      <c r="F2102" s="5">
        <v>24986416</v>
      </c>
      <c r="G2102" s="5">
        <v>2.6660086990591725</v>
      </c>
      <c r="H2102" s="5">
        <v>2324.1015719467955</v>
      </c>
      <c r="I2102" s="5">
        <v>61.96075008307254</v>
      </c>
    </row>
    <row r="2103" spans="1:9" x14ac:dyDescent="0.2">
      <c r="A2103" s="5" t="s">
        <v>93</v>
      </c>
      <c r="B2103" s="5" t="s">
        <v>63</v>
      </c>
      <c r="C2103" s="5" t="s">
        <v>58</v>
      </c>
      <c r="D2103" s="5">
        <v>403987</v>
      </c>
      <c r="E2103" s="5">
        <v>10483</v>
      </c>
      <c r="F2103" s="5">
        <v>24411513</v>
      </c>
      <c r="G2103" s="5">
        <v>2.5948854789881852</v>
      </c>
      <c r="H2103" s="5">
        <v>2328.6762377182104</v>
      </c>
      <c r="I2103" s="5">
        <v>60.426481545198236</v>
      </c>
    </row>
    <row r="2104" spans="1:9" x14ac:dyDescent="0.2">
      <c r="A2104" s="5" t="s">
        <v>93</v>
      </c>
      <c r="B2104" s="5" t="s">
        <v>63</v>
      </c>
      <c r="C2104" s="5" t="s">
        <v>59</v>
      </c>
      <c r="D2104" s="5">
        <v>404741</v>
      </c>
      <c r="E2104" s="5">
        <v>10398</v>
      </c>
      <c r="F2104" s="5">
        <v>24577125</v>
      </c>
      <c r="G2104" s="5">
        <v>2.5690503309523867</v>
      </c>
      <c r="H2104" s="5">
        <v>2363.6396422388921</v>
      </c>
      <c r="I2104" s="5">
        <v>60.723092051460071</v>
      </c>
    </row>
    <row r="2105" spans="1:9" x14ac:dyDescent="0.2">
      <c r="A2105" s="5" t="s">
        <v>93</v>
      </c>
      <c r="B2105" s="5" t="s">
        <v>63</v>
      </c>
      <c r="C2105" s="5" t="s">
        <v>60</v>
      </c>
      <c r="D2105" s="5">
        <v>405810</v>
      </c>
      <c r="E2105" s="5">
        <v>10365</v>
      </c>
      <c r="F2105" s="5">
        <v>25139163</v>
      </c>
      <c r="G2105" s="5">
        <v>2.5541509573445702</v>
      </c>
      <c r="H2105" s="5">
        <v>2425.3895803183791</v>
      </c>
      <c r="I2105" s="5">
        <v>61.948111185037334</v>
      </c>
    </row>
    <row r="2106" spans="1:9" x14ac:dyDescent="0.2">
      <c r="A2106" s="5" t="s">
        <v>93</v>
      </c>
      <c r="B2106" s="5" t="s">
        <v>63</v>
      </c>
      <c r="C2106" s="5" t="s">
        <v>61</v>
      </c>
      <c r="D2106" s="5">
        <v>407518</v>
      </c>
      <c r="E2106" s="5">
        <v>10382</v>
      </c>
      <c r="F2106" s="5">
        <v>25287567</v>
      </c>
      <c r="G2106" s="5">
        <v>2.547617528550886</v>
      </c>
      <c r="H2106" s="5">
        <v>2435.7124831439028</v>
      </c>
      <c r="I2106" s="5">
        <v>62.052638165676115</v>
      </c>
    </row>
    <row r="2107" spans="1:9" x14ac:dyDescent="0.2">
      <c r="A2107" s="5" t="s">
        <v>93</v>
      </c>
      <c r="B2107" s="5" t="s">
        <v>63</v>
      </c>
      <c r="C2107" s="5" t="s">
        <v>62</v>
      </c>
      <c r="D2107" s="5">
        <v>409573</v>
      </c>
      <c r="E2107" s="5">
        <v>10184</v>
      </c>
      <c r="F2107" s="5">
        <v>25230801</v>
      </c>
      <c r="G2107" s="5">
        <v>2.4864920295038981</v>
      </c>
      <c r="H2107" s="5">
        <v>2477.4942065985861</v>
      </c>
      <c r="I2107" s="5">
        <v>61.60269597849468</v>
      </c>
    </row>
    <row r="2108" spans="1:9" x14ac:dyDescent="0.2">
      <c r="A2108" s="5" t="s">
        <v>93</v>
      </c>
      <c r="B2108" s="5" t="s">
        <v>64</v>
      </c>
      <c r="C2108" s="5" t="s">
        <v>45</v>
      </c>
      <c r="D2108" s="5">
        <v>295715</v>
      </c>
      <c r="E2108" s="5">
        <v>60414</v>
      </c>
      <c r="F2108" s="5">
        <v>37310984</v>
      </c>
      <c r="G2108" s="5">
        <v>20.429805725106945</v>
      </c>
      <c r="H2108" s="5">
        <v>617.58837355579828</v>
      </c>
      <c r="I2108" s="5">
        <v>126.17210489829735</v>
      </c>
    </row>
    <row r="2109" spans="1:9" x14ac:dyDescent="0.2">
      <c r="A2109" s="5" t="s">
        <v>93</v>
      </c>
      <c r="B2109" s="5" t="s">
        <v>64</v>
      </c>
      <c r="C2109" s="5" t="s">
        <v>46</v>
      </c>
      <c r="D2109" s="5">
        <v>296681</v>
      </c>
      <c r="E2109" s="5">
        <v>58757</v>
      </c>
      <c r="F2109" s="5">
        <v>37279845</v>
      </c>
      <c r="G2109" s="5">
        <v>19.804773477236495</v>
      </c>
      <c r="H2109" s="5">
        <v>634.47495617543439</v>
      </c>
      <c r="I2109" s="5">
        <v>125.6563278403403</v>
      </c>
    </row>
    <row r="2110" spans="1:9" x14ac:dyDescent="0.2">
      <c r="A2110" s="5" t="s">
        <v>93</v>
      </c>
      <c r="B2110" s="5" t="s">
        <v>64</v>
      </c>
      <c r="C2110" s="5" t="s">
        <v>47</v>
      </c>
      <c r="D2110" s="5">
        <v>296556</v>
      </c>
      <c r="E2110" s="5">
        <v>57399</v>
      </c>
      <c r="F2110" s="5">
        <v>36541763</v>
      </c>
      <c r="G2110" s="5">
        <v>19.355197669242909</v>
      </c>
      <c r="H2110" s="5">
        <v>636.6271712050733</v>
      </c>
      <c r="I2110" s="5">
        <v>123.22044740285141</v>
      </c>
    </row>
    <row r="2111" spans="1:9" x14ac:dyDescent="0.2">
      <c r="A2111" s="5" t="s">
        <v>93</v>
      </c>
      <c r="B2111" s="5" t="s">
        <v>64</v>
      </c>
      <c r="C2111" s="5" t="s">
        <v>48</v>
      </c>
      <c r="D2111" s="5">
        <v>295001</v>
      </c>
      <c r="E2111" s="5">
        <v>54520</v>
      </c>
      <c r="F2111" s="5">
        <v>30308042</v>
      </c>
      <c r="G2111" s="5">
        <v>18.48129328375158</v>
      </c>
      <c r="H2111" s="5">
        <v>555.90685986793835</v>
      </c>
      <c r="I2111" s="5">
        <v>102.7387771566876</v>
      </c>
    </row>
    <row r="2112" spans="1:9" x14ac:dyDescent="0.2">
      <c r="A2112" s="5" t="s">
        <v>93</v>
      </c>
      <c r="B2112" s="5" t="s">
        <v>64</v>
      </c>
      <c r="C2112" s="5" t="s">
        <v>49</v>
      </c>
      <c r="D2112" s="5">
        <v>292469</v>
      </c>
      <c r="E2112" s="5">
        <v>53734</v>
      </c>
      <c r="F2112" s="5">
        <v>29636406</v>
      </c>
      <c r="G2112" s="5">
        <v>18.372545466357117</v>
      </c>
      <c r="H2112" s="5">
        <v>551.53917445192985</v>
      </c>
      <c r="I2112" s="5">
        <v>101.33178559095153</v>
      </c>
    </row>
    <row r="2113" spans="1:9" x14ac:dyDescent="0.2">
      <c r="A2113" s="5" t="s">
        <v>93</v>
      </c>
      <c r="B2113" s="5" t="s">
        <v>64</v>
      </c>
      <c r="C2113" s="5" t="s">
        <v>50</v>
      </c>
      <c r="D2113" s="5">
        <v>289593</v>
      </c>
      <c r="E2113" s="5">
        <v>52462</v>
      </c>
      <c r="F2113" s="5">
        <v>29019088</v>
      </c>
      <c r="G2113" s="5">
        <v>18.115769372878489</v>
      </c>
      <c r="H2113" s="5">
        <v>553.14490488353476</v>
      </c>
      <c r="I2113" s="5">
        <v>100.20645526652923</v>
      </c>
    </row>
    <row r="2114" spans="1:9" x14ac:dyDescent="0.2">
      <c r="A2114" s="5" t="s">
        <v>93</v>
      </c>
      <c r="B2114" s="5" t="s">
        <v>64</v>
      </c>
      <c r="C2114" s="5" t="s">
        <v>51</v>
      </c>
      <c r="D2114" s="5">
        <v>286397</v>
      </c>
      <c r="E2114" s="5">
        <v>50594</v>
      </c>
      <c r="F2114" s="5">
        <v>29105616</v>
      </c>
      <c r="G2114" s="5">
        <v>17.665687838908926</v>
      </c>
      <c r="H2114" s="5">
        <v>575.27801715618455</v>
      </c>
      <c r="I2114" s="5">
        <v>101.6268187166765</v>
      </c>
    </row>
    <row r="2115" spans="1:9" x14ac:dyDescent="0.2">
      <c r="A2115" s="5" t="s">
        <v>93</v>
      </c>
      <c r="B2115" s="5" t="s">
        <v>64</v>
      </c>
      <c r="C2115" s="5" t="s">
        <v>52</v>
      </c>
      <c r="D2115" s="5">
        <v>283642</v>
      </c>
      <c r="E2115" s="5">
        <v>48838</v>
      </c>
      <c r="F2115" s="5">
        <v>28248208</v>
      </c>
      <c r="G2115" s="5">
        <v>17.218183484815366</v>
      </c>
      <c r="H2115" s="5">
        <v>578.40632294524755</v>
      </c>
      <c r="I2115" s="5">
        <v>99.591061972486443</v>
      </c>
    </row>
    <row r="2116" spans="1:9" x14ac:dyDescent="0.2">
      <c r="A2116" s="5" t="s">
        <v>93</v>
      </c>
      <c r="B2116" s="5" t="s">
        <v>64</v>
      </c>
      <c r="C2116" s="5" t="s">
        <v>53</v>
      </c>
      <c r="D2116" s="5">
        <v>281166</v>
      </c>
      <c r="E2116" s="5">
        <v>47184</v>
      </c>
      <c r="F2116" s="5">
        <v>27560282</v>
      </c>
      <c r="G2116" s="5">
        <v>16.781545421565909</v>
      </c>
      <c r="H2116" s="5">
        <v>584.10228043404538</v>
      </c>
      <c r="I2116" s="5">
        <v>98.021389499441611</v>
      </c>
    </row>
    <row r="2117" spans="1:9" x14ac:dyDescent="0.2">
      <c r="A2117" s="5" t="s">
        <v>93</v>
      </c>
      <c r="B2117" s="5" t="s">
        <v>64</v>
      </c>
      <c r="C2117" s="5" t="s">
        <v>54</v>
      </c>
      <c r="D2117" s="5">
        <v>279035</v>
      </c>
      <c r="E2117" s="5">
        <v>45342</v>
      </c>
      <c r="F2117" s="5">
        <v>26636541</v>
      </c>
      <c r="G2117" s="5">
        <v>16.249574426147259</v>
      </c>
      <c r="H2117" s="5">
        <v>587.45844912002121</v>
      </c>
      <c r="I2117" s="5">
        <v>95.459497912448256</v>
      </c>
    </row>
    <row r="2118" spans="1:9" x14ac:dyDescent="0.2">
      <c r="A2118" s="5" t="s">
        <v>93</v>
      </c>
      <c r="B2118" s="5" t="s">
        <v>64</v>
      </c>
      <c r="C2118" s="5" t="s">
        <v>55</v>
      </c>
      <c r="D2118" s="5">
        <v>277365</v>
      </c>
      <c r="E2118" s="5">
        <v>43377</v>
      </c>
      <c r="F2118" s="5">
        <v>25039673</v>
      </c>
      <c r="G2118" s="5">
        <v>15.638959493807798</v>
      </c>
      <c r="H2118" s="5">
        <v>577.25691034419162</v>
      </c>
      <c r="I2118" s="5">
        <v>90.27697438393453</v>
      </c>
    </row>
    <row r="2119" spans="1:9" x14ac:dyDescent="0.2">
      <c r="A2119" s="5" t="s">
        <v>93</v>
      </c>
      <c r="B2119" s="5" t="s">
        <v>64</v>
      </c>
      <c r="C2119" s="5" t="s">
        <v>56</v>
      </c>
      <c r="D2119" s="5">
        <v>276111</v>
      </c>
      <c r="E2119" s="5">
        <v>40409</v>
      </c>
      <c r="F2119" s="5">
        <v>22822726</v>
      </c>
      <c r="G2119" s="5">
        <v>14.635056191169493</v>
      </c>
      <c r="H2119" s="5">
        <v>564.7931401420476</v>
      </c>
      <c r="I2119" s="5">
        <v>82.657793423659328</v>
      </c>
    </row>
    <row r="2120" spans="1:9" x14ac:dyDescent="0.2">
      <c r="A2120" s="5" t="s">
        <v>93</v>
      </c>
      <c r="B2120" s="5" t="s">
        <v>64</v>
      </c>
      <c r="C2120" s="5" t="s">
        <v>57</v>
      </c>
      <c r="D2120" s="5">
        <v>275371</v>
      </c>
      <c r="E2120" s="5">
        <v>38418</v>
      </c>
      <c r="F2120" s="5">
        <v>21583354</v>
      </c>
      <c r="G2120" s="5">
        <v>13.951360165013744</v>
      </c>
      <c r="H2120" s="5">
        <v>561.80316518298719</v>
      </c>
      <c r="I2120" s="5">
        <v>78.379182993125639</v>
      </c>
    </row>
    <row r="2121" spans="1:9" x14ac:dyDescent="0.2">
      <c r="A2121" s="5" t="s">
        <v>93</v>
      </c>
      <c r="B2121" s="5" t="s">
        <v>64</v>
      </c>
      <c r="C2121" s="5" t="s">
        <v>58</v>
      </c>
      <c r="D2121" s="5">
        <v>275162</v>
      </c>
      <c r="E2121" s="5">
        <v>37211</v>
      </c>
      <c r="F2121" s="5">
        <v>21185559</v>
      </c>
      <c r="G2121" s="5">
        <v>13.523306270487931</v>
      </c>
      <c r="H2121" s="5">
        <v>569.33592217355078</v>
      </c>
      <c r="I2121" s="5">
        <v>76.993040463436088</v>
      </c>
    </row>
    <row r="2122" spans="1:9" x14ac:dyDescent="0.2">
      <c r="A2122" s="5" t="s">
        <v>93</v>
      </c>
      <c r="B2122" s="5" t="s">
        <v>64</v>
      </c>
      <c r="C2122" s="5" t="s">
        <v>59</v>
      </c>
      <c r="D2122" s="5">
        <v>275421</v>
      </c>
      <c r="E2122" s="5">
        <v>35893</v>
      </c>
      <c r="F2122" s="5">
        <v>20977706</v>
      </c>
      <c r="G2122" s="5">
        <v>13.032049117532795</v>
      </c>
      <c r="H2122" s="5">
        <v>584.45117432368431</v>
      </c>
      <c r="I2122" s="5">
        <v>76.165964105859757</v>
      </c>
    </row>
    <row r="2123" spans="1:9" x14ac:dyDescent="0.2">
      <c r="A2123" s="5" t="s">
        <v>93</v>
      </c>
      <c r="B2123" s="5" t="s">
        <v>64</v>
      </c>
      <c r="C2123" s="5" t="s">
        <v>60</v>
      </c>
      <c r="D2123" s="5">
        <v>276191</v>
      </c>
      <c r="E2123" s="5">
        <v>34881</v>
      </c>
      <c r="F2123" s="5">
        <v>21798760</v>
      </c>
      <c r="G2123" s="5">
        <v>12.629303634079315</v>
      </c>
      <c r="H2123" s="5">
        <v>624.94653249620137</v>
      </c>
      <c r="I2123" s="5">
        <v>78.926395139595428</v>
      </c>
    </row>
    <row r="2124" spans="1:9" x14ac:dyDescent="0.2">
      <c r="A2124" s="5" t="s">
        <v>93</v>
      </c>
      <c r="B2124" s="5" t="s">
        <v>64</v>
      </c>
      <c r="C2124" s="5" t="s">
        <v>61</v>
      </c>
      <c r="D2124" s="5">
        <v>277616</v>
      </c>
      <c r="E2124" s="5">
        <v>33642</v>
      </c>
      <c r="F2124" s="5">
        <v>22134042</v>
      </c>
      <c r="G2124" s="5">
        <v>12.118177626649761</v>
      </c>
      <c r="H2124" s="5">
        <v>657.92883895131081</v>
      </c>
      <c r="I2124" s="5">
        <v>79.728985361074294</v>
      </c>
    </row>
    <row r="2125" spans="1:9" x14ac:dyDescent="0.2">
      <c r="A2125" s="5" t="s">
        <v>93</v>
      </c>
      <c r="B2125" s="5" t="s">
        <v>64</v>
      </c>
      <c r="C2125" s="5" t="s">
        <v>62</v>
      </c>
      <c r="D2125" s="5">
        <v>279377</v>
      </c>
      <c r="E2125" s="5">
        <v>32976</v>
      </c>
      <c r="F2125" s="5">
        <v>22440016</v>
      </c>
      <c r="G2125" s="5">
        <v>11.803405434234028</v>
      </c>
      <c r="H2125" s="5">
        <v>680.49539058709365</v>
      </c>
      <c r="I2125" s="5">
        <v>80.321629912269088</v>
      </c>
    </row>
    <row r="2126" spans="1:9" x14ac:dyDescent="0.2">
      <c r="A2126" s="5" t="s">
        <v>93</v>
      </c>
      <c r="B2126" s="5" t="s">
        <v>65</v>
      </c>
      <c r="C2126" s="5" t="s">
        <v>45</v>
      </c>
      <c r="D2126" s="5">
        <v>275768</v>
      </c>
      <c r="E2126" s="5">
        <v>13457</v>
      </c>
      <c r="F2126" s="5">
        <v>35806888</v>
      </c>
      <c r="G2126" s="5">
        <v>4.8798265208436078</v>
      </c>
      <c r="H2126" s="5">
        <v>2660.8373337296575</v>
      </c>
      <c r="I2126" s="5">
        <v>129.84424588784776</v>
      </c>
    </row>
    <row r="2127" spans="1:9" x14ac:dyDescent="0.2">
      <c r="A2127" s="5" t="s">
        <v>93</v>
      </c>
      <c r="B2127" s="5" t="s">
        <v>65</v>
      </c>
      <c r="C2127" s="5" t="s">
        <v>46</v>
      </c>
      <c r="D2127" s="5">
        <v>276955</v>
      </c>
      <c r="E2127" s="5">
        <v>13262</v>
      </c>
      <c r="F2127" s="5">
        <v>36594545</v>
      </c>
      <c r="G2127" s="5">
        <v>4.7885035475077178</v>
      </c>
      <c r="H2127" s="5">
        <v>2759.3534157743929</v>
      </c>
      <c r="I2127" s="5">
        <v>132.1317362026322</v>
      </c>
    </row>
    <row r="2128" spans="1:9" x14ac:dyDescent="0.2">
      <c r="A2128" s="5" t="s">
        <v>93</v>
      </c>
      <c r="B2128" s="5" t="s">
        <v>65</v>
      </c>
      <c r="C2128" s="5" t="s">
        <v>47</v>
      </c>
      <c r="D2128" s="5">
        <v>277210</v>
      </c>
      <c r="E2128" s="5">
        <v>13370</v>
      </c>
      <c r="F2128" s="5">
        <v>36923997</v>
      </c>
      <c r="G2128" s="5">
        <v>4.8230583312290323</v>
      </c>
      <c r="H2128" s="5">
        <v>2761.7050860134632</v>
      </c>
      <c r="I2128" s="5">
        <v>133.19864723494823</v>
      </c>
    </row>
    <row r="2129" spans="1:9" x14ac:dyDescent="0.2">
      <c r="A2129" s="5" t="s">
        <v>93</v>
      </c>
      <c r="B2129" s="5" t="s">
        <v>65</v>
      </c>
      <c r="C2129" s="5" t="s">
        <v>48</v>
      </c>
      <c r="D2129" s="5">
        <v>276036</v>
      </c>
      <c r="E2129" s="5">
        <v>13174</v>
      </c>
      <c r="F2129" s="5">
        <v>36471384</v>
      </c>
      <c r="G2129" s="5">
        <v>4.7725658972018143</v>
      </c>
      <c r="H2129" s="5">
        <v>2768.4366175800819</v>
      </c>
      <c r="I2129" s="5">
        <v>132.1254618962744</v>
      </c>
    </row>
    <row r="2130" spans="1:9" x14ac:dyDescent="0.2">
      <c r="A2130" s="5" t="s">
        <v>93</v>
      </c>
      <c r="B2130" s="5" t="s">
        <v>65</v>
      </c>
      <c r="C2130" s="5" t="s">
        <v>49</v>
      </c>
      <c r="D2130" s="5">
        <v>273858</v>
      </c>
      <c r="E2130" s="5">
        <v>13156</v>
      </c>
      <c r="F2130" s="5">
        <v>37120471</v>
      </c>
      <c r="G2130" s="5">
        <v>4.8039494920725341</v>
      </c>
      <c r="H2130" s="5">
        <v>2821.5621009425358</v>
      </c>
      <c r="I2130" s="5">
        <v>135.54641821674005</v>
      </c>
    </row>
    <row r="2131" spans="1:9" x14ac:dyDescent="0.2">
      <c r="A2131" s="5" t="s">
        <v>93</v>
      </c>
      <c r="B2131" s="5" t="s">
        <v>65</v>
      </c>
      <c r="C2131" s="5" t="s">
        <v>50</v>
      </c>
      <c r="D2131" s="5">
        <v>271356</v>
      </c>
      <c r="E2131" s="5">
        <v>12880</v>
      </c>
      <c r="F2131" s="5">
        <v>36716717</v>
      </c>
      <c r="G2131" s="5">
        <v>4.7465322307227407</v>
      </c>
      <c r="H2131" s="5">
        <v>2850.6767857142859</v>
      </c>
      <c r="I2131" s="5">
        <v>135.30829242765961</v>
      </c>
    </row>
    <row r="2132" spans="1:9" x14ac:dyDescent="0.2">
      <c r="A2132" s="5" t="s">
        <v>93</v>
      </c>
      <c r="B2132" s="5" t="s">
        <v>65</v>
      </c>
      <c r="C2132" s="5" t="s">
        <v>51</v>
      </c>
      <c r="D2132" s="5">
        <v>268517</v>
      </c>
      <c r="E2132" s="5">
        <v>12334</v>
      </c>
      <c r="F2132" s="5">
        <v>35716442</v>
      </c>
      <c r="G2132" s="5">
        <v>4.5933777004807892</v>
      </c>
      <c r="H2132" s="5">
        <v>2895.7712015566726</v>
      </c>
      <c r="I2132" s="5">
        <v>133.01370862924881</v>
      </c>
    </row>
    <row r="2133" spans="1:9" x14ac:dyDescent="0.2">
      <c r="A2133" s="5" t="s">
        <v>93</v>
      </c>
      <c r="B2133" s="5" t="s">
        <v>65</v>
      </c>
      <c r="C2133" s="5" t="s">
        <v>52</v>
      </c>
      <c r="D2133" s="5">
        <v>266077</v>
      </c>
      <c r="E2133" s="5">
        <v>12122</v>
      </c>
      <c r="F2133" s="5">
        <v>35171856</v>
      </c>
      <c r="G2133" s="5">
        <v>4.5558240659658669</v>
      </c>
      <c r="H2133" s="5">
        <v>2901.4895231809933</v>
      </c>
      <c r="I2133" s="5">
        <v>132.18675796855797</v>
      </c>
    </row>
    <row r="2134" spans="1:9" x14ac:dyDescent="0.2">
      <c r="A2134" s="5" t="s">
        <v>93</v>
      </c>
      <c r="B2134" s="5" t="s">
        <v>65</v>
      </c>
      <c r="C2134" s="5" t="s">
        <v>53</v>
      </c>
      <c r="D2134" s="5">
        <v>263847</v>
      </c>
      <c r="E2134" s="5">
        <v>11766</v>
      </c>
      <c r="F2134" s="5">
        <v>34469396</v>
      </c>
      <c r="G2134" s="5">
        <v>4.4594026083298273</v>
      </c>
      <c r="H2134" s="5">
        <v>2929.5764065952744</v>
      </c>
      <c r="I2134" s="5">
        <v>130.64160668872489</v>
      </c>
    </row>
    <row r="2135" spans="1:9" x14ac:dyDescent="0.2">
      <c r="A2135" s="5" t="s">
        <v>93</v>
      </c>
      <c r="B2135" s="5" t="s">
        <v>65</v>
      </c>
      <c r="C2135" s="5" t="s">
        <v>54</v>
      </c>
      <c r="D2135" s="5">
        <v>261960</v>
      </c>
      <c r="E2135" s="5">
        <v>11611</v>
      </c>
      <c r="F2135" s="5">
        <v>34237350</v>
      </c>
      <c r="G2135" s="5">
        <v>4.4323560848984576</v>
      </c>
      <c r="H2135" s="5">
        <v>2948.6995090862115</v>
      </c>
      <c r="I2135" s="5">
        <v>130.69686211635363</v>
      </c>
    </row>
    <row r="2136" spans="1:9" x14ac:dyDescent="0.2">
      <c r="A2136" s="5" t="s">
        <v>93</v>
      </c>
      <c r="B2136" s="5" t="s">
        <v>65</v>
      </c>
      <c r="C2136" s="5" t="s">
        <v>55</v>
      </c>
      <c r="D2136" s="5">
        <v>260459</v>
      </c>
      <c r="E2136" s="5">
        <v>11382</v>
      </c>
      <c r="F2136" s="5">
        <v>33578075</v>
      </c>
      <c r="G2136" s="5">
        <v>4.3699776164386721</v>
      </c>
      <c r="H2136" s="5">
        <v>2950.103233175189</v>
      </c>
      <c r="I2136" s="5">
        <v>128.91885095158932</v>
      </c>
    </row>
    <row r="2137" spans="1:9" x14ac:dyDescent="0.2">
      <c r="A2137" s="5" t="s">
        <v>93</v>
      </c>
      <c r="B2137" s="5" t="s">
        <v>65</v>
      </c>
      <c r="C2137" s="5" t="s">
        <v>56</v>
      </c>
      <c r="D2137" s="5">
        <v>259324</v>
      </c>
      <c r="E2137" s="5">
        <v>11127</v>
      </c>
      <c r="F2137" s="5">
        <v>33268848</v>
      </c>
      <c r="G2137" s="5">
        <v>4.2907713902299829</v>
      </c>
      <c r="H2137" s="5">
        <v>2989.9207333513077</v>
      </c>
      <c r="I2137" s="5">
        <v>128.29066341719241</v>
      </c>
    </row>
    <row r="2138" spans="1:9" x14ac:dyDescent="0.2">
      <c r="A2138" s="5" t="s">
        <v>93</v>
      </c>
      <c r="B2138" s="5" t="s">
        <v>65</v>
      </c>
      <c r="C2138" s="5" t="s">
        <v>57</v>
      </c>
      <c r="D2138" s="5">
        <v>258692</v>
      </c>
      <c r="E2138" s="5">
        <v>10879</v>
      </c>
      <c r="F2138" s="5">
        <v>32369123</v>
      </c>
      <c r="G2138" s="5">
        <v>4.2053871012632786</v>
      </c>
      <c r="H2138" s="5">
        <v>2975.3766890339184</v>
      </c>
      <c r="I2138" s="5">
        <v>125.12610749462681</v>
      </c>
    </row>
    <row r="2139" spans="1:9" x14ac:dyDescent="0.2">
      <c r="A2139" s="5" t="s">
        <v>93</v>
      </c>
      <c r="B2139" s="5" t="s">
        <v>65</v>
      </c>
      <c r="C2139" s="5" t="s">
        <v>58</v>
      </c>
      <c r="D2139" s="5">
        <v>258528</v>
      </c>
      <c r="E2139" s="5">
        <v>10489</v>
      </c>
      <c r="F2139" s="5">
        <v>31611653</v>
      </c>
      <c r="G2139" s="5">
        <v>4.057200767421711</v>
      </c>
      <c r="H2139" s="5">
        <v>3013.7909238249595</v>
      </c>
      <c r="I2139" s="5">
        <v>122.27554848991211</v>
      </c>
    </row>
    <row r="2140" spans="1:9" x14ac:dyDescent="0.2">
      <c r="A2140" s="5" t="s">
        <v>93</v>
      </c>
      <c r="B2140" s="5" t="s">
        <v>65</v>
      </c>
      <c r="C2140" s="5" t="s">
        <v>59</v>
      </c>
      <c r="D2140" s="5">
        <v>258794</v>
      </c>
      <c r="E2140" s="5">
        <v>10265</v>
      </c>
      <c r="F2140" s="5">
        <v>31868412</v>
      </c>
      <c r="G2140" s="5">
        <v>3.9664752660417166</v>
      </c>
      <c r="H2140" s="5">
        <v>3104.5700925474916</v>
      </c>
      <c r="I2140" s="5">
        <v>123.14200483782469</v>
      </c>
    </row>
    <row r="2141" spans="1:9" x14ac:dyDescent="0.2">
      <c r="A2141" s="5" t="s">
        <v>93</v>
      </c>
      <c r="B2141" s="5" t="s">
        <v>65</v>
      </c>
      <c r="C2141" s="5" t="s">
        <v>60</v>
      </c>
      <c r="D2141" s="5">
        <v>259562</v>
      </c>
      <c r="E2141" s="5">
        <v>10146</v>
      </c>
      <c r="F2141" s="5">
        <v>31348208</v>
      </c>
      <c r="G2141" s="5">
        <v>3.9088926730415086</v>
      </c>
      <c r="H2141" s="5">
        <v>3089.7110191208358</v>
      </c>
      <c r="I2141" s="5">
        <v>120.77348764457047</v>
      </c>
    </row>
    <row r="2142" spans="1:9" x14ac:dyDescent="0.2">
      <c r="A2142" s="5" t="s">
        <v>93</v>
      </c>
      <c r="B2142" s="5" t="s">
        <v>65</v>
      </c>
      <c r="C2142" s="5" t="s">
        <v>61</v>
      </c>
      <c r="D2142" s="5">
        <v>260962</v>
      </c>
      <c r="E2142" s="5">
        <v>10018</v>
      </c>
      <c r="F2142" s="5">
        <v>31417233</v>
      </c>
      <c r="G2142" s="5">
        <v>3.8388730926341768</v>
      </c>
      <c r="H2142" s="5">
        <v>3136.0783589538828</v>
      </c>
      <c r="I2142" s="5">
        <v>120.39006828580406</v>
      </c>
    </row>
    <row r="2143" spans="1:9" x14ac:dyDescent="0.2">
      <c r="A2143" s="5" t="s">
        <v>93</v>
      </c>
      <c r="B2143" s="5" t="s">
        <v>65</v>
      </c>
      <c r="C2143" s="5" t="s">
        <v>62</v>
      </c>
      <c r="D2143" s="5">
        <v>262698</v>
      </c>
      <c r="E2143" s="5">
        <v>9946</v>
      </c>
      <c r="F2143" s="5">
        <v>31483062</v>
      </c>
      <c r="G2143" s="5">
        <v>3.7860965823873802</v>
      </c>
      <c r="H2143" s="5">
        <v>3165.3993565252363</v>
      </c>
      <c r="I2143" s="5">
        <v>119.84507685631409</v>
      </c>
    </row>
    <row r="2144" spans="1:9" x14ac:dyDescent="0.2">
      <c r="A2144" s="5" t="s">
        <v>94</v>
      </c>
      <c r="B2144" s="5" t="s">
        <v>44</v>
      </c>
      <c r="C2144" s="5" t="s">
        <v>45</v>
      </c>
      <c r="D2144" s="5">
        <v>3211062</v>
      </c>
      <c r="E2144" s="5">
        <v>36707</v>
      </c>
      <c r="F2144" s="5">
        <v>271552007</v>
      </c>
      <c r="G2144" s="5">
        <v>1.143142050823061</v>
      </c>
      <c r="H2144" s="5">
        <v>7397.8262184324512</v>
      </c>
      <c r="I2144" s="5">
        <v>84.567662349714823</v>
      </c>
    </row>
    <row r="2145" spans="1:9" x14ac:dyDescent="0.2">
      <c r="A2145" s="5" t="s">
        <v>94</v>
      </c>
      <c r="B2145" s="5" t="s">
        <v>44</v>
      </c>
      <c r="C2145" s="5" t="s">
        <v>46</v>
      </c>
      <c r="D2145" s="5">
        <v>3231199</v>
      </c>
      <c r="E2145" s="5">
        <v>36623</v>
      </c>
      <c r="F2145" s="5">
        <v>270504340</v>
      </c>
      <c r="G2145" s="5">
        <v>1.1334182760021898</v>
      </c>
      <c r="H2145" s="5">
        <v>7386.187368593507</v>
      </c>
      <c r="I2145" s="5">
        <v>83.716397535404042</v>
      </c>
    </row>
    <row r="2146" spans="1:9" x14ac:dyDescent="0.2">
      <c r="A2146" s="5" t="s">
        <v>94</v>
      </c>
      <c r="B2146" s="5" t="s">
        <v>44</v>
      </c>
      <c r="C2146" s="5" t="s">
        <v>47</v>
      </c>
      <c r="D2146" s="5">
        <v>3247951</v>
      </c>
      <c r="E2146" s="5">
        <v>37165</v>
      </c>
      <c r="F2146" s="5">
        <v>275522758</v>
      </c>
      <c r="G2146" s="5">
        <v>1.1442598733786316</v>
      </c>
      <c r="H2146" s="5">
        <v>7413.5008206646035</v>
      </c>
      <c r="I2146" s="5">
        <v>84.829715103460615</v>
      </c>
    </row>
    <row r="2147" spans="1:9" x14ac:dyDescent="0.2">
      <c r="A2147" s="5" t="s">
        <v>94</v>
      </c>
      <c r="B2147" s="5" t="s">
        <v>44</v>
      </c>
      <c r="C2147" s="5" t="s">
        <v>48</v>
      </c>
      <c r="D2147" s="5">
        <v>3276356</v>
      </c>
      <c r="E2147" s="5">
        <v>37894</v>
      </c>
      <c r="F2147" s="5">
        <v>280297835</v>
      </c>
      <c r="G2147" s="5">
        <v>1.1565898211305488</v>
      </c>
      <c r="H2147" s="5">
        <v>7396.8922520715678</v>
      </c>
      <c r="I2147" s="5">
        <v>85.551702867453969</v>
      </c>
    </row>
    <row r="2148" spans="1:9" x14ac:dyDescent="0.2">
      <c r="A2148" s="5" t="s">
        <v>94</v>
      </c>
      <c r="B2148" s="5" t="s">
        <v>44</v>
      </c>
      <c r="C2148" s="5" t="s">
        <v>49</v>
      </c>
      <c r="D2148" s="5">
        <v>3294759</v>
      </c>
      <c r="E2148" s="5">
        <v>37970</v>
      </c>
      <c r="F2148" s="5">
        <v>279145614</v>
      </c>
      <c r="G2148" s="5">
        <v>1.1524363390463461</v>
      </c>
      <c r="H2148" s="5">
        <v>7351.7412167500661</v>
      </c>
      <c r="I2148" s="5">
        <v>84.724137334475756</v>
      </c>
    </row>
    <row r="2149" spans="1:9" x14ac:dyDescent="0.2">
      <c r="A2149" s="5" t="s">
        <v>94</v>
      </c>
      <c r="B2149" s="5" t="s">
        <v>44</v>
      </c>
      <c r="C2149" s="5" t="s">
        <v>50</v>
      </c>
      <c r="D2149" s="5">
        <v>3343075</v>
      </c>
      <c r="E2149" s="5">
        <v>38999</v>
      </c>
      <c r="F2149" s="5">
        <v>284876395</v>
      </c>
      <c r="G2149" s="5">
        <v>1.1665607262774542</v>
      </c>
      <c r="H2149" s="5">
        <v>7304.710248980743</v>
      </c>
      <c r="I2149" s="5">
        <v>85.213880932973382</v>
      </c>
    </row>
    <row r="2150" spans="1:9" x14ac:dyDescent="0.2">
      <c r="A2150" s="5" t="s">
        <v>94</v>
      </c>
      <c r="B2150" s="5" t="s">
        <v>44</v>
      </c>
      <c r="C2150" s="5" t="s">
        <v>51</v>
      </c>
      <c r="D2150" s="5">
        <v>3386908</v>
      </c>
      <c r="E2150" s="5">
        <v>39898</v>
      </c>
      <c r="F2150" s="5">
        <v>295070361</v>
      </c>
      <c r="G2150" s="5">
        <v>1.1780066066158277</v>
      </c>
      <c r="H2150" s="5">
        <v>7395.6178505188227</v>
      </c>
      <c r="I2150" s="5">
        <v>87.120866879171203</v>
      </c>
    </row>
    <row r="2151" spans="1:9" x14ac:dyDescent="0.2">
      <c r="A2151" s="5" t="s">
        <v>94</v>
      </c>
      <c r="B2151" s="5" t="s">
        <v>44</v>
      </c>
      <c r="C2151" s="5" t="s">
        <v>52</v>
      </c>
      <c r="D2151" s="5">
        <v>3435674</v>
      </c>
      <c r="E2151" s="5">
        <v>40829</v>
      </c>
      <c r="F2151" s="5">
        <v>303307125</v>
      </c>
      <c r="G2151" s="5">
        <v>1.188383996851855</v>
      </c>
      <c r="H2151" s="5">
        <v>7428.7179455778978</v>
      </c>
      <c r="I2151" s="5">
        <v>88.281695236509634</v>
      </c>
    </row>
    <row r="2152" spans="1:9" x14ac:dyDescent="0.2">
      <c r="A2152" s="5" t="s">
        <v>94</v>
      </c>
      <c r="B2152" s="5" t="s">
        <v>44</v>
      </c>
      <c r="C2152" s="5" t="s">
        <v>53</v>
      </c>
      <c r="D2152" s="5">
        <v>3495395</v>
      </c>
      <c r="E2152" s="5">
        <v>42133</v>
      </c>
      <c r="F2152" s="5">
        <v>315928694</v>
      </c>
      <c r="G2152" s="5">
        <v>1.2053859435056695</v>
      </c>
      <c r="H2152" s="5">
        <v>7498.3669332827003</v>
      </c>
      <c r="I2152" s="5">
        <v>90.384261006266811</v>
      </c>
    </row>
    <row r="2153" spans="1:9" x14ac:dyDescent="0.2">
      <c r="A2153" s="5" t="s">
        <v>94</v>
      </c>
      <c r="B2153" s="5" t="s">
        <v>44</v>
      </c>
      <c r="C2153" s="5" t="s">
        <v>54</v>
      </c>
      <c r="D2153" s="5">
        <v>3522430</v>
      </c>
      <c r="E2153" s="5">
        <v>42008</v>
      </c>
      <c r="F2153" s="5">
        <v>319435166</v>
      </c>
      <c r="G2153" s="5">
        <v>1.1925858001436509</v>
      </c>
      <c r="H2153" s="5">
        <v>7604.1507808036567</v>
      </c>
      <c r="I2153" s="5">
        <v>90.686022433376962</v>
      </c>
    </row>
    <row r="2154" spans="1:9" x14ac:dyDescent="0.2">
      <c r="A2154" s="5" t="s">
        <v>94</v>
      </c>
      <c r="B2154" s="5" t="s">
        <v>44</v>
      </c>
      <c r="C2154" s="5" t="s">
        <v>55</v>
      </c>
      <c r="D2154" s="5">
        <v>3553448</v>
      </c>
      <c r="E2154" s="5">
        <v>41878</v>
      </c>
      <c r="F2154" s="5">
        <v>321327975</v>
      </c>
      <c r="G2154" s="5">
        <v>1.1785173161391416</v>
      </c>
      <c r="H2154" s="5">
        <v>7672.9541764172118</v>
      </c>
      <c r="I2154" s="5">
        <v>90.427093628498298</v>
      </c>
    </row>
    <row r="2155" spans="1:9" x14ac:dyDescent="0.2">
      <c r="A2155" s="5" t="s">
        <v>94</v>
      </c>
      <c r="B2155" s="5" t="s">
        <v>44</v>
      </c>
      <c r="C2155" s="5" t="s">
        <v>56</v>
      </c>
      <c r="D2155" s="5">
        <v>3584413</v>
      </c>
      <c r="E2155" s="5">
        <v>41862</v>
      </c>
      <c r="F2155" s="5">
        <v>330806863</v>
      </c>
      <c r="G2155" s="5">
        <v>1.1678899725003786</v>
      </c>
      <c r="H2155" s="5">
        <v>7902.3186422053413</v>
      </c>
      <c r="I2155" s="5">
        <v>92.290387017344258</v>
      </c>
    </row>
    <row r="2156" spans="1:9" x14ac:dyDescent="0.2">
      <c r="A2156" s="5" t="s">
        <v>94</v>
      </c>
      <c r="B2156" s="5" t="s">
        <v>44</v>
      </c>
      <c r="C2156" s="5" t="s">
        <v>57</v>
      </c>
      <c r="D2156" s="5">
        <v>3609998</v>
      </c>
      <c r="E2156" s="5">
        <v>41544</v>
      </c>
      <c r="F2156" s="5">
        <v>331129325</v>
      </c>
      <c r="G2156" s="5">
        <v>1.1508039616642447</v>
      </c>
      <c r="H2156" s="5">
        <v>7970.5691555940693</v>
      </c>
      <c r="I2156" s="5">
        <v>91.725625609764876</v>
      </c>
    </row>
    <row r="2157" spans="1:9" x14ac:dyDescent="0.2">
      <c r="A2157" s="5" t="s">
        <v>94</v>
      </c>
      <c r="B2157" s="5" t="s">
        <v>44</v>
      </c>
      <c r="C2157" s="5" t="s">
        <v>58</v>
      </c>
      <c r="D2157" s="5">
        <v>3639725</v>
      </c>
      <c r="E2157" s="5">
        <v>41597</v>
      </c>
      <c r="F2157" s="5">
        <v>335585198</v>
      </c>
      <c r="G2157" s="5">
        <v>1.142861067800452</v>
      </c>
      <c r="H2157" s="5">
        <v>8067.5336682933867</v>
      </c>
      <c r="I2157" s="5">
        <v>92.200701426618764</v>
      </c>
    </row>
    <row r="2158" spans="1:9" x14ac:dyDescent="0.2">
      <c r="A2158" s="5" t="s">
        <v>94</v>
      </c>
      <c r="B2158" s="5" t="s">
        <v>44</v>
      </c>
      <c r="C2158" s="5" t="s">
        <v>59</v>
      </c>
      <c r="D2158" s="5">
        <v>3666817</v>
      </c>
      <c r="E2158" s="5">
        <v>42283</v>
      </c>
      <c r="F2158" s="5">
        <v>339627584</v>
      </c>
      <c r="G2158" s="5">
        <v>1.153125449129313</v>
      </c>
      <c r="H2158" s="5">
        <v>8032.2489889553717</v>
      </c>
      <c r="I2158" s="5">
        <v>92.621907229076342</v>
      </c>
    </row>
    <row r="2159" spans="1:9" x14ac:dyDescent="0.2">
      <c r="A2159" s="5" t="s">
        <v>94</v>
      </c>
      <c r="B2159" s="5" t="s">
        <v>44</v>
      </c>
      <c r="C2159" s="5" t="s">
        <v>60</v>
      </c>
      <c r="D2159" s="5">
        <v>3696798</v>
      </c>
      <c r="E2159" s="5">
        <v>42466</v>
      </c>
      <c r="F2159" s="5">
        <v>337702518</v>
      </c>
      <c r="G2159" s="5">
        <v>1.1487238415515264</v>
      </c>
      <c r="H2159" s="5">
        <v>7952.3034427542034</v>
      </c>
      <c r="I2159" s="5">
        <v>91.350005599440379</v>
      </c>
    </row>
    <row r="2160" spans="1:9" x14ac:dyDescent="0.2">
      <c r="A2160" s="5" t="s">
        <v>94</v>
      </c>
      <c r="B2160" s="5" t="s">
        <v>44</v>
      </c>
      <c r="C2160" s="5" t="s">
        <v>61</v>
      </c>
      <c r="D2160" s="5">
        <v>3739893</v>
      </c>
      <c r="E2160" s="5">
        <v>42490</v>
      </c>
      <c r="F2160" s="5">
        <v>342471057</v>
      </c>
      <c r="G2160" s="5">
        <v>1.1361287609030526</v>
      </c>
      <c r="H2160" s="5">
        <v>8060.0389974111558</v>
      </c>
      <c r="I2160" s="5">
        <v>91.572421189590187</v>
      </c>
    </row>
    <row r="2161" spans="1:9" x14ac:dyDescent="0.2">
      <c r="A2161" s="5" t="s">
        <v>94</v>
      </c>
      <c r="B2161" s="5" t="s">
        <v>44</v>
      </c>
      <c r="C2161" s="5" t="s">
        <v>62</v>
      </c>
      <c r="D2161" s="5">
        <v>3777007</v>
      </c>
      <c r="E2161" s="5">
        <v>42833</v>
      </c>
      <c r="F2161" s="5">
        <v>348664334</v>
      </c>
      <c r="G2161" s="5">
        <v>1.1340460846379157</v>
      </c>
      <c r="H2161" s="5">
        <v>8140.0867088459836</v>
      </c>
      <c r="I2161" s="5">
        <v>92.312334607799244</v>
      </c>
    </row>
    <row r="2162" spans="1:9" x14ac:dyDescent="0.2">
      <c r="A2162" s="5" t="s">
        <v>94</v>
      </c>
      <c r="B2162" s="5" t="s">
        <v>63</v>
      </c>
      <c r="C2162" s="5" t="s">
        <v>45</v>
      </c>
      <c r="D2162" s="5">
        <v>3211062</v>
      </c>
      <c r="E2162" s="5">
        <v>110321</v>
      </c>
      <c r="F2162" s="5">
        <v>270243109</v>
      </c>
      <c r="G2162" s="5">
        <v>3.4356546214305421</v>
      </c>
      <c r="H2162" s="5">
        <v>2449.6071373537225</v>
      </c>
      <c r="I2162" s="5">
        <v>84.160040821385579</v>
      </c>
    </row>
    <row r="2163" spans="1:9" x14ac:dyDescent="0.2">
      <c r="A2163" s="5" t="s">
        <v>94</v>
      </c>
      <c r="B2163" s="5" t="s">
        <v>63</v>
      </c>
      <c r="C2163" s="5" t="s">
        <v>46</v>
      </c>
      <c r="D2163" s="5">
        <v>3231199</v>
      </c>
      <c r="E2163" s="5">
        <v>110387</v>
      </c>
      <c r="F2163" s="5">
        <v>270308082</v>
      </c>
      <c r="G2163" s="5">
        <v>3.4162860288085013</v>
      </c>
      <c r="H2163" s="5">
        <v>2448.7311187005716</v>
      </c>
      <c r="I2163" s="5">
        <v>83.655659091253739</v>
      </c>
    </row>
    <row r="2164" spans="1:9" x14ac:dyDescent="0.2">
      <c r="A2164" s="5" t="s">
        <v>94</v>
      </c>
      <c r="B2164" s="5" t="s">
        <v>63</v>
      </c>
      <c r="C2164" s="5" t="s">
        <v>47</v>
      </c>
      <c r="D2164" s="5">
        <v>3247951</v>
      </c>
      <c r="E2164" s="5">
        <v>110847</v>
      </c>
      <c r="F2164" s="5">
        <v>272802274</v>
      </c>
      <c r="G2164" s="5">
        <v>3.4128285802341232</v>
      </c>
      <c r="H2164" s="5">
        <v>2461.0704304130918</v>
      </c>
      <c r="I2164" s="5">
        <v>83.992115028828948</v>
      </c>
    </row>
    <row r="2165" spans="1:9" x14ac:dyDescent="0.2">
      <c r="A2165" s="5" t="s">
        <v>94</v>
      </c>
      <c r="B2165" s="5" t="s">
        <v>63</v>
      </c>
      <c r="C2165" s="5" t="s">
        <v>48</v>
      </c>
      <c r="D2165" s="5">
        <v>3276356</v>
      </c>
      <c r="E2165" s="5">
        <v>112924</v>
      </c>
      <c r="F2165" s="5">
        <v>278577195</v>
      </c>
      <c r="G2165" s="5">
        <v>3.4466340043633843</v>
      </c>
      <c r="H2165" s="5">
        <v>2466.9440951436363</v>
      </c>
      <c r="I2165" s="5">
        <v>85.026534051855165</v>
      </c>
    </row>
    <row r="2166" spans="1:9" x14ac:dyDescent="0.2">
      <c r="A2166" s="5" t="s">
        <v>94</v>
      </c>
      <c r="B2166" s="5" t="s">
        <v>63</v>
      </c>
      <c r="C2166" s="5" t="s">
        <v>49</v>
      </c>
      <c r="D2166" s="5">
        <v>3294759</v>
      </c>
      <c r="E2166" s="5">
        <v>112605</v>
      </c>
      <c r="F2166" s="5">
        <v>277854210</v>
      </c>
      <c r="G2166" s="5">
        <v>3.4177006573166655</v>
      </c>
      <c r="H2166" s="5">
        <v>2467.5121886239508</v>
      </c>
      <c r="I2166" s="5">
        <v>84.332180289969614</v>
      </c>
    </row>
    <row r="2167" spans="1:9" x14ac:dyDescent="0.2">
      <c r="A2167" s="5" t="s">
        <v>94</v>
      </c>
      <c r="B2167" s="5" t="s">
        <v>63</v>
      </c>
      <c r="C2167" s="5" t="s">
        <v>50</v>
      </c>
      <c r="D2167" s="5">
        <v>3343075</v>
      </c>
      <c r="E2167" s="5">
        <v>114448</v>
      </c>
      <c r="F2167" s="5">
        <v>284051934</v>
      </c>
      <c r="G2167" s="5">
        <v>3.4234350111798268</v>
      </c>
      <c r="H2167" s="5">
        <v>2481.9300817838671</v>
      </c>
      <c r="I2167" s="5">
        <v>84.967263372793013</v>
      </c>
    </row>
    <row r="2168" spans="1:9" x14ac:dyDescent="0.2">
      <c r="A2168" s="5" t="s">
        <v>94</v>
      </c>
      <c r="B2168" s="5" t="s">
        <v>63</v>
      </c>
      <c r="C2168" s="5" t="s">
        <v>51</v>
      </c>
      <c r="D2168" s="5">
        <v>3386908</v>
      </c>
      <c r="E2168" s="5">
        <v>117343</v>
      </c>
      <c r="F2168" s="5">
        <v>291224366</v>
      </c>
      <c r="G2168" s="5">
        <v>3.4646054749641855</v>
      </c>
      <c r="H2168" s="5">
        <v>2481.8213783523515</v>
      </c>
      <c r="I2168" s="5">
        <v>85.985319353227197</v>
      </c>
    </row>
    <row r="2169" spans="1:9" x14ac:dyDescent="0.2">
      <c r="A2169" s="5" t="s">
        <v>94</v>
      </c>
      <c r="B2169" s="5" t="s">
        <v>63</v>
      </c>
      <c r="C2169" s="5" t="s">
        <v>52</v>
      </c>
      <c r="D2169" s="5">
        <v>3435674</v>
      </c>
      <c r="E2169" s="5">
        <v>120470</v>
      </c>
      <c r="F2169" s="5">
        <v>300792538</v>
      </c>
      <c r="G2169" s="5">
        <v>3.5064444414691267</v>
      </c>
      <c r="H2169" s="5">
        <v>2496.8252510998591</v>
      </c>
      <c r="I2169" s="5">
        <v>87.549790230388567</v>
      </c>
    </row>
    <row r="2170" spans="1:9" x14ac:dyDescent="0.2">
      <c r="A2170" s="5" t="s">
        <v>94</v>
      </c>
      <c r="B2170" s="5" t="s">
        <v>63</v>
      </c>
      <c r="C2170" s="5" t="s">
        <v>53</v>
      </c>
      <c r="D2170" s="5">
        <v>3495395</v>
      </c>
      <c r="E2170" s="5">
        <v>123764</v>
      </c>
      <c r="F2170" s="5">
        <v>309036841</v>
      </c>
      <c r="G2170" s="5">
        <v>3.5407729312423917</v>
      </c>
      <c r="H2170" s="5">
        <v>2496.9849148379171</v>
      </c>
      <c r="I2170" s="5">
        <v>88.412565961786868</v>
      </c>
    </row>
    <row r="2171" spans="1:9" x14ac:dyDescent="0.2">
      <c r="A2171" s="5" t="s">
        <v>94</v>
      </c>
      <c r="B2171" s="5" t="s">
        <v>63</v>
      </c>
      <c r="C2171" s="5" t="s">
        <v>54</v>
      </c>
      <c r="D2171" s="5">
        <v>3522430</v>
      </c>
      <c r="E2171" s="5">
        <v>125622</v>
      </c>
      <c r="F2171" s="5">
        <v>313612547</v>
      </c>
      <c r="G2171" s="5">
        <v>3.5663448244535734</v>
      </c>
      <c r="H2171" s="5">
        <v>2496.4779019598477</v>
      </c>
      <c r="I2171" s="5">
        <v>89.033010450172185</v>
      </c>
    </row>
    <row r="2172" spans="1:9" x14ac:dyDescent="0.2">
      <c r="A2172" s="5" t="s">
        <v>94</v>
      </c>
      <c r="B2172" s="5" t="s">
        <v>63</v>
      </c>
      <c r="C2172" s="5" t="s">
        <v>55</v>
      </c>
      <c r="D2172" s="5">
        <v>3553448</v>
      </c>
      <c r="E2172" s="5">
        <v>126904</v>
      </c>
      <c r="F2172" s="5">
        <v>316390295</v>
      </c>
      <c r="G2172" s="5">
        <v>3.5712918832638048</v>
      </c>
      <c r="H2172" s="5">
        <v>2493.1467487234445</v>
      </c>
      <c r="I2172" s="5">
        <v>89.037547475015813</v>
      </c>
    </row>
    <row r="2173" spans="1:9" x14ac:dyDescent="0.2">
      <c r="A2173" s="5" t="s">
        <v>94</v>
      </c>
      <c r="B2173" s="5" t="s">
        <v>63</v>
      </c>
      <c r="C2173" s="5" t="s">
        <v>56</v>
      </c>
      <c r="D2173" s="5">
        <v>3584413</v>
      </c>
      <c r="E2173" s="5">
        <v>127313</v>
      </c>
      <c r="F2173" s="5">
        <v>316382156</v>
      </c>
      <c r="G2173" s="5">
        <v>3.5518507493416633</v>
      </c>
      <c r="H2173" s="5">
        <v>2485.0734489015263</v>
      </c>
      <c r="I2173" s="5">
        <v>88.266099916499584</v>
      </c>
    </row>
    <row r="2174" spans="1:9" x14ac:dyDescent="0.2">
      <c r="A2174" s="5" t="s">
        <v>94</v>
      </c>
      <c r="B2174" s="5" t="s">
        <v>63</v>
      </c>
      <c r="C2174" s="5" t="s">
        <v>57</v>
      </c>
      <c r="D2174" s="5">
        <v>3609998</v>
      </c>
      <c r="E2174" s="5">
        <v>127372</v>
      </c>
      <c r="F2174" s="5">
        <v>319920794</v>
      </c>
      <c r="G2174" s="5">
        <v>3.5283122040510824</v>
      </c>
      <c r="H2174" s="5">
        <v>2511.7042521119242</v>
      </c>
      <c r="I2174" s="5">
        <v>88.620767656934987</v>
      </c>
    </row>
    <row r="2175" spans="1:9" x14ac:dyDescent="0.2">
      <c r="A2175" s="5" t="s">
        <v>94</v>
      </c>
      <c r="B2175" s="5" t="s">
        <v>63</v>
      </c>
      <c r="C2175" s="5" t="s">
        <v>58</v>
      </c>
      <c r="D2175" s="5">
        <v>3639725</v>
      </c>
      <c r="E2175" s="5">
        <v>128125</v>
      </c>
      <c r="F2175" s="5">
        <v>322525949</v>
      </c>
      <c r="G2175" s="5">
        <v>3.5201835303491333</v>
      </c>
      <c r="H2175" s="5">
        <v>2517.2756995121949</v>
      </c>
      <c r="I2175" s="5">
        <v>88.612724587709238</v>
      </c>
    </row>
    <row r="2176" spans="1:9" x14ac:dyDescent="0.2">
      <c r="A2176" s="5" t="s">
        <v>94</v>
      </c>
      <c r="B2176" s="5" t="s">
        <v>63</v>
      </c>
      <c r="C2176" s="5" t="s">
        <v>59</v>
      </c>
      <c r="D2176" s="5">
        <v>3666817</v>
      </c>
      <c r="E2176" s="5">
        <v>129182</v>
      </c>
      <c r="F2176" s="5">
        <v>326026543</v>
      </c>
      <c r="G2176" s="5">
        <v>3.5230010115039829</v>
      </c>
      <c r="H2176" s="5">
        <v>2523.7768651979377</v>
      </c>
      <c r="I2176" s="5">
        <v>88.912684489026859</v>
      </c>
    </row>
    <row r="2177" spans="1:9" x14ac:dyDescent="0.2">
      <c r="A2177" s="5" t="s">
        <v>94</v>
      </c>
      <c r="B2177" s="5" t="s">
        <v>63</v>
      </c>
      <c r="C2177" s="5" t="s">
        <v>60</v>
      </c>
      <c r="D2177" s="5">
        <v>3696798</v>
      </c>
      <c r="E2177" s="5">
        <v>129618</v>
      </c>
      <c r="F2177" s="5">
        <v>327265802</v>
      </c>
      <c r="G2177" s="5">
        <v>3.5062234939534158</v>
      </c>
      <c r="H2177" s="5">
        <v>2524.8484161150459</v>
      </c>
      <c r="I2177" s="5">
        <v>88.526828352536441</v>
      </c>
    </row>
    <row r="2178" spans="1:9" x14ac:dyDescent="0.2">
      <c r="A2178" s="5" t="s">
        <v>94</v>
      </c>
      <c r="B2178" s="5" t="s">
        <v>63</v>
      </c>
      <c r="C2178" s="5" t="s">
        <v>61</v>
      </c>
      <c r="D2178" s="5">
        <v>3739893</v>
      </c>
      <c r="E2178" s="5">
        <v>128621</v>
      </c>
      <c r="F2178" s="5">
        <v>325013457</v>
      </c>
      <c r="G2178" s="5">
        <v>3.4391625642765717</v>
      </c>
      <c r="H2178" s="5">
        <v>2526.9081798462148</v>
      </c>
      <c r="I2178" s="5">
        <v>86.904480154913529</v>
      </c>
    </row>
    <row r="2179" spans="1:9" x14ac:dyDescent="0.2">
      <c r="A2179" s="5" t="s">
        <v>94</v>
      </c>
      <c r="B2179" s="5" t="s">
        <v>63</v>
      </c>
      <c r="C2179" s="5" t="s">
        <v>62</v>
      </c>
      <c r="D2179" s="5">
        <v>3777007</v>
      </c>
      <c r="E2179" s="5">
        <v>129051</v>
      </c>
      <c r="F2179" s="5">
        <v>329393866</v>
      </c>
      <c r="G2179" s="5">
        <v>3.4167530004577698</v>
      </c>
      <c r="H2179" s="5">
        <v>2552.4317207925551</v>
      </c>
      <c r="I2179" s="5">
        <v>87.210287404815503</v>
      </c>
    </row>
    <row r="2180" spans="1:9" x14ac:dyDescent="0.2">
      <c r="A2180" s="5" t="s">
        <v>94</v>
      </c>
      <c r="B2180" s="5" t="s">
        <v>64</v>
      </c>
      <c r="C2180" s="5" t="s">
        <v>45</v>
      </c>
      <c r="D2180" s="5">
        <v>2781763</v>
      </c>
      <c r="E2180" s="5">
        <v>206220</v>
      </c>
      <c r="F2180" s="5">
        <v>156688181</v>
      </c>
      <c r="G2180" s="5">
        <v>7.4132843092671807</v>
      </c>
      <c r="H2180" s="5">
        <v>759.81078944816215</v>
      </c>
      <c r="I2180" s="5">
        <v>56.326934034279702</v>
      </c>
    </row>
    <row r="2181" spans="1:9" x14ac:dyDescent="0.2">
      <c r="A2181" s="5" t="s">
        <v>94</v>
      </c>
      <c r="B2181" s="5" t="s">
        <v>64</v>
      </c>
      <c r="C2181" s="5" t="s">
        <v>46</v>
      </c>
      <c r="D2181" s="5">
        <v>2795882</v>
      </c>
      <c r="E2181" s="5">
        <v>205403</v>
      </c>
      <c r="F2181" s="5">
        <v>157482306</v>
      </c>
      <c r="G2181" s="5">
        <v>7.3466262167001322</v>
      </c>
      <c r="H2181" s="5">
        <v>766.69915239796887</v>
      </c>
      <c r="I2181" s="5">
        <v>56.326520933286886</v>
      </c>
    </row>
    <row r="2182" spans="1:9" x14ac:dyDescent="0.2">
      <c r="A2182" s="5" t="s">
        <v>94</v>
      </c>
      <c r="B2182" s="5" t="s">
        <v>64</v>
      </c>
      <c r="C2182" s="5" t="s">
        <v>47</v>
      </c>
      <c r="D2182" s="5">
        <v>2804294</v>
      </c>
      <c r="E2182" s="5">
        <v>203116</v>
      </c>
      <c r="F2182" s="5">
        <v>158587246</v>
      </c>
      <c r="G2182" s="5">
        <v>7.2430351453877515</v>
      </c>
      <c r="H2182" s="5">
        <v>780.77180527383371</v>
      </c>
      <c r="I2182" s="5">
        <v>56.551576261262191</v>
      </c>
    </row>
    <row r="2183" spans="1:9" x14ac:dyDescent="0.2">
      <c r="A2183" s="5" t="s">
        <v>94</v>
      </c>
      <c r="B2183" s="5" t="s">
        <v>64</v>
      </c>
      <c r="C2183" s="5" t="s">
        <v>48</v>
      </c>
      <c r="D2183" s="5">
        <v>2822480</v>
      </c>
      <c r="E2183" s="5">
        <v>202907</v>
      </c>
      <c r="F2183" s="5">
        <v>161636936</v>
      </c>
      <c r="G2183" s="5">
        <v>7.1889614806836537</v>
      </c>
      <c r="H2183" s="5">
        <v>796.60601162108753</v>
      </c>
      <c r="I2183" s="5">
        <v>57.26769932825033</v>
      </c>
    </row>
    <row r="2184" spans="1:9" x14ac:dyDescent="0.2">
      <c r="A2184" s="5" t="s">
        <v>94</v>
      </c>
      <c r="B2184" s="5" t="s">
        <v>64</v>
      </c>
      <c r="C2184" s="5" t="s">
        <v>49</v>
      </c>
      <c r="D2184" s="5">
        <v>2832223</v>
      </c>
      <c r="E2184" s="5">
        <v>205830</v>
      </c>
      <c r="F2184" s="5">
        <v>169635726</v>
      </c>
      <c r="G2184" s="5">
        <v>7.2674362152980185</v>
      </c>
      <c r="H2184" s="5">
        <v>824.15452557936158</v>
      </c>
      <c r="I2184" s="5">
        <v>59.894904461972096</v>
      </c>
    </row>
    <row r="2185" spans="1:9" x14ac:dyDescent="0.2">
      <c r="A2185" s="5" t="s">
        <v>94</v>
      </c>
      <c r="B2185" s="5" t="s">
        <v>64</v>
      </c>
      <c r="C2185" s="5" t="s">
        <v>50</v>
      </c>
      <c r="D2185" s="5">
        <v>2835372</v>
      </c>
      <c r="E2185" s="5">
        <v>214378</v>
      </c>
      <c r="F2185" s="5">
        <v>182713688</v>
      </c>
      <c r="G2185" s="5">
        <v>7.5608421046691578</v>
      </c>
      <c r="H2185" s="5">
        <v>852.2968215022064</v>
      </c>
      <c r="I2185" s="5">
        <v>64.440816936895757</v>
      </c>
    </row>
    <row r="2186" spans="1:9" x14ac:dyDescent="0.2">
      <c r="A2186" s="5" t="s">
        <v>94</v>
      </c>
      <c r="B2186" s="5" t="s">
        <v>64</v>
      </c>
      <c r="C2186" s="5" t="s">
        <v>51</v>
      </c>
      <c r="D2186" s="5">
        <v>2836230</v>
      </c>
      <c r="E2186" s="5">
        <v>225904</v>
      </c>
      <c r="F2186" s="5">
        <v>206964578</v>
      </c>
      <c r="G2186" s="5">
        <v>7.9649393737461347</v>
      </c>
      <c r="H2186" s="5">
        <v>916.16163503080952</v>
      </c>
      <c r="I2186" s="5">
        <v>72.971718795725309</v>
      </c>
    </row>
    <row r="2187" spans="1:9" x14ac:dyDescent="0.2">
      <c r="A2187" s="5" t="s">
        <v>94</v>
      </c>
      <c r="B2187" s="5" t="s">
        <v>64</v>
      </c>
      <c r="C2187" s="5" t="s">
        <v>52</v>
      </c>
      <c r="D2187" s="5">
        <v>2838371</v>
      </c>
      <c r="E2187" s="5">
        <v>229449</v>
      </c>
      <c r="F2187" s="5">
        <v>214346225</v>
      </c>
      <c r="G2187" s="5">
        <v>8.083826955672814</v>
      </c>
      <c r="H2187" s="5">
        <v>934.17807443048343</v>
      </c>
      <c r="I2187" s="5">
        <v>75.51733899479666</v>
      </c>
    </row>
    <row r="2188" spans="1:9" x14ac:dyDescent="0.2">
      <c r="A2188" s="5" t="s">
        <v>94</v>
      </c>
      <c r="B2188" s="5" t="s">
        <v>64</v>
      </c>
      <c r="C2188" s="5" t="s">
        <v>53</v>
      </c>
      <c r="D2188" s="5">
        <v>2849455</v>
      </c>
      <c r="E2188" s="5">
        <v>227767</v>
      </c>
      <c r="F2188" s="5">
        <v>215256477</v>
      </c>
      <c r="G2188" s="5">
        <v>7.9933531148939005</v>
      </c>
      <c r="H2188" s="5">
        <v>945.07315370532172</v>
      </c>
      <c r="I2188" s="5">
        <v>75.54303436973035</v>
      </c>
    </row>
    <row r="2189" spans="1:9" x14ac:dyDescent="0.2">
      <c r="A2189" s="5" t="s">
        <v>94</v>
      </c>
      <c r="B2189" s="5" t="s">
        <v>64</v>
      </c>
      <c r="C2189" s="5" t="s">
        <v>54</v>
      </c>
      <c r="D2189" s="5">
        <v>2861777</v>
      </c>
      <c r="E2189" s="5">
        <v>222833</v>
      </c>
      <c r="F2189" s="5">
        <v>203267038</v>
      </c>
      <c r="G2189" s="5">
        <v>7.7865256447305295</v>
      </c>
      <c r="H2189" s="5">
        <v>912.19450440464379</v>
      </c>
      <c r="I2189" s="5">
        <v>71.028259015290146</v>
      </c>
    </row>
    <row r="2190" spans="1:9" x14ac:dyDescent="0.2">
      <c r="A2190" s="5" t="s">
        <v>94</v>
      </c>
      <c r="B2190" s="5" t="s">
        <v>64</v>
      </c>
      <c r="C2190" s="5" t="s">
        <v>55</v>
      </c>
      <c r="D2190" s="5">
        <v>2878441</v>
      </c>
      <c r="E2190" s="5">
        <v>210548</v>
      </c>
      <c r="F2190" s="5">
        <v>175170793</v>
      </c>
      <c r="G2190" s="5">
        <v>7.3146540088888399</v>
      </c>
      <c r="H2190" s="5">
        <v>831.97557326595359</v>
      </c>
      <c r="I2190" s="5">
        <v>60.856134622873981</v>
      </c>
    </row>
    <row r="2191" spans="1:9" x14ac:dyDescent="0.2">
      <c r="A2191" s="5" t="s">
        <v>94</v>
      </c>
      <c r="B2191" s="5" t="s">
        <v>64</v>
      </c>
      <c r="C2191" s="5" t="s">
        <v>56</v>
      </c>
      <c r="D2191" s="5">
        <v>2897878</v>
      </c>
      <c r="E2191" s="5">
        <v>204986</v>
      </c>
      <c r="F2191" s="5">
        <v>169647284</v>
      </c>
      <c r="G2191" s="5">
        <v>7.0736587254535905</v>
      </c>
      <c r="H2191" s="5">
        <v>827.6042461436391</v>
      </c>
      <c r="I2191" s="5">
        <v>58.541899969563936</v>
      </c>
    </row>
    <row r="2192" spans="1:9" x14ac:dyDescent="0.2">
      <c r="A2192" s="5" t="s">
        <v>94</v>
      </c>
      <c r="B2192" s="5" t="s">
        <v>64</v>
      </c>
      <c r="C2192" s="5" t="s">
        <v>57</v>
      </c>
      <c r="D2192" s="5">
        <v>2913771</v>
      </c>
      <c r="E2192" s="5">
        <v>200814</v>
      </c>
      <c r="F2192" s="5">
        <v>159993154</v>
      </c>
      <c r="G2192" s="5">
        <v>6.8918937006374215</v>
      </c>
      <c r="H2192" s="5">
        <v>796.72310695469434</v>
      </c>
      <c r="I2192" s="5">
        <v>54.909309619733328</v>
      </c>
    </row>
    <row r="2193" spans="1:9" x14ac:dyDescent="0.2">
      <c r="A2193" s="5" t="s">
        <v>94</v>
      </c>
      <c r="B2193" s="5" t="s">
        <v>64</v>
      </c>
      <c r="C2193" s="5" t="s">
        <v>58</v>
      </c>
      <c r="D2193" s="5">
        <v>2933384</v>
      </c>
      <c r="E2193" s="5">
        <v>193639</v>
      </c>
      <c r="F2193" s="5">
        <v>156994915</v>
      </c>
      <c r="G2193" s="5">
        <v>6.6012155244591231</v>
      </c>
      <c r="H2193" s="5">
        <v>810.76082297471066</v>
      </c>
      <c r="I2193" s="5">
        <v>53.520069312439148</v>
      </c>
    </row>
    <row r="2194" spans="1:9" x14ac:dyDescent="0.2">
      <c r="A2194" s="5" t="s">
        <v>94</v>
      </c>
      <c r="B2194" s="5" t="s">
        <v>64</v>
      </c>
      <c r="C2194" s="5" t="s">
        <v>59</v>
      </c>
      <c r="D2194" s="5">
        <v>2951023</v>
      </c>
      <c r="E2194" s="5">
        <v>190881</v>
      </c>
      <c r="F2194" s="5">
        <v>157197554</v>
      </c>
      <c r="G2194" s="5">
        <v>6.4682992982433554</v>
      </c>
      <c r="H2194" s="5">
        <v>823.53693662543674</v>
      </c>
      <c r="I2194" s="5">
        <v>53.268833892517954</v>
      </c>
    </row>
    <row r="2195" spans="1:9" x14ac:dyDescent="0.2">
      <c r="A2195" s="5" t="s">
        <v>94</v>
      </c>
      <c r="B2195" s="5" t="s">
        <v>64</v>
      </c>
      <c r="C2195" s="5" t="s">
        <v>60</v>
      </c>
      <c r="D2195" s="5">
        <v>2970251</v>
      </c>
      <c r="E2195" s="5">
        <v>188548</v>
      </c>
      <c r="F2195" s="5">
        <v>151413934</v>
      </c>
      <c r="G2195" s="5">
        <v>6.3478810376631474</v>
      </c>
      <c r="H2195" s="5">
        <v>803.05245348664528</v>
      </c>
      <c r="I2195" s="5">
        <v>50.976814417367422</v>
      </c>
    </row>
    <row r="2196" spans="1:9" x14ac:dyDescent="0.2">
      <c r="A2196" s="5" t="s">
        <v>94</v>
      </c>
      <c r="B2196" s="5" t="s">
        <v>64</v>
      </c>
      <c r="C2196" s="5" t="s">
        <v>61</v>
      </c>
      <c r="D2196" s="5">
        <v>2997643</v>
      </c>
      <c r="E2196" s="5">
        <v>185958</v>
      </c>
      <c r="F2196" s="5">
        <v>152810852</v>
      </c>
      <c r="G2196" s="5">
        <v>6.203473862631407</v>
      </c>
      <c r="H2196" s="5">
        <v>821.74927671839873</v>
      </c>
      <c r="I2196" s="5">
        <v>50.977001597588504</v>
      </c>
    </row>
    <row r="2197" spans="1:9" x14ac:dyDescent="0.2">
      <c r="A2197" s="5" t="s">
        <v>94</v>
      </c>
      <c r="B2197" s="5" t="s">
        <v>64</v>
      </c>
      <c r="C2197" s="5" t="s">
        <v>62</v>
      </c>
      <c r="D2197" s="5">
        <v>3020851</v>
      </c>
      <c r="E2197" s="5">
        <v>185832</v>
      </c>
      <c r="F2197" s="5">
        <v>154823098</v>
      </c>
      <c r="G2197" s="5">
        <v>6.1516440234887453</v>
      </c>
      <c r="H2197" s="5">
        <v>833.1347561238108</v>
      </c>
      <c r="I2197" s="5">
        <v>51.251484432697936</v>
      </c>
    </row>
    <row r="2198" spans="1:9" x14ac:dyDescent="0.2">
      <c r="A2198" s="5" t="s">
        <v>94</v>
      </c>
      <c r="B2198" s="5" t="s">
        <v>65</v>
      </c>
      <c r="C2198" s="5" t="s">
        <v>45</v>
      </c>
      <c r="D2198" s="5">
        <v>2581882</v>
      </c>
      <c r="E2198" s="5">
        <v>133488</v>
      </c>
      <c r="F2198" s="5">
        <v>358046633</v>
      </c>
      <c r="G2198" s="5">
        <v>5.170182060992718</v>
      </c>
      <c r="H2198" s="5">
        <v>2682.2383510128252</v>
      </c>
      <c r="I2198" s="5">
        <v>138.67660605713198</v>
      </c>
    </row>
    <row r="2199" spans="1:9" x14ac:dyDescent="0.2">
      <c r="A2199" s="5" t="s">
        <v>94</v>
      </c>
      <c r="B2199" s="5" t="s">
        <v>65</v>
      </c>
      <c r="C2199" s="5" t="s">
        <v>46</v>
      </c>
      <c r="D2199" s="5">
        <v>2594885</v>
      </c>
      <c r="E2199" s="5">
        <v>134367</v>
      </c>
      <c r="F2199" s="5">
        <v>361610944</v>
      </c>
      <c r="G2199" s="5">
        <v>5.1781485499357389</v>
      </c>
      <c r="H2199" s="5">
        <v>2691.2184092820412</v>
      </c>
      <c r="I2199" s="5">
        <v>139.35528703584166</v>
      </c>
    </row>
    <row r="2200" spans="1:9" x14ac:dyDescent="0.2">
      <c r="A2200" s="5" t="s">
        <v>94</v>
      </c>
      <c r="B2200" s="5" t="s">
        <v>65</v>
      </c>
      <c r="C2200" s="5" t="s">
        <v>47</v>
      </c>
      <c r="D2200" s="5">
        <v>2602515</v>
      </c>
      <c r="E2200" s="5">
        <v>134033</v>
      </c>
      <c r="F2200" s="5">
        <v>363637568</v>
      </c>
      <c r="G2200" s="5">
        <v>5.1501336207476234</v>
      </c>
      <c r="H2200" s="5">
        <v>2713.0450560682816</v>
      </c>
      <c r="I2200" s="5">
        <v>139.72544557860377</v>
      </c>
    </row>
    <row r="2201" spans="1:9" x14ac:dyDescent="0.2">
      <c r="A2201" s="5" t="s">
        <v>94</v>
      </c>
      <c r="B2201" s="5" t="s">
        <v>65</v>
      </c>
      <c r="C2201" s="5" t="s">
        <v>48</v>
      </c>
      <c r="D2201" s="5">
        <v>2618885</v>
      </c>
      <c r="E2201" s="5">
        <v>135364</v>
      </c>
      <c r="F2201" s="5">
        <v>371676789</v>
      </c>
      <c r="G2201" s="5">
        <v>5.1687645696546429</v>
      </c>
      <c r="H2201" s="5">
        <v>2745.7580228125648</v>
      </c>
      <c r="I2201" s="5">
        <v>141.92176785158568</v>
      </c>
    </row>
    <row r="2202" spans="1:9" x14ac:dyDescent="0.2">
      <c r="A2202" s="5" t="s">
        <v>94</v>
      </c>
      <c r="B2202" s="5" t="s">
        <v>65</v>
      </c>
      <c r="C2202" s="5" t="s">
        <v>49</v>
      </c>
      <c r="D2202" s="5">
        <v>2627390</v>
      </c>
      <c r="E2202" s="5">
        <v>135619</v>
      </c>
      <c r="F2202" s="5">
        <v>374769114</v>
      </c>
      <c r="G2202" s="5">
        <v>5.1617384552731034</v>
      </c>
      <c r="H2202" s="5">
        <v>2763.3968249286604</v>
      </c>
      <c r="I2202" s="5">
        <v>142.63931658413864</v>
      </c>
    </row>
    <row r="2203" spans="1:9" x14ac:dyDescent="0.2">
      <c r="A2203" s="5" t="s">
        <v>94</v>
      </c>
      <c r="B2203" s="5" t="s">
        <v>65</v>
      </c>
      <c r="C2203" s="5" t="s">
        <v>50</v>
      </c>
      <c r="D2203" s="5">
        <v>2629278</v>
      </c>
      <c r="E2203" s="5">
        <v>134983</v>
      </c>
      <c r="F2203" s="5">
        <v>380360210</v>
      </c>
      <c r="G2203" s="5">
        <v>5.1338428268140532</v>
      </c>
      <c r="H2203" s="5">
        <v>2817.8378758806666</v>
      </c>
      <c r="I2203" s="5">
        <v>144.66336766214908</v>
      </c>
    </row>
    <row r="2204" spans="1:9" x14ac:dyDescent="0.2">
      <c r="A2204" s="5" t="s">
        <v>94</v>
      </c>
      <c r="B2204" s="5" t="s">
        <v>65</v>
      </c>
      <c r="C2204" s="5" t="s">
        <v>51</v>
      </c>
      <c r="D2204" s="5">
        <v>2628598</v>
      </c>
      <c r="E2204" s="5">
        <v>135149</v>
      </c>
      <c r="F2204" s="5">
        <v>383297639</v>
      </c>
      <c r="G2204" s="5">
        <v>5.1414860697603819</v>
      </c>
      <c r="H2204" s="5">
        <v>2836.1115435556312</v>
      </c>
      <c r="I2204" s="5">
        <v>145.81827993477893</v>
      </c>
    </row>
    <row r="2205" spans="1:9" x14ac:dyDescent="0.2">
      <c r="A2205" s="5" t="s">
        <v>94</v>
      </c>
      <c r="B2205" s="5" t="s">
        <v>65</v>
      </c>
      <c r="C2205" s="5" t="s">
        <v>52</v>
      </c>
      <c r="D2205" s="5">
        <v>2628995</v>
      </c>
      <c r="E2205" s="5">
        <v>135548</v>
      </c>
      <c r="F2205" s="5">
        <v>386998265</v>
      </c>
      <c r="G2205" s="5">
        <v>5.1558865650181911</v>
      </c>
      <c r="H2205" s="5">
        <v>2855.0643683418421</v>
      </c>
      <c r="I2205" s="5">
        <v>147.20388018995851</v>
      </c>
    </row>
    <row r="2206" spans="1:9" x14ac:dyDescent="0.2">
      <c r="A2206" s="5" t="s">
        <v>94</v>
      </c>
      <c r="B2206" s="5" t="s">
        <v>65</v>
      </c>
      <c r="C2206" s="5" t="s">
        <v>53</v>
      </c>
      <c r="D2206" s="5">
        <v>2637657</v>
      </c>
      <c r="E2206" s="5">
        <v>135307</v>
      </c>
      <c r="F2206" s="5">
        <v>384384287</v>
      </c>
      <c r="G2206" s="5">
        <v>5.1298178648702235</v>
      </c>
      <c r="H2206" s="5">
        <v>2840.8307552454789</v>
      </c>
      <c r="I2206" s="5">
        <v>145.72944359331026</v>
      </c>
    </row>
    <row r="2207" spans="1:9" x14ac:dyDescent="0.2">
      <c r="A2207" s="5" t="s">
        <v>94</v>
      </c>
      <c r="B2207" s="5" t="s">
        <v>65</v>
      </c>
      <c r="C2207" s="5" t="s">
        <v>54</v>
      </c>
      <c r="D2207" s="5">
        <v>2648000</v>
      </c>
      <c r="E2207" s="5">
        <v>136996</v>
      </c>
      <c r="F2207" s="5">
        <v>388465769</v>
      </c>
      <c r="G2207" s="5">
        <v>5.1735649546827798</v>
      </c>
      <c r="H2207" s="5">
        <v>2835.599353265789</v>
      </c>
      <c r="I2207" s="5">
        <v>146.70157439577039</v>
      </c>
    </row>
    <row r="2208" spans="1:9" x14ac:dyDescent="0.2">
      <c r="A2208" s="5" t="s">
        <v>94</v>
      </c>
      <c r="B2208" s="5" t="s">
        <v>65</v>
      </c>
      <c r="C2208" s="5" t="s">
        <v>55</v>
      </c>
      <c r="D2208" s="5">
        <v>2662744</v>
      </c>
      <c r="E2208" s="5">
        <v>137088</v>
      </c>
      <c r="F2208" s="5">
        <v>386535627</v>
      </c>
      <c r="G2208" s="5">
        <v>5.1483732570611371</v>
      </c>
      <c r="H2208" s="5">
        <v>2819.6167935924368</v>
      </c>
      <c r="I2208" s="5">
        <v>145.16439695291774</v>
      </c>
    </row>
    <row r="2209" spans="1:9" x14ac:dyDescent="0.2">
      <c r="A2209" s="5" t="s">
        <v>94</v>
      </c>
      <c r="B2209" s="5" t="s">
        <v>65</v>
      </c>
      <c r="C2209" s="5" t="s">
        <v>56</v>
      </c>
      <c r="D2209" s="5">
        <v>2680072</v>
      </c>
      <c r="E2209" s="5">
        <v>136634</v>
      </c>
      <c r="F2209" s="5">
        <v>384742792</v>
      </c>
      <c r="G2209" s="5">
        <v>5.0981466169565595</v>
      </c>
      <c r="H2209" s="5">
        <v>2815.8642212040927</v>
      </c>
      <c r="I2209" s="5">
        <v>143.55688653140663</v>
      </c>
    </row>
    <row r="2210" spans="1:9" x14ac:dyDescent="0.2">
      <c r="A2210" s="5" t="s">
        <v>94</v>
      </c>
      <c r="B2210" s="5" t="s">
        <v>65</v>
      </c>
      <c r="C2210" s="5" t="s">
        <v>57</v>
      </c>
      <c r="D2210" s="5">
        <v>2693969</v>
      </c>
      <c r="E2210" s="5">
        <v>134599</v>
      </c>
      <c r="F2210" s="5">
        <v>383625566</v>
      </c>
      <c r="G2210" s="5">
        <v>4.9963084207724737</v>
      </c>
      <c r="H2210" s="5">
        <v>2850.1368212245261</v>
      </c>
      <c r="I2210" s="5">
        <v>142.4016260023779</v>
      </c>
    </row>
    <row r="2211" spans="1:9" x14ac:dyDescent="0.2">
      <c r="A2211" s="5" t="s">
        <v>94</v>
      </c>
      <c r="B2211" s="5" t="s">
        <v>65</v>
      </c>
      <c r="C2211" s="5" t="s">
        <v>58</v>
      </c>
      <c r="D2211" s="5">
        <v>2711030</v>
      </c>
      <c r="E2211" s="5">
        <v>132654</v>
      </c>
      <c r="F2211" s="5">
        <v>375788625</v>
      </c>
      <c r="G2211" s="5">
        <v>4.8931218024145808</v>
      </c>
      <c r="H2211" s="5">
        <v>2832.8480483061198</v>
      </c>
      <c r="I2211" s="5">
        <v>138.61470548094266</v>
      </c>
    </row>
    <row r="2212" spans="1:9" x14ac:dyDescent="0.2">
      <c r="A2212" s="5" t="s">
        <v>94</v>
      </c>
      <c r="B2212" s="5" t="s">
        <v>65</v>
      </c>
      <c r="C2212" s="5" t="s">
        <v>59</v>
      </c>
      <c r="D2212" s="5">
        <v>2726122</v>
      </c>
      <c r="E2212" s="5">
        <v>133279</v>
      </c>
      <c r="F2212" s="5">
        <v>378454817</v>
      </c>
      <c r="G2212" s="5">
        <v>4.8889594816372854</v>
      </c>
      <c r="H2212" s="5">
        <v>2839.5682515625117</v>
      </c>
      <c r="I2212" s="5">
        <v>138.82534127232751</v>
      </c>
    </row>
    <row r="2213" spans="1:9" x14ac:dyDescent="0.2">
      <c r="A2213" s="5" t="s">
        <v>94</v>
      </c>
      <c r="B2213" s="5" t="s">
        <v>65</v>
      </c>
      <c r="C2213" s="5" t="s">
        <v>60</v>
      </c>
      <c r="D2213" s="5">
        <v>2742596</v>
      </c>
      <c r="E2213" s="5">
        <v>132968</v>
      </c>
      <c r="F2213" s="5">
        <v>377130651</v>
      </c>
      <c r="G2213" s="5">
        <v>4.8482532607792033</v>
      </c>
      <c r="H2213" s="5">
        <v>2836.2512108176402</v>
      </c>
      <c r="I2213" s="5">
        <v>137.50864181235588</v>
      </c>
    </row>
    <row r="2214" spans="1:9" x14ac:dyDescent="0.2">
      <c r="A2214" s="5" t="s">
        <v>94</v>
      </c>
      <c r="B2214" s="5" t="s">
        <v>65</v>
      </c>
      <c r="C2214" s="5" t="s">
        <v>61</v>
      </c>
      <c r="D2214" s="5">
        <v>2767674</v>
      </c>
      <c r="E2214" s="5">
        <v>133541</v>
      </c>
      <c r="F2214" s="5">
        <v>379841460</v>
      </c>
      <c r="G2214" s="5">
        <v>4.8250263578730728</v>
      </c>
      <c r="H2214" s="5">
        <v>2844.3808268621624</v>
      </c>
      <c r="I2214" s="5">
        <v>137.24212461438739</v>
      </c>
    </row>
    <row r="2215" spans="1:9" x14ac:dyDescent="0.2">
      <c r="A2215" s="5" t="s">
        <v>94</v>
      </c>
      <c r="B2215" s="5" t="s">
        <v>65</v>
      </c>
      <c r="C2215" s="5" t="s">
        <v>62</v>
      </c>
      <c r="D2215" s="5">
        <v>2787921</v>
      </c>
      <c r="E2215" s="5">
        <v>133346</v>
      </c>
      <c r="F2215" s="5">
        <v>382837676</v>
      </c>
      <c r="G2215" s="5">
        <v>4.7829906227615488</v>
      </c>
      <c r="H2215" s="5">
        <v>2871.0098240667135</v>
      </c>
      <c r="I2215" s="5">
        <v>137.32013066367375</v>
      </c>
    </row>
    <row r="2216" spans="1:9" x14ac:dyDescent="0.2">
      <c r="A2216" s="5" t="s">
        <v>95</v>
      </c>
      <c r="B2216" s="5" t="s">
        <v>44</v>
      </c>
      <c r="C2216" s="5" t="s">
        <v>45</v>
      </c>
      <c r="D2216" s="5">
        <v>220799</v>
      </c>
      <c r="E2216" s="5">
        <v>370</v>
      </c>
      <c r="F2216" s="5">
        <v>7655055</v>
      </c>
      <c r="G2216" s="5">
        <v>0.16757322270481298</v>
      </c>
      <c r="H2216" s="5">
        <v>20689.337837837837</v>
      </c>
      <c r="I2216" s="5">
        <v>34.669790171151135</v>
      </c>
    </row>
    <row r="2217" spans="1:9" x14ac:dyDescent="0.2">
      <c r="A2217" s="5" t="s">
        <v>95</v>
      </c>
      <c r="B2217" s="5" t="s">
        <v>44</v>
      </c>
      <c r="C2217" s="5" t="s">
        <v>46</v>
      </c>
      <c r="D2217" s="5">
        <v>221954</v>
      </c>
      <c r="E2217" s="5">
        <v>352</v>
      </c>
      <c r="F2217" s="5">
        <v>7913091</v>
      </c>
      <c r="G2217" s="5">
        <v>0.15859141984375141</v>
      </c>
      <c r="H2217" s="5">
        <v>22480.372159090908</v>
      </c>
      <c r="I2217" s="5">
        <v>35.651941393261666</v>
      </c>
    </row>
    <row r="2218" spans="1:9" x14ac:dyDescent="0.2">
      <c r="A2218" s="5" t="s">
        <v>95</v>
      </c>
      <c r="B2218" s="5" t="s">
        <v>44</v>
      </c>
      <c r="C2218" s="5" t="s">
        <v>47</v>
      </c>
      <c r="D2218" s="5">
        <v>223428</v>
      </c>
      <c r="E2218" s="5">
        <v>331</v>
      </c>
      <c r="F2218" s="5">
        <v>7109580</v>
      </c>
      <c r="G2218" s="5">
        <v>0.14814615894158298</v>
      </c>
      <c r="H2218" s="5">
        <v>21479.093655589124</v>
      </c>
      <c r="I2218" s="5">
        <v>31.820452226220528</v>
      </c>
    </row>
    <row r="2219" spans="1:9" x14ac:dyDescent="0.2">
      <c r="A2219" s="5" t="s">
        <v>95</v>
      </c>
      <c r="B2219" s="5" t="s">
        <v>44</v>
      </c>
      <c r="C2219" s="5" t="s">
        <v>48</v>
      </c>
      <c r="D2219" s="5">
        <v>225069</v>
      </c>
      <c r="E2219" s="5">
        <v>364</v>
      </c>
      <c r="F2219" s="5">
        <v>8380341</v>
      </c>
      <c r="G2219" s="5">
        <v>0.16172818113556287</v>
      </c>
      <c r="H2219" s="5">
        <v>23022.914835164836</v>
      </c>
      <c r="I2219" s="5">
        <v>37.234541407301762</v>
      </c>
    </row>
    <row r="2220" spans="1:9" x14ac:dyDescent="0.2">
      <c r="A2220" s="5" t="s">
        <v>95</v>
      </c>
      <c r="B2220" s="5" t="s">
        <v>44</v>
      </c>
      <c r="C2220" s="5" t="s">
        <v>49</v>
      </c>
      <c r="D2220" s="5">
        <v>226689</v>
      </c>
      <c r="E2220" s="5">
        <v>349</v>
      </c>
      <c r="F2220" s="5">
        <v>7917527</v>
      </c>
      <c r="G2220" s="5">
        <v>0.15395541909841237</v>
      </c>
      <c r="H2220" s="5">
        <v>22686.323782234958</v>
      </c>
      <c r="I2220" s="5">
        <v>34.926824856962625</v>
      </c>
    </row>
    <row r="2221" spans="1:9" x14ac:dyDescent="0.2">
      <c r="A2221" s="5" t="s">
        <v>95</v>
      </c>
      <c r="B2221" s="5" t="s">
        <v>44</v>
      </c>
      <c r="C2221" s="5" t="s">
        <v>50</v>
      </c>
      <c r="D2221" s="5">
        <v>228362</v>
      </c>
      <c r="E2221" s="5">
        <v>363</v>
      </c>
      <c r="F2221" s="5">
        <v>9106147</v>
      </c>
      <c r="G2221" s="5">
        <v>0.15895814540072342</v>
      </c>
      <c r="H2221" s="5">
        <v>25085.804407713498</v>
      </c>
      <c r="I2221" s="5">
        <v>39.875929445354309</v>
      </c>
    </row>
    <row r="2222" spans="1:9" x14ac:dyDescent="0.2">
      <c r="A2222" s="5" t="s">
        <v>95</v>
      </c>
      <c r="B2222" s="5" t="s">
        <v>44</v>
      </c>
      <c r="C2222" s="5" t="s">
        <v>51</v>
      </c>
      <c r="D2222" s="5">
        <v>229967</v>
      </c>
      <c r="E2222" s="5">
        <v>384</v>
      </c>
      <c r="F2222" s="5">
        <v>9377412</v>
      </c>
      <c r="G2222" s="5">
        <v>0.16698047980797245</v>
      </c>
      <c r="H2222" s="5">
        <v>24420.34375</v>
      </c>
      <c r="I2222" s="5">
        <v>40.777207164506208</v>
      </c>
    </row>
    <row r="2223" spans="1:9" x14ac:dyDescent="0.2">
      <c r="A2223" s="5" t="s">
        <v>95</v>
      </c>
      <c r="B2223" s="5" t="s">
        <v>44</v>
      </c>
      <c r="C2223" s="5" t="s">
        <v>52</v>
      </c>
      <c r="D2223" s="5">
        <v>231679</v>
      </c>
      <c r="E2223" s="5">
        <v>379</v>
      </c>
      <c r="F2223" s="5">
        <v>9950234</v>
      </c>
      <c r="G2223" s="5">
        <v>0.16358841327871754</v>
      </c>
      <c r="H2223" s="5">
        <v>26253.915567282322</v>
      </c>
      <c r="I2223" s="5">
        <v>42.948363900051362</v>
      </c>
    </row>
    <row r="2224" spans="1:9" x14ac:dyDescent="0.2">
      <c r="A2224" s="5" t="s">
        <v>95</v>
      </c>
      <c r="B2224" s="5" t="s">
        <v>44</v>
      </c>
      <c r="C2224" s="5" t="s">
        <v>53</v>
      </c>
      <c r="D2224" s="5">
        <v>233350</v>
      </c>
      <c r="E2224" s="5">
        <v>369</v>
      </c>
      <c r="F2224" s="5">
        <v>9797521</v>
      </c>
      <c r="G2224" s="5">
        <v>0.15813156203128348</v>
      </c>
      <c r="H2224" s="5">
        <v>26551.547425474255</v>
      </c>
      <c r="I2224" s="5">
        <v>41.986376687379476</v>
      </c>
    </row>
    <row r="2225" spans="1:9" x14ac:dyDescent="0.2">
      <c r="A2225" s="5" t="s">
        <v>95</v>
      </c>
      <c r="B2225" s="5" t="s">
        <v>44</v>
      </c>
      <c r="C2225" s="5" t="s">
        <v>54</v>
      </c>
      <c r="D2225" s="5">
        <v>234651</v>
      </c>
      <c r="E2225" s="5">
        <v>377</v>
      </c>
      <c r="F2225" s="5">
        <v>8979597</v>
      </c>
      <c r="G2225" s="5">
        <v>0.16066413524766568</v>
      </c>
      <c r="H2225" s="5">
        <v>23818.559681697614</v>
      </c>
      <c r="I2225" s="5">
        <v>38.267882941048619</v>
      </c>
    </row>
    <row r="2226" spans="1:9" x14ac:dyDescent="0.2">
      <c r="A2226" s="5" t="s">
        <v>95</v>
      </c>
      <c r="B2226" s="5" t="s">
        <v>44</v>
      </c>
      <c r="C2226" s="5" t="s">
        <v>55</v>
      </c>
      <c r="D2226" s="5">
        <v>235895</v>
      </c>
      <c r="E2226" s="5">
        <v>400</v>
      </c>
      <c r="F2226" s="5">
        <v>9255346</v>
      </c>
      <c r="G2226" s="5">
        <v>0.16956696835456453</v>
      </c>
      <c r="H2226" s="5">
        <v>23138.365000000002</v>
      </c>
      <c r="I2226" s="5">
        <v>39.235024057313638</v>
      </c>
    </row>
    <row r="2227" spans="1:9" x14ac:dyDescent="0.2">
      <c r="A2227" s="5" t="s">
        <v>95</v>
      </c>
      <c r="B2227" s="5" t="s">
        <v>44</v>
      </c>
      <c r="C2227" s="5" t="s">
        <v>56</v>
      </c>
      <c r="D2227" s="5">
        <v>236695</v>
      </c>
      <c r="E2227" s="5">
        <v>407</v>
      </c>
      <c r="F2227" s="5">
        <v>8378303</v>
      </c>
      <c r="G2227" s="5">
        <v>0.17195124527345318</v>
      </c>
      <c r="H2227" s="5">
        <v>20585.511056511055</v>
      </c>
      <c r="I2227" s="5">
        <v>35.397042607575152</v>
      </c>
    </row>
    <row r="2228" spans="1:9" x14ac:dyDescent="0.2">
      <c r="A2228" s="5" t="s">
        <v>95</v>
      </c>
      <c r="B2228" s="5" t="s">
        <v>44</v>
      </c>
      <c r="C2228" s="5" t="s">
        <v>57</v>
      </c>
      <c r="D2228" s="5">
        <v>237476</v>
      </c>
      <c r="E2228" s="5">
        <v>415</v>
      </c>
      <c r="F2228" s="5">
        <v>9968721</v>
      </c>
      <c r="G2228" s="5">
        <v>0.17475450150752075</v>
      </c>
      <c r="H2228" s="5">
        <v>24021.014457831327</v>
      </c>
      <c r="I2228" s="5">
        <v>41.977804072832626</v>
      </c>
    </row>
    <row r="2229" spans="1:9" x14ac:dyDescent="0.2">
      <c r="A2229" s="5" t="s">
        <v>95</v>
      </c>
      <c r="B2229" s="5" t="s">
        <v>44</v>
      </c>
      <c r="C2229" s="5" t="s">
        <v>58</v>
      </c>
      <c r="D2229" s="5">
        <v>238184</v>
      </c>
      <c r="E2229" s="5">
        <v>415</v>
      </c>
      <c r="F2229" s="5">
        <v>10293134</v>
      </c>
      <c r="G2229" s="5">
        <v>0.1742350451751587</v>
      </c>
      <c r="H2229" s="5">
        <v>24802.732530120484</v>
      </c>
      <c r="I2229" s="5">
        <v>43.215052228529203</v>
      </c>
    </row>
    <row r="2230" spans="1:9" x14ac:dyDescent="0.2">
      <c r="A2230" s="5" t="s">
        <v>95</v>
      </c>
      <c r="B2230" s="5" t="s">
        <v>44</v>
      </c>
      <c r="C2230" s="5" t="s">
        <v>59</v>
      </c>
      <c r="D2230" s="5">
        <v>238626</v>
      </c>
      <c r="E2230" s="5">
        <v>380</v>
      </c>
      <c r="F2230" s="5">
        <v>10225550</v>
      </c>
      <c r="G2230" s="5">
        <v>0.15924501102143102</v>
      </c>
      <c r="H2230" s="5">
        <v>26909.342105263157</v>
      </c>
      <c r="I2230" s="5">
        <v>42.851784801320896</v>
      </c>
    </row>
    <row r="2231" spans="1:9" x14ac:dyDescent="0.2">
      <c r="A2231" s="5" t="s">
        <v>95</v>
      </c>
      <c r="B2231" s="5" t="s">
        <v>44</v>
      </c>
      <c r="C2231" s="5" t="s">
        <v>60</v>
      </c>
      <c r="D2231" s="5">
        <v>239008</v>
      </c>
      <c r="E2231" s="5">
        <v>381</v>
      </c>
      <c r="F2231" s="5">
        <v>9897758</v>
      </c>
      <c r="G2231" s="5">
        <v>0.15940889007899317</v>
      </c>
      <c r="H2231" s="5">
        <v>25978.36745406824</v>
      </c>
      <c r="I2231" s="5">
        <v>41.411827219172579</v>
      </c>
    </row>
    <row r="2232" spans="1:9" x14ac:dyDescent="0.2">
      <c r="A2232" s="5" t="s">
        <v>95</v>
      </c>
      <c r="B2232" s="5" t="s">
        <v>44</v>
      </c>
      <c r="C2232" s="5" t="s">
        <v>61</v>
      </c>
      <c r="D2232" s="5">
        <v>239088</v>
      </c>
      <c r="E2232" s="5">
        <v>406</v>
      </c>
      <c r="F2232" s="5">
        <v>9352583</v>
      </c>
      <c r="G2232" s="5">
        <v>0.1698119520845881</v>
      </c>
      <c r="H2232" s="5">
        <v>23035.918719211822</v>
      </c>
      <c r="I2232" s="5">
        <v>39.11774325771264</v>
      </c>
    </row>
    <row r="2233" spans="1:9" x14ac:dyDescent="0.2">
      <c r="A2233" s="5" t="s">
        <v>95</v>
      </c>
      <c r="B2233" s="5" t="s">
        <v>44</v>
      </c>
      <c r="C2233" s="5" t="s">
        <v>62</v>
      </c>
      <c r="D2233" s="5">
        <v>239081</v>
      </c>
      <c r="E2233" s="5">
        <v>405</v>
      </c>
      <c r="F2233" s="5">
        <v>9931318</v>
      </c>
      <c r="G2233" s="5">
        <v>0.16939865568572995</v>
      </c>
      <c r="H2233" s="5">
        <v>24521.772839506171</v>
      </c>
      <c r="I2233" s="5">
        <v>41.539553540431903</v>
      </c>
    </row>
    <row r="2234" spans="1:9" x14ac:dyDescent="0.2">
      <c r="A2234" s="5" t="s">
        <v>95</v>
      </c>
      <c r="B2234" s="5" t="s">
        <v>63</v>
      </c>
      <c r="C2234" s="5" t="s">
        <v>45</v>
      </c>
      <c r="D2234" s="5">
        <v>220799</v>
      </c>
      <c r="E2234" s="5">
        <v>7089</v>
      </c>
      <c r="F2234" s="5">
        <v>12222982</v>
      </c>
      <c r="G2234" s="5">
        <v>3.2106123669038356</v>
      </c>
      <c r="H2234" s="5">
        <v>1724.2180843560445</v>
      </c>
      <c r="I2234" s="5">
        <v>55.357959048727572</v>
      </c>
    </row>
    <row r="2235" spans="1:9" x14ac:dyDescent="0.2">
      <c r="A2235" s="5" t="s">
        <v>95</v>
      </c>
      <c r="B2235" s="5" t="s">
        <v>63</v>
      </c>
      <c r="C2235" s="5" t="s">
        <v>46</v>
      </c>
      <c r="D2235" s="5">
        <v>221954</v>
      </c>
      <c r="E2235" s="5">
        <v>6834</v>
      </c>
      <c r="F2235" s="5">
        <v>12195573</v>
      </c>
      <c r="G2235" s="5">
        <v>3.0790163727619237</v>
      </c>
      <c r="H2235" s="5">
        <v>1784.5438981562775</v>
      </c>
      <c r="I2235" s="5">
        <v>54.946398803355649</v>
      </c>
    </row>
    <row r="2236" spans="1:9" x14ac:dyDescent="0.2">
      <c r="A2236" s="5" t="s">
        <v>95</v>
      </c>
      <c r="B2236" s="5" t="s">
        <v>63</v>
      </c>
      <c r="C2236" s="5" t="s">
        <v>47</v>
      </c>
      <c r="D2236" s="5">
        <v>223428</v>
      </c>
      <c r="E2236" s="5">
        <v>6943</v>
      </c>
      <c r="F2236" s="5">
        <v>12513470</v>
      </c>
      <c r="G2236" s="5">
        <v>3.1074887659559232</v>
      </c>
      <c r="H2236" s="5">
        <v>1802.3145614287771</v>
      </c>
      <c r="I2236" s="5">
        <v>56.006722523587015</v>
      </c>
    </row>
    <row r="2237" spans="1:9" x14ac:dyDescent="0.2">
      <c r="A2237" s="5" t="s">
        <v>95</v>
      </c>
      <c r="B2237" s="5" t="s">
        <v>63</v>
      </c>
      <c r="C2237" s="5" t="s">
        <v>48</v>
      </c>
      <c r="D2237" s="5">
        <v>225069</v>
      </c>
      <c r="E2237" s="5">
        <v>7146</v>
      </c>
      <c r="F2237" s="5">
        <v>13111223</v>
      </c>
      <c r="G2237" s="5">
        <v>3.1750263252602533</v>
      </c>
      <c r="H2237" s="5">
        <v>1834.7639238734957</v>
      </c>
      <c r="I2237" s="5">
        <v>58.254237589361487</v>
      </c>
    </row>
    <row r="2238" spans="1:9" x14ac:dyDescent="0.2">
      <c r="A2238" s="5" t="s">
        <v>95</v>
      </c>
      <c r="B2238" s="5" t="s">
        <v>63</v>
      </c>
      <c r="C2238" s="5" t="s">
        <v>49</v>
      </c>
      <c r="D2238" s="5">
        <v>226689</v>
      </c>
      <c r="E2238" s="5">
        <v>7082</v>
      </c>
      <c r="F2238" s="5">
        <v>13168002</v>
      </c>
      <c r="G2238" s="5">
        <v>3.1241039485815367</v>
      </c>
      <c r="H2238" s="5">
        <v>1859.3620446201637</v>
      </c>
      <c r="I2238" s="5">
        <v>58.088403054404935</v>
      </c>
    </row>
    <row r="2239" spans="1:9" x14ac:dyDescent="0.2">
      <c r="A2239" s="5" t="s">
        <v>95</v>
      </c>
      <c r="B2239" s="5" t="s">
        <v>63</v>
      </c>
      <c r="C2239" s="5" t="s">
        <v>50</v>
      </c>
      <c r="D2239" s="5">
        <v>228362</v>
      </c>
      <c r="E2239" s="5">
        <v>7077</v>
      </c>
      <c r="F2239" s="5">
        <v>13399908</v>
      </c>
      <c r="G2239" s="5">
        <v>3.0990269834736077</v>
      </c>
      <c r="H2239" s="5">
        <v>1893.4446799491309</v>
      </c>
      <c r="I2239" s="5">
        <v>58.678361548769061</v>
      </c>
    </row>
    <row r="2240" spans="1:9" x14ac:dyDescent="0.2">
      <c r="A2240" s="5" t="s">
        <v>95</v>
      </c>
      <c r="B2240" s="5" t="s">
        <v>63</v>
      </c>
      <c r="C2240" s="5" t="s">
        <v>51</v>
      </c>
      <c r="D2240" s="5">
        <v>229967</v>
      </c>
      <c r="E2240" s="5">
        <v>7003</v>
      </c>
      <c r="F2240" s="5">
        <v>13384670</v>
      </c>
      <c r="G2240" s="5">
        <v>3.0452195314979975</v>
      </c>
      <c r="H2240" s="5">
        <v>1911.2765957446809</v>
      </c>
      <c r="I2240" s="5">
        <v>58.20256819456705</v>
      </c>
    </row>
    <row r="2241" spans="1:9" x14ac:dyDescent="0.2">
      <c r="A2241" s="5" t="s">
        <v>95</v>
      </c>
      <c r="B2241" s="5" t="s">
        <v>63</v>
      </c>
      <c r="C2241" s="5" t="s">
        <v>52</v>
      </c>
      <c r="D2241" s="5">
        <v>231679</v>
      </c>
      <c r="E2241" s="5">
        <v>6855</v>
      </c>
      <c r="F2241" s="5">
        <v>13268839</v>
      </c>
      <c r="G2241" s="5">
        <v>2.9588352850279915</v>
      </c>
      <c r="H2241" s="5">
        <v>1935.6439095550693</v>
      </c>
      <c r="I2241" s="5">
        <v>57.272514988410691</v>
      </c>
    </row>
    <row r="2242" spans="1:9" x14ac:dyDescent="0.2">
      <c r="A2242" s="5" t="s">
        <v>95</v>
      </c>
      <c r="B2242" s="5" t="s">
        <v>63</v>
      </c>
      <c r="C2242" s="5" t="s">
        <v>53</v>
      </c>
      <c r="D2242" s="5">
        <v>233350</v>
      </c>
      <c r="E2242" s="5">
        <v>6849</v>
      </c>
      <c r="F2242" s="5">
        <v>13234719</v>
      </c>
      <c r="G2242" s="5">
        <v>2.9350760659952861</v>
      </c>
      <c r="H2242" s="5">
        <v>1932.3578624616732</v>
      </c>
      <c r="I2242" s="5">
        <v>56.716173130490681</v>
      </c>
    </row>
    <row r="2243" spans="1:9" x14ac:dyDescent="0.2">
      <c r="A2243" s="5" t="s">
        <v>95</v>
      </c>
      <c r="B2243" s="5" t="s">
        <v>63</v>
      </c>
      <c r="C2243" s="5" t="s">
        <v>54</v>
      </c>
      <c r="D2243" s="5">
        <v>234651</v>
      </c>
      <c r="E2243" s="5">
        <v>7243</v>
      </c>
      <c r="F2243" s="5">
        <v>13755119</v>
      </c>
      <c r="G2243" s="5">
        <v>3.0867117549040914</v>
      </c>
      <c r="H2243" s="5">
        <v>1899.0913985917437</v>
      </c>
      <c r="I2243" s="5">
        <v>58.619477436703868</v>
      </c>
    </row>
    <row r="2244" spans="1:9" x14ac:dyDescent="0.2">
      <c r="A2244" s="5" t="s">
        <v>95</v>
      </c>
      <c r="B2244" s="5" t="s">
        <v>63</v>
      </c>
      <c r="C2244" s="5" t="s">
        <v>55</v>
      </c>
      <c r="D2244" s="5">
        <v>235895</v>
      </c>
      <c r="E2244" s="5">
        <v>7251</v>
      </c>
      <c r="F2244" s="5">
        <v>13917362</v>
      </c>
      <c r="G2244" s="5">
        <v>3.0738252188473685</v>
      </c>
      <c r="H2244" s="5">
        <v>1919.3713970486829</v>
      </c>
      <c r="I2244" s="5">
        <v>58.998122045825475</v>
      </c>
    </row>
    <row r="2245" spans="1:9" x14ac:dyDescent="0.2">
      <c r="A2245" s="5" t="s">
        <v>95</v>
      </c>
      <c r="B2245" s="5" t="s">
        <v>63</v>
      </c>
      <c r="C2245" s="5" t="s">
        <v>56</v>
      </c>
      <c r="D2245" s="5">
        <v>236695</v>
      </c>
      <c r="E2245" s="5">
        <v>7209</v>
      </c>
      <c r="F2245" s="5">
        <v>13856700</v>
      </c>
      <c r="G2245" s="5">
        <v>3.0456917129639409</v>
      </c>
      <c r="H2245" s="5">
        <v>1922.1389929255097</v>
      </c>
      <c r="I2245" s="5">
        <v>58.542428019180804</v>
      </c>
    </row>
    <row r="2246" spans="1:9" x14ac:dyDescent="0.2">
      <c r="A2246" s="5" t="s">
        <v>95</v>
      </c>
      <c r="B2246" s="5" t="s">
        <v>63</v>
      </c>
      <c r="C2246" s="5" t="s">
        <v>57</v>
      </c>
      <c r="D2246" s="5">
        <v>237476</v>
      </c>
      <c r="E2246" s="5">
        <v>7087</v>
      </c>
      <c r="F2246" s="5">
        <v>13735791</v>
      </c>
      <c r="G2246" s="5">
        <v>2.9843015715272281</v>
      </c>
      <c r="H2246" s="5">
        <v>1938.1672075631438</v>
      </c>
      <c r="I2246" s="5">
        <v>57.840754434132293</v>
      </c>
    </row>
    <row r="2247" spans="1:9" x14ac:dyDescent="0.2">
      <c r="A2247" s="5" t="s">
        <v>95</v>
      </c>
      <c r="B2247" s="5" t="s">
        <v>63</v>
      </c>
      <c r="C2247" s="5" t="s">
        <v>58</v>
      </c>
      <c r="D2247" s="5">
        <v>238184</v>
      </c>
      <c r="E2247" s="5">
        <v>6670</v>
      </c>
      <c r="F2247" s="5">
        <v>13402383</v>
      </c>
      <c r="G2247" s="5">
        <v>2.8003560272730326</v>
      </c>
      <c r="H2247" s="5">
        <v>2009.3527736131934</v>
      </c>
      <c r="I2247" s="5">
        <v>56.269031505054919</v>
      </c>
    </row>
    <row r="2248" spans="1:9" x14ac:dyDescent="0.2">
      <c r="A2248" s="5" t="s">
        <v>95</v>
      </c>
      <c r="B2248" s="5" t="s">
        <v>63</v>
      </c>
      <c r="C2248" s="5" t="s">
        <v>59</v>
      </c>
      <c r="D2248" s="5">
        <v>238626</v>
      </c>
      <c r="E2248" s="5">
        <v>6601</v>
      </c>
      <c r="F2248" s="5">
        <v>13300409</v>
      </c>
      <c r="G2248" s="5">
        <v>2.7662534677696478</v>
      </c>
      <c r="H2248" s="5">
        <v>2014.90819572792</v>
      </c>
      <c r="I2248" s="5">
        <v>55.737467836698428</v>
      </c>
    </row>
    <row r="2249" spans="1:9" x14ac:dyDescent="0.2">
      <c r="A2249" s="5" t="s">
        <v>95</v>
      </c>
      <c r="B2249" s="5" t="s">
        <v>63</v>
      </c>
      <c r="C2249" s="5" t="s">
        <v>60</v>
      </c>
      <c r="D2249" s="5">
        <v>239008</v>
      </c>
      <c r="E2249" s="5">
        <v>6534</v>
      </c>
      <c r="F2249" s="5">
        <v>13138719</v>
      </c>
      <c r="G2249" s="5">
        <v>2.73379970544919</v>
      </c>
      <c r="H2249" s="5">
        <v>2010.8232323232323</v>
      </c>
      <c r="I2249" s="5">
        <v>54.97187960235641</v>
      </c>
    </row>
    <row r="2250" spans="1:9" x14ac:dyDescent="0.2">
      <c r="A2250" s="5" t="s">
        <v>95</v>
      </c>
      <c r="B2250" s="5" t="s">
        <v>63</v>
      </c>
      <c r="C2250" s="5" t="s">
        <v>61</v>
      </c>
      <c r="D2250" s="5">
        <v>239088</v>
      </c>
      <c r="E2250" s="5">
        <v>6617</v>
      </c>
      <c r="F2250" s="5">
        <v>13457274</v>
      </c>
      <c r="G2250" s="5">
        <v>2.7676002141470923</v>
      </c>
      <c r="H2250" s="5">
        <v>2033.7424814870787</v>
      </c>
      <c r="I2250" s="5">
        <v>56.285861272836783</v>
      </c>
    </row>
    <row r="2251" spans="1:9" x14ac:dyDescent="0.2">
      <c r="A2251" s="5" t="s">
        <v>95</v>
      </c>
      <c r="B2251" s="5" t="s">
        <v>63</v>
      </c>
      <c r="C2251" s="5" t="s">
        <v>62</v>
      </c>
      <c r="D2251" s="5">
        <v>239081</v>
      </c>
      <c r="E2251" s="5">
        <v>6517</v>
      </c>
      <c r="F2251" s="5">
        <v>13216640</v>
      </c>
      <c r="G2251" s="5">
        <v>2.7258544175404986</v>
      </c>
      <c r="H2251" s="5">
        <v>2028.0251649531992</v>
      </c>
      <c r="I2251" s="5">
        <v>55.281013547709769</v>
      </c>
    </row>
    <row r="2252" spans="1:9" x14ac:dyDescent="0.2">
      <c r="A2252" s="5" t="s">
        <v>95</v>
      </c>
      <c r="B2252" s="5" t="s">
        <v>73</v>
      </c>
      <c r="C2252" s="5" t="s">
        <v>45</v>
      </c>
      <c r="D2252" s="5">
        <v>220799</v>
      </c>
      <c r="E2252" s="5">
        <v>2103</v>
      </c>
      <c r="F2252" s="5">
        <v>6435908</v>
      </c>
      <c r="G2252" s="5">
        <v>0.95244996580600461</v>
      </c>
      <c r="H2252" s="5">
        <v>3060.346172135045</v>
      </c>
      <c r="I2252" s="5">
        <v>29.148266070045608</v>
      </c>
    </row>
    <row r="2253" spans="1:9" x14ac:dyDescent="0.2">
      <c r="A2253" s="5" t="s">
        <v>95</v>
      </c>
      <c r="B2253" s="5" t="s">
        <v>73</v>
      </c>
      <c r="C2253" s="5" t="s">
        <v>46</v>
      </c>
      <c r="D2253" s="5">
        <v>221954</v>
      </c>
      <c r="E2253" s="5">
        <v>2135</v>
      </c>
      <c r="F2253" s="5">
        <v>5945481</v>
      </c>
      <c r="G2253" s="5">
        <v>0.9619110266091172</v>
      </c>
      <c r="H2253" s="5">
        <v>2784.768618266979</v>
      </c>
      <c r="I2253" s="5">
        <v>26.786996404660425</v>
      </c>
    </row>
    <row r="2254" spans="1:9" x14ac:dyDescent="0.2">
      <c r="A2254" s="5" t="s">
        <v>95</v>
      </c>
      <c r="B2254" s="5" t="s">
        <v>73</v>
      </c>
      <c r="C2254" s="5" t="s">
        <v>47</v>
      </c>
      <c r="D2254" s="5">
        <v>223428</v>
      </c>
      <c r="E2254" s="5">
        <v>2083</v>
      </c>
      <c r="F2254" s="5">
        <v>6097430</v>
      </c>
      <c r="G2254" s="5">
        <v>0.93229138693449343</v>
      </c>
      <c r="H2254" s="5">
        <v>2927.2347575612098</v>
      </c>
      <c r="I2254" s="5">
        <v>27.290357520095959</v>
      </c>
    </row>
    <row r="2255" spans="1:9" x14ac:dyDescent="0.2">
      <c r="A2255" s="5" t="s">
        <v>95</v>
      </c>
      <c r="B2255" s="5" t="s">
        <v>73</v>
      </c>
      <c r="C2255" s="5" t="s">
        <v>48</v>
      </c>
      <c r="D2255" s="5">
        <v>225069</v>
      </c>
      <c r="E2255" s="5">
        <v>2222</v>
      </c>
      <c r="F2255" s="5">
        <v>6677724</v>
      </c>
      <c r="G2255" s="5">
        <v>0.98725279803082611</v>
      </c>
      <c r="H2255" s="5">
        <v>3005.2763276327632</v>
      </c>
      <c r="I2255" s="5">
        <v>29.669674633112511</v>
      </c>
    </row>
    <row r="2256" spans="1:9" x14ac:dyDescent="0.2">
      <c r="A2256" s="5" t="s">
        <v>95</v>
      </c>
      <c r="B2256" s="5" t="s">
        <v>73</v>
      </c>
      <c r="C2256" s="5" t="s">
        <v>49</v>
      </c>
      <c r="D2256" s="5">
        <v>226689</v>
      </c>
      <c r="E2256" s="5">
        <v>2285</v>
      </c>
      <c r="F2256" s="5">
        <v>6876910</v>
      </c>
      <c r="G2256" s="5">
        <v>1.0079889187388891</v>
      </c>
      <c r="H2256" s="5">
        <v>3009.5886214442012</v>
      </c>
      <c r="I2256" s="5">
        <v>30.33631980378404</v>
      </c>
    </row>
    <row r="2257" spans="1:9" x14ac:dyDescent="0.2">
      <c r="A2257" s="5" t="s">
        <v>95</v>
      </c>
      <c r="B2257" s="5" t="s">
        <v>73</v>
      </c>
      <c r="C2257" s="5" t="s">
        <v>50</v>
      </c>
      <c r="D2257" s="5">
        <v>228362</v>
      </c>
      <c r="E2257" s="5">
        <v>2234</v>
      </c>
      <c r="F2257" s="5">
        <v>7401576</v>
      </c>
      <c r="G2257" s="5">
        <v>0.97827134111629777</v>
      </c>
      <c r="H2257" s="5">
        <v>3313.1495076096689</v>
      </c>
      <c r="I2257" s="5">
        <v>32.411592121281124</v>
      </c>
    </row>
    <row r="2258" spans="1:9" x14ac:dyDescent="0.2">
      <c r="A2258" s="5" t="s">
        <v>95</v>
      </c>
      <c r="B2258" s="5" t="s">
        <v>73</v>
      </c>
      <c r="C2258" s="5" t="s">
        <v>51</v>
      </c>
      <c r="D2258" s="5">
        <v>229967</v>
      </c>
      <c r="E2258" s="5">
        <v>2303</v>
      </c>
      <c r="F2258" s="5">
        <v>8582010</v>
      </c>
      <c r="G2258" s="5">
        <v>1.0014480338483347</v>
      </c>
      <c r="H2258" s="5">
        <v>3726.4481111593573</v>
      </c>
      <c r="I2258" s="5">
        <v>37.318441341583792</v>
      </c>
    </row>
    <row r="2259" spans="1:9" x14ac:dyDescent="0.2">
      <c r="A2259" s="5" t="s">
        <v>95</v>
      </c>
      <c r="B2259" s="5" t="s">
        <v>73</v>
      </c>
      <c r="C2259" s="5" t="s">
        <v>52</v>
      </c>
      <c r="D2259" s="5">
        <v>231679</v>
      </c>
      <c r="E2259" s="5">
        <v>2300</v>
      </c>
      <c r="F2259" s="5">
        <v>8933179</v>
      </c>
      <c r="G2259" s="5">
        <v>0.99275290380224357</v>
      </c>
      <c r="H2259" s="5">
        <v>3883.9908695652175</v>
      </c>
      <c r="I2259" s="5">
        <v>38.558432141022706</v>
      </c>
    </row>
    <row r="2260" spans="1:9" x14ac:dyDescent="0.2">
      <c r="A2260" s="5" t="s">
        <v>95</v>
      </c>
      <c r="B2260" s="5" t="s">
        <v>73</v>
      </c>
      <c r="C2260" s="5" t="s">
        <v>53</v>
      </c>
      <c r="D2260" s="5">
        <v>233350</v>
      </c>
      <c r="E2260" s="5">
        <v>2263</v>
      </c>
      <c r="F2260" s="5">
        <v>9265040</v>
      </c>
      <c r="G2260" s="5">
        <v>0.9697878722948361</v>
      </c>
      <c r="H2260" s="5">
        <v>4094.1405214317278</v>
      </c>
      <c r="I2260" s="5">
        <v>39.704478251553461</v>
      </c>
    </row>
    <row r="2261" spans="1:9" x14ac:dyDescent="0.2">
      <c r="A2261" s="5" t="s">
        <v>95</v>
      </c>
      <c r="B2261" s="5" t="s">
        <v>73</v>
      </c>
      <c r="C2261" s="5" t="s">
        <v>54</v>
      </c>
      <c r="D2261" s="5">
        <v>234651</v>
      </c>
      <c r="E2261" s="5">
        <v>2389</v>
      </c>
      <c r="F2261" s="5">
        <v>9565065</v>
      </c>
      <c r="G2261" s="5">
        <v>1.0181077429885235</v>
      </c>
      <c r="H2261" s="5">
        <v>4003.7944746755966</v>
      </c>
      <c r="I2261" s="5">
        <v>40.762941560018923</v>
      </c>
    </row>
    <row r="2262" spans="1:9" x14ac:dyDescent="0.2">
      <c r="A2262" s="5" t="s">
        <v>95</v>
      </c>
      <c r="B2262" s="5" t="s">
        <v>73</v>
      </c>
      <c r="C2262" s="5" t="s">
        <v>55</v>
      </c>
      <c r="D2262" s="5">
        <v>235895</v>
      </c>
      <c r="E2262" s="5">
        <v>2416</v>
      </c>
      <c r="F2262" s="5">
        <v>9289634</v>
      </c>
      <c r="G2262" s="5">
        <v>1.0241844888615699</v>
      </c>
      <c r="H2262" s="5">
        <v>3845.0471854304637</v>
      </c>
      <c r="I2262" s="5">
        <v>39.38037686258717</v>
      </c>
    </row>
    <row r="2263" spans="1:9" x14ac:dyDescent="0.2">
      <c r="A2263" s="5" t="s">
        <v>95</v>
      </c>
      <c r="B2263" s="5" t="s">
        <v>73</v>
      </c>
      <c r="C2263" s="5" t="s">
        <v>56</v>
      </c>
      <c r="D2263" s="5">
        <v>236695</v>
      </c>
      <c r="E2263" s="5">
        <v>2378</v>
      </c>
      <c r="F2263" s="5">
        <v>9151461</v>
      </c>
      <c r="G2263" s="5">
        <v>1.0046684551849427</v>
      </c>
      <c r="H2263" s="5">
        <v>3848.3856181665265</v>
      </c>
      <c r="I2263" s="5">
        <v>38.663516339593144</v>
      </c>
    </row>
    <row r="2264" spans="1:9" x14ac:dyDescent="0.2">
      <c r="A2264" s="5" t="s">
        <v>95</v>
      </c>
      <c r="B2264" s="5" t="s">
        <v>73</v>
      </c>
      <c r="C2264" s="5" t="s">
        <v>57</v>
      </c>
      <c r="D2264" s="5">
        <v>237476</v>
      </c>
      <c r="E2264" s="5">
        <v>2355</v>
      </c>
      <c r="F2264" s="5">
        <v>9368303</v>
      </c>
      <c r="G2264" s="5">
        <v>0.99167915915713589</v>
      </c>
      <c r="H2264" s="5">
        <v>3978.047983014862</v>
      </c>
      <c r="I2264" s="5">
        <v>39.449472788829183</v>
      </c>
    </row>
    <row r="2265" spans="1:9" x14ac:dyDescent="0.2">
      <c r="A2265" s="5" t="s">
        <v>95</v>
      </c>
      <c r="B2265" s="5" t="s">
        <v>73</v>
      </c>
      <c r="C2265" s="5" t="s">
        <v>58</v>
      </c>
      <c r="D2265" s="5">
        <v>238184</v>
      </c>
      <c r="E2265" s="5">
        <v>2253</v>
      </c>
      <c r="F2265" s="5">
        <v>9138528</v>
      </c>
      <c r="G2265" s="5">
        <v>0.94590736573405432</v>
      </c>
      <c r="H2265" s="5">
        <v>4056.1597869507323</v>
      </c>
      <c r="I2265" s="5">
        <v>38.367514190709706</v>
      </c>
    </row>
    <row r="2266" spans="1:9" x14ac:dyDescent="0.2">
      <c r="A2266" s="5" t="s">
        <v>95</v>
      </c>
      <c r="B2266" s="5" t="s">
        <v>73</v>
      </c>
      <c r="C2266" s="5" t="s">
        <v>59</v>
      </c>
      <c r="D2266" s="5">
        <v>238626</v>
      </c>
      <c r="E2266" s="5">
        <v>2162</v>
      </c>
      <c r="F2266" s="5">
        <v>8766312</v>
      </c>
      <c r="G2266" s="5">
        <v>0.90602029954824703</v>
      </c>
      <c r="H2266" s="5">
        <v>4054.7234042553191</v>
      </c>
      <c r="I2266" s="5">
        <v>36.736617133086924</v>
      </c>
    </row>
    <row r="2267" spans="1:9" x14ac:dyDescent="0.2">
      <c r="A2267" s="5" t="s">
        <v>95</v>
      </c>
      <c r="B2267" s="5" t="s">
        <v>73</v>
      </c>
      <c r="C2267" s="5" t="s">
        <v>60</v>
      </c>
      <c r="D2267" s="5">
        <v>239008</v>
      </c>
      <c r="E2267" s="5">
        <v>2063</v>
      </c>
      <c r="F2267" s="5">
        <v>8980763</v>
      </c>
      <c r="G2267" s="5">
        <v>0.86315102423349843</v>
      </c>
      <c r="H2267" s="5">
        <v>4353.2539990305377</v>
      </c>
      <c r="I2267" s="5">
        <v>37.575156480117819</v>
      </c>
    </row>
    <row r="2268" spans="1:9" x14ac:dyDescent="0.2">
      <c r="A2268" s="5" t="s">
        <v>95</v>
      </c>
      <c r="B2268" s="5" t="s">
        <v>73</v>
      </c>
      <c r="C2268" s="5" t="s">
        <v>61</v>
      </c>
      <c r="D2268" s="5">
        <v>239088</v>
      </c>
      <c r="E2268" s="5">
        <v>1998</v>
      </c>
      <c r="F2268" s="5">
        <v>8273978</v>
      </c>
      <c r="G2268" s="5">
        <v>0.83567556715518976</v>
      </c>
      <c r="H2268" s="5">
        <v>4141.1301301301301</v>
      </c>
      <c r="I2268" s="5">
        <v>34.60641270159941</v>
      </c>
    </row>
    <row r="2269" spans="1:9" x14ac:dyDescent="0.2">
      <c r="A2269" s="5" t="s">
        <v>95</v>
      </c>
      <c r="B2269" s="5" t="s">
        <v>73</v>
      </c>
      <c r="C2269" s="5" t="s">
        <v>62</v>
      </c>
      <c r="D2269" s="5">
        <v>239081</v>
      </c>
      <c r="E2269" s="5">
        <v>1888</v>
      </c>
      <c r="F2269" s="5">
        <v>7829098</v>
      </c>
      <c r="G2269" s="5">
        <v>0.7896905232954522</v>
      </c>
      <c r="H2269" s="5">
        <v>4146.7680084745762</v>
      </c>
      <c r="I2269" s="5">
        <v>32.746633985971279</v>
      </c>
    </row>
    <row r="2270" spans="1:9" x14ac:dyDescent="0.2">
      <c r="A2270" s="5" t="s">
        <v>95</v>
      </c>
      <c r="B2270" s="5" t="s">
        <v>64</v>
      </c>
      <c r="C2270" s="5" t="s">
        <v>45</v>
      </c>
      <c r="D2270" s="5">
        <v>170910</v>
      </c>
      <c r="E2270" s="5">
        <v>38592</v>
      </c>
      <c r="F2270" s="5">
        <v>60114538</v>
      </c>
      <c r="G2270" s="5">
        <v>22.580305423907319</v>
      </c>
      <c r="H2270" s="5">
        <v>1557.6942889718077</v>
      </c>
      <c r="I2270" s="5">
        <v>351.73212802059561</v>
      </c>
    </row>
    <row r="2271" spans="1:9" x14ac:dyDescent="0.2">
      <c r="A2271" s="5" t="s">
        <v>95</v>
      </c>
      <c r="B2271" s="5" t="s">
        <v>64</v>
      </c>
      <c r="C2271" s="5" t="s">
        <v>46</v>
      </c>
      <c r="D2271" s="5">
        <v>171283</v>
      </c>
      <c r="E2271" s="5">
        <v>39087</v>
      </c>
      <c r="F2271" s="5">
        <v>60957554</v>
      </c>
      <c r="G2271" s="5">
        <v>22.820128092104881</v>
      </c>
      <c r="H2271" s="5">
        <v>1559.5352418962827</v>
      </c>
      <c r="I2271" s="5">
        <v>355.88793984224935</v>
      </c>
    </row>
    <row r="2272" spans="1:9" x14ac:dyDescent="0.2">
      <c r="A2272" s="5" t="s">
        <v>95</v>
      </c>
      <c r="B2272" s="5" t="s">
        <v>64</v>
      </c>
      <c r="C2272" s="5" t="s">
        <v>47</v>
      </c>
      <c r="D2272" s="5">
        <v>171997</v>
      </c>
      <c r="E2272" s="5">
        <v>31281</v>
      </c>
      <c r="F2272" s="5">
        <v>39898589</v>
      </c>
      <c r="G2272" s="5">
        <v>18.186945121135835</v>
      </c>
      <c r="H2272" s="5">
        <v>1275.4895623541447</v>
      </c>
      <c r="I2272" s="5">
        <v>231.97258673116391</v>
      </c>
    </row>
    <row r="2273" spans="1:9" x14ac:dyDescent="0.2">
      <c r="A2273" s="5" t="s">
        <v>95</v>
      </c>
      <c r="B2273" s="5" t="s">
        <v>64</v>
      </c>
      <c r="C2273" s="5" t="s">
        <v>48</v>
      </c>
      <c r="D2273" s="5">
        <v>173563</v>
      </c>
      <c r="E2273" s="5">
        <v>24718</v>
      </c>
      <c r="F2273" s="5">
        <v>21658211</v>
      </c>
      <c r="G2273" s="5">
        <v>14.241514608528316</v>
      </c>
      <c r="H2273" s="5">
        <v>876.21211263047167</v>
      </c>
      <c r="I2273" s="5">
        <v>124.7858760219632</v>
      </c>
    </row>
    <row r="2274" spans="1:9" x14ac:dyDescent="0.2">
      <c r="A2274" s="5" t="s">
        <v>95</v>
      </c>
      <c r="B2274" s="5" t="s">
        <v>64</v>
      </c>
      <c r="C2274" s="5" t="s">
        <v>49</v>
      </c>
      <c r="D2274" s="5">
        <v>175293</v>
      </c>
      <c r="E2274" s="5">
        <v>24996</v>
      </c>
      <c r="F2274" s="5">
        <v>21548864</v>
      </c>
      <c r="G2274" s="5">
        <v>14.259554003867811</v>
      </c>
      <c r="H2274" s="5">
        <v>862.09249479916787</v>
      </c>
      <c r="I2274" s="5">
        <v>122.93054485917864</v>
      </c>
    </row>
    <row r="2275" spans="1:9" x14ac:dyDescent="0.2">
      <c r="A2275" s="5" t="s">
        <v>95</v>
      </c>
      <c r="B2275" s="5" t="s">
        <v>64</v>
      </c>
      <c r="C2275" s="5" t="s">
        <v>50</v>
      </c>
      <c r="D2275" s="5">
        <v>177222</v>
      </c>
      <c r="E2275" s="5">
        <v>24247</v>
      </c>
      <c r="F2275" s="5">
        <v>20530621</v>
      </c>
      <c r="G2275" s="5">
        <v>13.681709945717801</v>
      </c>
      <c r="H2275" s="5">
        <v>846.72829628407635</v>
      </c>
      <c r="I2275" s="5">
        <v>115.84690952590536</v>
      </c>
    </row>
    <row r="2276" spans="1:9" x14ac:dyDescent="0.2">
      <c r="A2276" s="5" t="s">
        <v>95</v>
      </c>
      <c r="B2276" s="5" t="s">
        <v>64</v>
      </c>
      <c r="C2276" s="5" t="s">
        <v>51</v>
      </c>
      <c r="D2276" s="5">
        <v>178905</v>
      </c>
      <c r="E2276" s="5">
        <v>23305</v>
      </c>
      <c r="F2276" s="5">
        <v>18672077</v>
      </c>
      <c r="G2276" s="5">
        <v>13.026466560465051</v>
      </c>
      <c r="H2276" s="5">
        <v>801.20476292641069</v>
      </c>
      <c r="I2276" s="5">
        <v>104.36867052346217</v>
      </c>
    </row>
    <row r="2277" spans="1:9" x14ac:dyDescent="0.2">
      <c r="A2277" s="5" t="s">
        <v>95</v>
      </c>
      <c r="B2277" s="5" t="s">
        <v>64</v>
      </c>
      <c r="C2277" s="5" t="s">
        <v>52</v>
      </c>
      <c r="D2277" s="5">
        <v>180461</v>
      </c>
      <c r="E2277" s="5">
        <v>21358</v>
      </c>
      <c r="F2277" s="5">
        <v>15583303</v>
      </c>
      <c r="G2277" s="5">
        <v>11.835244180182976</v>
      </c>
      <c r="H2277" s="5">
        <v>729.62370072104125</v>
      </c>
      <c r="I2277" s="5">
        <v>86.352746576822696</v>
      </c>
    </row>
    <row r="2278" spans="1:9" x14ac:dyDescent="0.2">
      <c r="A2278" s="5" t="s">
        <v>95</v>
      </c>
      <c r="B2278" s="5" t="s">
        <v>64</v>
      </c>
      <c r="C2278" s="5" t="s">
        <v>53</v>
      </c>
      <c r="D2278" s="5">
        <v>181752</v>
      </c>
      <c r="E2278" s="5">
        <v>20544</v>
      </c>
      <c r="F2278" s="5">
        <v>14888774</v>
      </c>
      <c r="G2278" s="5">
        <v>11.303314406443945</v>
      </c>
      <c r="H2278" s="5">
        <v>724.72614875389411</v>
      </c>
      <c r="I2278" s="5">
        <v>81.918075179365289</v>
      </c>
    </row>
    <row r="2279" spans="1:9" x14ac:dyDescent="0.2">
      <c r="A2279" s="5" t="s">
        <v>95</v>
      </c>
      <c r="B2279" s="5" t="s">
        <v>64</v>
      </c>
      <c r="C2279" s="5" t="s">
        <v>54</v>
      </c>
      <c r="D2279" s="5">
        <v>182522</v>
      </c>
      <c r="E2279" s="5">
        <v>20370</v>
      </c>
      <c r="F2279" s="5">
        <v>14974805</v>
      </c>
      <c r="G2279" s="5">
        <v>11.160298484566244</v>
      </c>
      <c r="H2279" s="5">
        <v>735.14015709376531</v>
      </c>
      <c r="I2279" s="5">
        <v>82.043835811573402</v>
      </c>
    </row>
    <row r="2280" spans="1:9" x14ac:dyDescent="0.2">
      <c r="A2280" s="5" t="s">
        <v>95</v>
      </c>
      <c r="B2280" s="5" t="s">
        <v>64</v>
      </c>
      <c r="C2280" s="5" t="s">
        <v>55</v>
      </c>
      <c r="D2280" s="5">
        <v>183023</v>
      </c>
      <c r="E2280" s="5">
        <v>20657</v>
      </c>
      <c r="F2280" s="5">
        <v>15515940</v>
      </c>
      <c r="G2280" s="5">
        <v>11.28655961272627</v>
      </c>
      <c r="H2280" s="5">
        <v>751.12262187152055</v>
      </c>
      <c r="I2280" s="5">
        <v>84.775902482201687</v>
      </c>
    </row>
    <row r="2281" spans="1:9" x14ac:dyDescent="0.2">
      <c r="A2281" s="5" t="s">
        <v>95</v>
      </c>
      <c r="B2281" s="5" t="s">
        <v>64</v>
      </c>
      <c r="C2281" s="5" t="s">
        <v>56</v>
      </c>
      <c r="D2281" s="5">
        <v>183064</v>
      </c>
      <c r="E2281" s="5">
        <v>20454</v>
      </c>
      <c r="F2281" s="5">
        <v>15393084</v>
      </c>
      <c r="G2281" s="5">
        <v>11.173141633527072</v>
      </c>
      <c r="H2281" s="5">
        <v>752.57084188911699</v>
      </c>
      <c r="I2281" s="5">
        <v>84.085806056898136</v>
      </c>
    </row>
    <row r="2282" spans="1:9" x14ac:dyDescent="0.2">
      <c r="A2282" s="5" t="s">
        <v>95</v>
      </c>
      <c r="B2282" s="5" t="s">
        <v>64</v>
      </c>
      <c r="C2282" s="5" t="s">
        <v>57</v>
      </c>
      <c r="D2282" s="5">
        <v>183000</v>
      </c>
      <c r="E2282" s="5">
        <v>20441</v>
      </c>
      <c r="F2282" s="5">
        <v>15784300</v>
      </c>
      <c r="G2282" s="5">
        <v>11.169945355191256</v>
      </c>
      <c r="H2282" s="5">
        <v>772.18824910718649</v>
      </c>
      <c r="I2282" s="5">
        <v>86.253005464480879</v>
      </c>
    </row>
    <row r="2283" spans="1:9" x14ac:dyDescent="0.2">
      <c r="A2283" s="5" t="s">
        <v>95</v>
      </c>
      <c r="B2283" s="5" t="s">
        <v>64</v>
      </c>
      <c r="C2283" s="5" t="s">
        <v>58</v>
      </c>
      <c r="D2283" s="5">
        <v>183019</v>
      </c>
      <c r="E2283" s="5">
        <v>20089</v>
      </c>
      <c r="F2283" s="5">
        <v>15526914</v>
      </c>
      <c r="G2283" s="5">
        <v>10.976455996371961</v>
      </c>
      <c r="H2283" s="5">
        <v>772.90626711135451</v>
      </c>
      <c r="I2283" s="5">
        <v>84.837716302678956</v>
      </c>
    </row>
    <row r="2284" spans="1:9" x14ac:dyDescent="0.2">
      <c r="A2284" s="5" t="s">
        <v>95</v>
      </c>
      <c r="B2284" s="5" t="s">
        <v>64</v>
      </c>
      <c r="C2284" s="5" t="s">
        <v>59</v>
      </c>
      <c r="D2284" s="5">
        <v>183035</v>
      </c>
      <c r="E2284" s="5">
        <v>19701</v>
      </c>
      <c r="F2284" s="5">
        <v>15805922</v>
      </c>
      <c r="G2284" s="5">
        <v>10.763515174693365</v>
      </c>
      <c r="H2284" s="5">
        <v>802.29034059184812</v>
      </c>
      <c r="I2284" s="5">
        <v>86.35464255470265</v>
      </c>
    </row>
    <row r="2285" spans="1:9" x14ac:dyDescent="0.2">
      <c r="A2285" s="5" t="s">
        <v>95</v>
      </c>
      <c r="B2285" s="5" t="s">
        <v>64</v>
      </c>
      <c r="C2285" s="5" t="s">
        <v>60</v>
      </c>
      <c r="D2285" s="5">
        <v>182944</v>
      </c>
      <c r="E2285" s="5">
        <v>25895</v>
      </c>
      <c r="F2285" s="5">
        <v>35825240</v>
      </c>
      <c r="G2285" s="5">
        <v>14.154604687773308</v>
      </c>
      <c r="H2285" s="5">
        <v>1383.4809808843406</v>
      </c>
      <c r="I2285" s="5">
        <v>195.826263774707</v>
      </c>
    </row>
    <row r="2286" spans="1:9" x14ac:dyDescent="0.2">
      <c r="A2286" s="5" t="s">
        <v>95</v>
      </c>
      <c r="B2286" s="5" t="s">
        <v>64</v>
      </c>
      <c r="C2286" s="5" t="s">
        <v>61</v>
      </c>
      <c r="D2286" s="5">
        <v>182533</v>
      </c>
      <c r="E2286" s="5">
        <v>25423</v>
      </c>
      <c r="F2286" s="5">
        <v>35788980</v>
      </c>
      <c r="G2286" s="5">
        <v>13.927892490672919</v>
      </c>
      <c r="H2286" s="5">
        <v>1407.7402352200763</v>
      </c>
      <c r="I2286" s="5">
        <v>196.06854650939829</v>
      </c>
    </row>
    <row r="2287" spans="1:9" x14ac:dyDescent="0.2">
      <c r="A2287" s="5" t="s">
        <v>95</v>
      </c>
      <c r="B2287" s="5" t="s">
        <v>64</v>
      </c>
      <c r="C2287" s="5" t="s">
        <v>62</v>
      </c>
      <c r="D2287" s="5">
        <v>181961</v>
      </c>
      <c r="E2287" s="5">
        <v>25200</v>
      </c>
      <c r="F2287" s="5">
        <v>35916038</v>
      </c>
      <c r="G2287" s="5">
        <v>13.849121515049928</v>
      </c>
      <c r="H2287" s="5">
        <v>1425.2396031746032</v>
      </c>
      <c r="I2287" s="5">
        <v>197.38316452426619</v>
      </c>
    </row>
    <row r="2288" spans="1:9" x14ac:dyDescent="0.2">
      <c r="A2288" s="5" t="s">
        <v>95</v>
      </c>
      <c r="B2288" s="5" t="s">
        <v>65</v>
      </c>
      <c r="C2288" s="5" t="s">
        <v>45</v>
      </c>
      <c r="D2288" s="5">
        <v>162183</v>
      </c>
      <c r="E2288" s="5">
        <v>8914</v>
      </c>
      <c r="F2288" s="5">
        <v>17127743</v>
      </c>
      <c r="G2288" s="5">
        <v>5.4962603972056261</v>
      </c>
      <c r="H2288" s="5">
        <v>1921.4430109939422</v>
      </c>
      <c r="I2288" s="5">
        <v>105.60751126813538</v>
      </c>
    </row>
    <row r="2289" spans="1:9" x14ac:dyDescent="0.2">
      <c r="A2289" s="5" t="s">
        <v>95</v>
      </c>
      <c r="B2289" s="5" t="s">
        <v>65</v>
      </c>
      <c r="C2289" s="5" t="s">
        <v>46</v>
      </c>
      <c r="D2289" s="5">
        <v>162817</v>
      </c>
      <c r="E2289" s="5">
        <v>8518</v>
      </c>
      <c r="F2289" s="5">
        <v>16279233</v>
      </c>
      <c r="G2289" s="5">
        <v>5.231640430667559</v>
      </c>
      <c r="H2289" s="5">
        <v>1911.1567269312045</v>
      </c>
      <c r="I2289" s="5">
        <v>99.984848019555699</v>
      </c>
    </row>
    <row r="2290" spans="1:9" x14ac:dyDescent="0.2">
      <c r="A2290" s="5" t="s">
        <v>95</v>
      </c>
      <c r="B2290" s="5" t="s">
        <v>65</v>
      </c>
      <c r="C2290" s="5" t="s">
        <v>47</v>
      </c>
      <c r="D2290" s="5">
        <v>163831</v>
      </c>
      <c r="E2290" s="5">
        <v>8537</v>
      </c>
      <c r="F2290" s="5">
        <v>16664416</v>
      </c>
      <c r="G2290" s="5">
        <v>5.2108575300156872</v>
      </c>
      <c r="H2290" s="5">
        <v>1952.0224903361836</v>
      </c>
      <c r="I2290" s="5">
        <v>101.71711092528277</v>
      </c>
    </row>
    <row r="2291" spans="1:9" x14ac:dyDescent="0.2">
      <c r="A2291" s="5" t="s">
        <v>95</v>
      </c>
      <c r="B2291" s="5" t="s">
        <v>65</v>
      </c>
      <c r="C2291" s="5" t="s">
        <v>48</v>
      </c>
      <c r="D2291" s="5">
        <v>165652</v>
      </c>
      <c r="E2291" s="5">
        <v>8656</v>
      </c>
      <c r="F2291" s="5">
        <v>17095136</v>
      </c>
      <c r="G2291" s="5">
        <v>5.2254123101441579</v>
      </c>
      <c r="H2291" s="5">
        <v>1974.9463955637707</v>
      </c>
      <c r="I2291" s="5">
        <v>103.19909207253761</v>
      </c>
    </row>
    <row r="2292" spans="1:9" x14ac:dyDescent="0.2">
      <c r="A2292" s="5" t="s">
        <v>95</v>
      </c>
      <c r="B2292" s="5" t="s">
        <v>65</v>
      </c>
      <c r="C2292" s="5" t="s">
        <v>49</v>
      </c>
      <c r="D2292" s="5">
        <v>167587</v>
      </c>
      <c r="E2292" s="5">
        <v>8653</v>
      </c>
      <c r="F2292" s="5">
        <v>17270121</v>
      </c>
      <c r="G2292" s="5">
        <v>5.1632883218865429</v>
      </c>
      <c r="H2292" s="5">
        <v>1995.8535767941755</v>
      </c>
      <c r="I2292" s="5">
        <v>103.05167465256852</v>
      </c>
    </row>
    <row r="2293" spans="1:9" x14ac:dyDescent="0.2">
      <c r="A2293" s="5" t="s">
        <v>95</v>
      </c>
      <c r="B2293" s="5" t="s">
        <v>65</v>
      </c>
      <c r="C2293" s="5" t="s">
        <v>50</v>
      </c>
      <c r="D2293" s="5">
        <v>169681</v>
      </c>
      <c r="E2293" s="5">
        <v>8536</v>
      </c>
      <c r="F2293" s="5">
        <v>17655389</v>
      </c>
      <c r="G2293" s="5">
        <v>5.0306162740672207</v>
      </c>
      <c r="H2293" s="5">
        <v>2068.3445407685099</v>
      </c>
      <c r="I2293" s="5">
        <v>104.05047707168157</v>
      </c>
    </row>
    <row r="2294" spans="1:9" x14ac:dyDescent="0.2">
      <c r="A2294" s="5" t="s">
        <v>95</v>
      </c>
      <c r="B2294" s="5" t="s">
        <v>65</v>
      </c>
      <c r="C2294" s="5" t="s">
        <v>51</v>
      </c>
      <c r="D2294" s="5">
        <v>171551</v>
      </c>
      <c r="E2294" s="5">
        <v>8415</v>
      </c>
      <c r="F2294" s="5">
        <v>17725087</v>
      </c>
      <c r="G2294" s="5">
        <v>4.9052468362178008</v>
      </c>
      <c r="H2294" s="5">
        <v>2106.3680332739154</v>
      </c>
      <c r="I2294" s="5">
        <v>103.32255131127187</v>
      </c>
    </row>
    <row r="2295" spans="1:9" x14ac:dyDescent="0.2">
      <c r="A2295" s="5" t="s">
        <v>95</v>
      </c>
      <c r="B2295" s="5" t="s">
        <v>65</v>
      </c>
      <c r="C2295" s="5" t="s">
        <v>52</v>
      </c>
      <c r="D2295" s="5">
        <v>173325</v>
      </c>
      <c r="E2295" s="5">
        <v>8181</v>
      </c>
      <c r="F2295" s="5">
        <v>17655348</v>
      </c>
      <c r="G2295" s="5">
        <v>4.7200346170488965</v>
      </c>
      <c r="H2295" s="5">
        <v>2158.0916758342501</v>
      </c>
      <c r="I2295" s="5">
        <v>101.86267416702727</v>
      </c>
    </row>
    <row r="2296" spans="1:9" x14ac:dyDescent="0.2">
      <c r="A2296" s="5" t="s">
        <v>95</v>
      </c>
      <c r="B2296" s="5" t="s">
        <v>65</v>
      </c>
      <c r="C2296" s="5" t="s">
        <v>53</v>
      </c>
      <c r="D2296" s="5">
        <v>174781</v>
      </c>
      <c r="E2296" s="5">
        <v>8166</v>
      </c>
      <c r="F2296" s="5">
        <v>18066248</v>
      </c>
      <c r="G2296" s="5">
        <v>4.6721325544538592</v>
      </c>
      <c r="H2296" s="5">
        <v>2212.3742346313984</v>
      </c>
      <c r="I2296" s="5">
        <v>103.36505684256298</v>
      </c>
    </row>
    <row r="2297" spans="1:9" x14ac:dyDescent="0.2">
      <c r="A2297" s="5" t="s">
        <v>95</v>
      </c>
      <c r="B2297" s="5" t="s">
        <v>65</v>
      </c>
      <c r="C2297" s="5" t="s">
        <v>54</v>
      </c>
      <c r="D2297" s="5">
        <v>175774</v>
      </c>
      <c r="E2297" s="5">
        <v>8609</v>
      </c>
      <c r="F2297" s="5">
        <v>19287799</v>
      </c>
      <c r="G2297" s="5">
        <v>4.8977664501006979</v>
      </c>
      <c r="H2297" s="5">
        <v>2240.4226971773724</v>
      </c>
      <c r="I2297" s="5">
        <v>109.7306712027945</v>
      </c>
    </row>
    <row r="2298" spans="1:9" x14ac:dyDescent="0.2">
      <c r="A2298" s="5" t="s">
        <v>95</v>
      </c>
      <c r="B2298" s="5" t="s">
        <v>65</v>
      </c>
      <c r="C2298" s="5" t="s">
        <v>55</v>
      </c>
      <c r="D2298" s="5">
        <v>176566</v>
      </c>
      <c r="E2298" s="5">
        <v>8528</v>
      </c>
      <c r="F2298" s="5">
        <v>18793639</v>
      </c>
      <c r="G2298" s="5">
        <v>4.8299219555293771</v>
      </c>
      <c r="H2298" s="5">
        <v>2203.7569183864916</v>
      </c>
      <c r="I2298" s="5">
        <v>106.43973924764677</v>
      </c>
    </row>
    <row r="2299" spans="1:9" x14ac:dyDescent="0.2">
      <c r="A2299" s="5" t="s">
        <v>95</v>
      </c>
      <c r="B2299" s="5" t="s">
        <v>65</v>
      </c>
      <c r="C2299" s="5" t="s">
        <v>56</v>
      </c>
      <c r="D2299" s="5">
        <v>176912</v>
      </c>
      <c r="E2299" s="5">
        <v>8394</v>
      </c>
      <c r="F2299" s="5">
        <v>18018513</v>
      </c>
      <c r="G2299" s="5">
        <v>4.7447318440806727</v>
      </c>
      <c r="H2299" s="5">
        <v>2146.594353109364</v>
      </c>
      <c r="I2299" s="5">
        <v>101.8501458352175</v>
      </c>
    </row>
    <row r="2300" spans="1:9" x14ac:dyDescent="0.2">
      <c r="A2300" s="5" t="s">
        <v>95</v>
      </c>
      <c r="B2300" s="5" t="s">
        <v>65</v>
      </c>
      <c r="C2300" s="5" t="s">
        <v>57</v>
      </c>
      <c r="D2300" s="5">
        <v>177191</v>
      </c>
      <c r="E2300" s="5">
        <v>8143</v>
      </c>
      <c r="F2300" s="5">
        <v>17467923</v>
      </c>
      <c r="G2300" s="5">
        <v>4.595605871630049</v>
      </c>
      <c r="H2300" s="5">
        <v>2145.1458921773301</v>
      </c>
      <c r="I2300" s="5">
        <v>98.582450575932185</v>
      </c>
    </row>
    <row r="2301" spans="1:9" x14ac:dyDescent="0.2">
      <c r="A2301" s="5" t="s">
        <v>95</v>
      </c>
      <c r="B2301" s="5" t="s">
        <v>65</v>
      </c>
      <c r="C2301" s="5" t="s">
        <v>58</v>
      </c>
      <c r="D2301" s="5">
        <v>177486</v>
      </c>
      <c r="E2301" s="5">
        <v>7559</v>
      </c>
      <c r="F2301" s="5">
        <v>16219155</v>
      </c>
      <c r="G2301" s="5">
        <v>4.2589274647014417</v>
      </c>
      <c r="H2301" s="5">
        <v>2145.6746924196323</v>
      </c>
      <c r="I2301" s="5">
        <v>91.382728778607884</v>
      </c>
    </row>
    <row r="2302" spans="1:9" x14ac:dyDescent="0.2">
      <c r="A2302" s="5" t="s">
        <v>95</v>
      </c>
      <c r="B2302" s="5" t="s">
        <v>65</v>
      </c>
      <c r="C2302" s="5" t="s">
        <v>59</v>
      </c>
      <c r="D2302" s="5">
        <v>177752</v>
      </c>
      <c r="E2302" s="5">
        <v>7437</v>
      </c>
      <c r="F2302" s="5">
        <v>16537872</v>
      </c>
      <c r="G2302" s="5">
        <v>4.1839191682794006</v>
      </c>
      <c r="H2302" s="5">
        <v>2223.7289229528037</v>
      </c>
      <c r="I2302" s="5">
        <v>93.039020657995408</v>
      </c>
    </row>
    <row r="2303" spans="1:9" x14ac:dyDescent="0.2">
      <c r="A2303" s="5" t="s">
        <v>95</v>
      </c>
      <c r="B2303" s="5" t="s">
        <v>65</v>
      </c>
      <c r="C2303" s="5" t="s">
        <v>60</v>
      </c>
      <c r="D2303" s="5">
        <v>177908</v>
      </c>
      <c r="E2303" s="5">
        <v>7340</v>
      </c>
      <c r="F2303" s="5">
        <v>17196621</v>
      </c>
      <c r="G2303" s="5">
        <v>4.125727904310093</v>
      </c>
      <c r="H2303" s="5">
        <v>2342.8638964577658</v>
      </c>
      <c r="I2303" s="5">
        <v>96.660189536164765</v>
      </c>
    </row>
    <row r="2304" spans="1:9" x14ac:dyDescent="0.2">
      <c r="A2304" s="5" t="s">
        <v>95</v>
      </c>
      <c r="B2304" s="5" t="s">
        <v>65</v>
      </c>
      <c r="C2304" s="5" t="s">
        <v>61</v>
      </c>
      <c r="D2304" s="5">
        <v>177788</v>
      </c>
      <c r="E2304" s="5">
        <v>7332</v>
      </c>
      <c r="F2304" s="5">
        <v>17205715</v>
      </c>
      <c r="G2304" s="5">
        <v>4.1240128692600173</v>
      </c>
      <c r="H2304" s="5">
        <v>2346.6605291871251</v>
      </c>
      <c r="I2304" s="5">
        <v>96.776582221522261</v>
      </c>
    </row>
    <row r="2305" spans="1:9" x14ac:dyDescent="0.2">
      <c r="A2305" s="5" t="s">
        <v>95</v>
      </c>
      <c r="B2305" s="5" t="s">
        <v>65</v>
      </c>
      <c r="C2305" s="5" t="s">
        <v>62</v>
      </c>
      <c r="D2305" s="5">
        <v>177569</v>
      </c>
      <c r="E2305" s="5">
        <v>7213</v>
      </c>
      <c r="F2305" s="5">
        <v>17006213</v>
      </c>
      <c r="G2305" s="5">
        <v>4.0620829086158059</v>
      </c>
      <c r="H2305" s="5">
        <v>2357.7170386801608</v>
      </c>
      <c r="I2305" s="5">
        <v>95.772420861749524</v>
      </c>
    </row>
    <row r="2306" spans="1:9" x14ac:dyDescent="0.2">
      <c r="A2306" s="5" t="s">
        <v>96</v>
      </c>
      <c r="B2306" s="5" t="s">
        <v>44</v>
      </c>
      <c r="C2306" s="5" t="s">
        <v>45</v>
      </c>
      <c r="D2306" s="5">
        <v>769382</v>
      </c>
      <c r="E2306" s="5">
        <v>6041</v>
      </c>
      <c r="F2306" s="5">
        <v>58114646</v>
      </c>
      <c r="G2306" s="5">
        <v>0.78517563447026317</v>
      </c>
      <c r="H2306" s="5">
        <v>9620.0374110246648</v>
      </c>
      <c r="I2306" s="5">
        <v>75.534189778289587</v>
      </c>
    </row>
    <row r="2307" spans="1:9" x14ac:dyDescent="0.2">
      <c r="A2307" s="5" t="s">
        <v>96</v>
      </c>
      <c r="B2307" s="5" t="s">
        <v>44</v>
      </c>
      <c r="C2307" s="5" t="s">
        <v>46</v>
      </c>
      <c r="D2307" s="5">
        <v>774201</v>
      </c>
      <c r="E2307" s="5">
        <v>5887</v>
      </c>
      <c r="F2307" s="5">
        <v>60362871</v>
      </c>
      <c r="G2307" s="5">
        <v>0.76039684784700612</v>
      </c>
      <c r="H2307" s="5">
        <v>10253.587735688805</v>
      </c>
      <c r="I2307" s="5">
        <v>77.96795793340489</v>
      </c>
    </row>
    <row r="2308" spans="1:9" x14ac:dyDescent="0.2">
      <c r="A2308" s="5" t="s">
        <v>96</v>
      </c>
      <c r="B2308" s="5" t="s">
        <v>44</v>
      </c>
      <c r="C2308" s="5" t="s">
        <v>47</v>
      </c>
      <c r="D2308" s="5">
        <v>779357</v>
      </c>
      <c r="E2308" s="5">
        <v>5910</v>
      </c>
      <c r="F2308" s="5">
        <v>63296164</v>
      </c>
      <c r="G2308" s="5">
        <v>0.75831743347400482</v>
      </c>
      <c r="H2308" s="5">
        <v>10710.010829103216</v>
      </c>
      <c r="I2308" s="5">
        <v>81.215879244043492</v>
      </c>
    </row>
    <row r="2309" spans="1:9" x14ac:dyDescent="0.2">
      <c r="A2309" s="5" t="s">
        <v>96</v>
      </c>
      <c r="B2309" s="5" t="s">
        <v>44</v>
      </c>
      <c r="C2309" s="5" t="s">
        <v>48</v>
      </c>
      <c r="D2309" s="5">
        <v>783737</v>
      </c>
      <c r="E2309" s="5">
        <v>5918</v>
      </c>
      <c r="F2309" s="5">
        <v>63756435</v>
      </c>
      <c r="G2309" s="5">
        <v>0.75510024408698329</v>
      </c>
      <c r="H2309" s="5">
        <v>10773.307705305846</v>
      </c>
      <c r="I2309" s="5">
        <v>81.349272779006228</v>
      </c>
    </row>
    <row r="2310" spans="1:9" x14ac:dyDescent="0.2">
      <c r="A2310" s="5" t="s">
        <v>96</v>
      </c>
      <c r="B2310" s="5" t="s">
        <v>44</v>
      </c>
      <c r="C2310" s="5" t="s">
        <v>49</v>
      </c>
      <c r="D2310" s="5">
        <v>786471</v>
      </c>
      <c r="E2310" s="5">
        <v>6069</v>
      </c>
      <c r="F2310" s="5">
        <v>65735459</v>
      </c>
      <c r="G2310" s="5">
        <v>0.77167498865183837</v>
      </c>
      <c r="H2310" s="5">
        <v>10831.349316197067</v>
      </c>
      <c r="I2310" s="5">
        <v>83.582813606604688</v>
      </c>
    </row>
    <row r="2311" spans="1:9" x14ac:dyDescent="0.2">
      <c r="A2311" s="5" t="s">
        <v>96</v>
      </c>
      <c r="B2311" s="5" t="s">
        <v>44</v>
      </c>
      <c r="C2311" s="5" t="s">
        <v>50</v>
      </c>
      <c r="D2311" s="5">
        <v>787476</v>
      </c>
      <c r="E2311" s="5">
        <v>6157</v>
      </c>
      <c r="F2311" s="5">
        <v>68580234</v>
      </c>
      <c r="G2311" s="5">
        <v>0.78186509811092653</v>
      </c>
      <c r="H2311" s="5">
        <v>11138.57950300471</v>
      </c>
      <c r="I2311" s="5">
        <v>87.088665559331332</v>
      </c>
    </row>
    <row r="2312" spans="1:9" x14ac:dyDescent="0.2">
      <c r="A2312" s="5" t="s">
        <v>96</v>
      </c>
      <c r="B2312" s="5" t="s">
        <v>44</v>
      </c>
      <c r="C2312" s="5" t="s">
        <v>51</v>
      </c>
      <c r="D2312" s="5">
        <v>787068</v>
      </c>
      <c r="E2312" s="5">
        <v>6275</v>
      </c>
      <c r="F2312" s="5">
        <v>65934467</v>
      </c>
      <c r="G2312" s="5">
        <v>0.7972627523924235</v>
      </c>
      <c r="H2312" s="5">
        <v>10507.484780876493</v>
      </c>
      <c r="I2312" s="5">
        <v>83.772262371230951</v>
      </c>
    </row>
    <row r="2313" spans="1:9" x14ac:dyDescent="0.2">
      <c r="A2313" s="5" t="s">
        <v>96</v>
      </c>
      <c r="B2313" s="5" t="s">
        <v>44</v>
      </c>
      <c r="C2313" s="5" t="s">
        <v>52</v>
      </c>
      <c r="D2313" s="5">
        <v>786822</v>
      </c>
      <c r="E2313" s="5">
        <v>6298</v>
      </c>
      <c r="F2313" s="5">
        <v>67937417</v>
      </c>
      <c r="G2313" s="5">
        <v>0.80043516830998629</v>
      </c>
      <c r="H2313" s="5">
        <v>10787.141473483645</v>
      </c>
      <c r="I2313" s="5">
        <v>86.344074009115147</v>
      </c>
    </row>
    <row r="2314" spans="1:9" x14ac:dyDescent="0.2">
      <c r="A2314" s="5" t="s">
        <v>96</v>
      </c>
      <c r="B2314" s="5" t="s">
        <v>44</v>
      </c>
      <c r="C2314" s="5" t="s">
        <v>53</v>
      </c>
      <c r="D2314" s="5">
        <v>787007</v>
      </c>
      <c r="E2314" s="5">
        <v>6162</v>
      </c>
      <c r="F2314" s="5">
        <v>69064751</v>
      </c>
      <c r="G2314" s="5">
        <v>0.78296635226878541</v>
      </c>
      <c r="H2314" s="5">
        <v>11208.171210645894</v>
      </c>
      <c r="I2314" s="5">
        <v>87.756209284034327</v>
      </c>
    </row>
    <row r="2315" spans="1:9" x14ac:dyDescent="0.2">
      <c r="A2315" s="5" t="s">
        <v>96</v>
      </c>
      <c r="B2315" s="5" t="s">
        <v>44</v>
      </c>
      <c r="C2315" s="5" t="s">
        <v>54</v>
      </c>
      <c r="D2315" s="5">
        <v>787605</v>
      </c>
      <c r="E2315" s="5">
        <v>6186</v>
      </c>
      <c r="F2315" s="5">
        <v>66713876</v>
      </c>
      <c r="G2315" s="5">
        <v>0.78541908697887897</v>
      </c>
      <c r="H2315" s="5">
        <v>10784.655027481409</v>
      </c>
      <c r="I2315" s="5">
        <v>84.704739050666262</v>
      </c>
    </row>
    <row r="2316" spans="1:9" x14ac:dyDescent="0.2">
      <c r="A2316" s="5" t="s">
        <v>96</v>
      </c>
      <c r="B2316" s="5" t="s">
        <v>44</v>
      </c>
      <c r="C2316" s="5" t="s">
        <v>55</v>
      </c>
      <c r="D2316" s="5">
        <v>789151</v>
      </c>
      <c r="E2316" s="5">
        <v>6202</v>
      </c>
      <c r="F2316" s="5">
        <v>69326111</v>
      </c>
      <c r="G2316" s="5">
        <v>0.78590789341963707</v>
      </c>
      <c r="H2316" s="5">
        <v>11178.024991938084</v>
      </c>
      <c r="I2316" s="5">
        <v>87.848980740061151</v>
      </c>
    </row>
    <row r="2317" spans="1:9" x14ac:dyDescent="0.2">
      <c r="A2317" s="5" t="s">
        <v>96</v>
      </c>
      <c r="B2317" s="5" t="s">
        <v>44</v>
      </c>
      <c r="C2317" s="5" t="s">
        <v>56</v>
      </c>
      <c r="D2317" s="5">
        <v>790629</v>
      </c>
      <c r="E2317" s="5">
        <v>6234</v>
      </c>
      <c r="F2317" s="5">
        <v>69161144</v>
      </c>
      <c r="G2317" s="5">
        <v>0.78848612939823859</v>
      </c>
      <c r="H2317" s="5">
        <v>11094.184151427655</v>
      </c>
      <c r="I2317" s="5">
        <v>87.476103203904742</v>
      </c>
    </row>
    <row r="2318" spans="1:9" x14ac:dyDescent="0.2">
      <c r="A2318" s="5" t="s">
        <v>96</v>
      </c>
      <c r="B2318" s="5" t="s">
        <v>44</v>
      </c>
      <c r="C2318" s="5" t="s">
        <v>57</v>
      </c>
      <c r="D2318" s="5">
        <v>792690</v>
      </c>
      <c r="E2318" s="5">
        <v>6333</v>
      </c>
      <c r="F2318" s="5">
        <v>69467850</v>
      </c>
      <c r="G2318" s="5">
        <v>0.79892517882148129</v>
      </c>
      <c r="H2318" s="5">
        <v>10969.18522027475</v>
      </c>
      <c r="I2318" s="5">
        <v>87.635582636339549</v>
      </c>
    </row>
    <row r="2319" spans="1:9" x14ac:dyDescent="0.2">
      <c r="A2319" s="5" t="s">
        <v>96</v>
      </c>
      <c r="B2319" s="5" t="s">
        <v>44</v>
      </c>
      <c r="C2319" s="5" t="s">
        <v>58</v>
      </c>
      <c r="D2319" s="5">
        <v>795581</v>
      </c>
      <c r="E2319" s="5">
        <v>6353</v>
      </c>
      <c r="F2319" s="5">
        <v>71373446</v>
      </c>
      <c r="G2319" s="5">
        <v>0.79853591274804203</v>
      </c>
      <c r="H2319" s="5">
        <v>11234.605068471588</v>
      </c>
      <c r="I2319" s="5">
        <v>89.712356127157392</v>
      </c>
    </row>
    <row r="2320" spans="1:9" x14ac:dyDescent="0.2">
      <c r="A2320" s="5" t="s">
        <v>96</v>
      </c>
      <c r="B2320" s="5" t="s">
        <v>44</v>
      </c>
      <c r="C2320" s="5" t="s">
        <v>59</v>
      </c>
      <c r="D2320" s="5">
        <v>798478</v>
      </c>
      <c r="E2320" s="5">
        <v>6333</v>
      </c>
      <c r="F2320" s="5">
        <v>72401635</v>
      </c>
      <c r="G2320" s="5">
        <v>0.79313393731574322</v>
      </c>
      <c r="H2320" s="5">
        <v>11432.438812569082</v>
      </c>
      <c r="I2320" s="5">
        <v>90.67455208534237</v>
      </c>
    </row>
    <row r="2321" spans="1:9" x14ac:dyDescent="0.2">
      <c r="A2321" s="5" t="s">
        <v>96</v>
      </c>
      <c r="B2321" s="5" t="s">
        <v>44</v>
      </c>
      <c r="C2321" s="5" t="s">
        <v>60</v>
      </c>
      <c r="D2321" s="5">
        <v>801964</v>
      </c>
      <c r="E2321" s="5">
        <v>6286</v>
      </c>
      <c r="F2321" s="5">
        <v>75672010</v>
      </c>
      <c r="G2321" s="5">
        <v>0.78382570788713712</v>
      </c>
      <c r="H2321" s="5">
        <v>12038.181673560293</v>
      </c>
      <c r="I2321" s="5">
        <v>94.358362719523569</v>
      </c>
    </row>
    <row r="2322" spans="1:9" x14ac:dyDescent="0.2">
      <c r="A2322" s="5" t="s">
        <v>96</v>
      </c>
      <c r="B2322" s="5" t="s">
        <v>44</v>
      </c>
      <c r="C2322" s="5" t="s">
        <v>61</v>
      </c>
      <c r="D2322" s="5">
        <v>805242</v>
      </c>
      <c r="E2322" s="5">
        <v>6105</v>
      </c>
      <c r="F2322" s="5">
        <v>73562455</v>
      </c>
      <c r="G2322" s="5">
        <v>0.75815717511009117</v>
      </c>
      <c r="H2322" s="5">
        <v>12049.542178542179</v>
      </c>
      <c r="I2322" s="5">
        <v>91.35446859453431</v>
      </c>
    </row>
    <row r="2323" spans="1:9" x14ac:dyDescent="0.2">
      <c r="A2323" s="5" t="s">
        <v>96</v>
      </c>
      <c r="B2323" s="5" t="s">
        <v>44</v>
      </c>
      <c r="C2323" s="5" t="s">
        <v>62</v>
      </c>
      <c r="D2323" s="5">
        <v>808870</v>
      </c>
      <c r="E2323" s="5">
        <v>5881</v>
      </c>
      <c r="F2323" s="5">
        <v>71574937</v>
      </c>
      <c r="G2323" s="5">
        <v>0.7270636814321213</v>
      </c>
      <c r="H2323" s="5">
        <v>12170.538513858188</v>
      </c>
      <c r="I2323" s="5">
        <v>88.487565368971531</v>
      </c>
    </row>
    <row r="2324" spans="1:9" x14ac:dyDescent="0.2">
      <c r="A2324" s="5" t="s">
        <v>96</v>
      </c>
      <c r="B2324" s="5" t="s">
        <v>63</v>
      </c>
      <c r="C2324" s="5" t="s">
        <v>45</v>
      </c>
      <c r="D2324" s="5">
        <v>769382</v>
      </c>
      <c r="E2324" s="5">
        <v>31007</v>
      </c>
      <c r="F2324" s="5">
        <v>62865324</v>
      </c>
      <c r="G2324" s="5">
        <v>4.0301176788643351</v>
      </c>
      <c r="H2324" s="5">
        <v>2027.4558648047216</v>
      </c>
      <c r="I2324" s="5">
        <v>81.70885723866688</v>
      </c>
    </row>
    <row r="2325" spans="1:9" x14ac:dyDescent="0.2">
      <c r="A2325" s="5" t="s">
        <v>96</v>
      </c>
      <c r="B2325" s="5" t="s">
        <v>63</v>
      </c>
      <c r="C2325" s="5" t="s">
        <v>46</v>
      </c>
      <c r="D2325" s="5">
        <v>774201</v>
      </c>
      <c r="E2325" s="5">
        <v>29571</v>
      </c>
      <c r="F2325" s="5">
        <v>60879384</v>
      </c>
      <c r="G2325" s="5">
        <v>3.8195507368241581</v>
      </c>
      <c r="H2325" s="5">
        <v>2058.7529674343104</v>
      </c>
      <c r="I2325" s="5">
        <v>78.635114137026434</v>
      </c>
    </row>
    <row r="2326" spans="1:9" x14ac:dyDescent="0.2">
      <c r="A2326" s="5" t="s">
        <v>96</v>
      </c>
      <c r="B2326" s="5" t="s">
        <v>63</v>
      </c>
      <c r="C2326" s="5" t="s">
        <v>47</v>
      </c>
      <c r="D2326" s="5">
        <v>779357</v>
      </c>
      <c r="E2326" s="5">
        <v>29838</v>
      </c>
      <c r="F2326" s="5">
        <v>61955322</v>
      </c>
      <c r="G2326" s="5">
        <v>3.8285407072753563</v>
      </c>
      <c r="H2326" s="5">
        <v>2076.3899054896442</v>
      </c>
      <c r="I2326" s="5">
        <v>79.495432773427325</v>
      </c>
    </row>
    <row r="2327" spans="1:9" x14ac:dyDescent="0.2">
      <c r="A2327" s="5" t="s">
        <v>96</v>
      </c>
      <c r="B2327" s="5" t="s">
        <v>63</v>
      </c>
      <c r="C2327" s="5" t="s">
        <v>48</v>
      </c>
      <c r="D2327" s="5">
        <v>783737</v>
      </c>
      <c r="E2327" s="5">
        <v>29974</v>
      </c>
      <c r="F2327" s="5">
        <v>62650416</v>
      </c>
      <c r="G2327" s="5">
        <v>3.8244972484392084</v>
      </c>
      <c r="H2327" s="5">
        <v>2090.1586708480681</v>
      </c>
      <c r="I2327" s="5">
        <v>79.938060854597907</v>
      </c>
    </row>
    <row r="2328" spans="1:9" x14ac:dyDescent="0.2">
      <c r="A2328" s="5" t="s">
        <v>96</v>
      </c>
      <c r="B2328" s="5" t="s">
        <v>63</v>
      </c>
      <c r="C2328" s="5" t="s">
        <v>49</v>
      </c>
      <c r="D2328" s="5">
        <v>786471</v>
      </c>
      <c r="E2328" s="5">
        <v>29830</v>
      </c>
      <c r="F2328" s="5">
        <v>63647350</v>
      </c>
      <c r="G2328" s="5">
        <v>3.7928925542073388</v>
      </c>
      <c r="H2328" s="5">
        <v>2133.669125041904</v>
      </c>
      <c r="I2328" s="5">
        <v>80.92777737513525</v>
      </c>
    </row>
    <row r="2329" spans="1:9" x14ac:dyDescent="0.2">
      <c r="A2329" s="5" t="s">
        <v>96</v>
      </c>
      <c r="B2329" s="5" t="s">
        <v>63</v>
      </c>
      <c r="C2329" s="5" t="s">
        <v>50</v>
      </c>
      <c r="D2329" s="5">
        <v>787476</v>
      </c>
      <c r="E2329" s="5">
        <v>29588</v>
      </c>
      <c r="F2329" s="5">
        <v>63631722</v>
      </c>
      <c r="G2329" s="5">
        <v>3.7573208580324988</v>
      </c>
      <c r="H2329" s="5">
        <v>2150.5921995403542</v>
      </c>
      <c r="I2329" s="5">
        <v>80.804649284549626</v>
      </c>
    </row>
    <row r="2330" spans="1:9" x14ac:dyDescent="0.2">
      <c r="A2330" s="5" t="s">
        <v>96</v>
      </c>
      <c r="B2330" s="5" t="s">
        <v>63</v>
      </c>
      <c r="C2330" s="5" t="s">
        <v>51</v>
      </c>
      <c r="D2330" s="5">
        <v>787068</v>
      </c>
      <c r="E2330" s="5">
        <v>28996</v>
      </c>
      <c r="F2330" s="5">
        <v>63194130</v>
      </c>
      <c r="G2330" s="5">
        <v>3.6840527120909501</v>
      </c>
      <c r="H2330" s="5">
        <v>2179.4085391088424</v>
      </c>
      <c r="I2330" s="5">
        <v>80.290559392581073</v>
      </c>
    </row>
    <row r="2331" spans="1:9" x14ac:dyDescent="0.2">
      <c r="A2331" s="5" t="s">
        <v>96</v>
      </c>
      <c r="B2331" s="5" t="s">
        <v>63</v>
      </c>
      <c r="C2331" s="5" t="s">
        <v>52</v>
      </c>
      <c r="D2331" s="5">
        <v>786822</v>
      </c>
      <c r="E2331" s="5">
        <v>28430</v>
      </c>
      <c r="F2331" s="5">
        <v>62425570</v>
      </c>
      <c r="G2331" s="5">
        <v>3.613269583209417</v>
      </c>
      <c r="H2331" s="5">
        <v>2195.7639817094619</v>
      </c>
      <c r="I2331" s="5">
        <v>79.338872070175967</v>
      </c>
    </row>
    <row r="2332" spans="1:9" x14ac:dyDescent="0.2">
      <c r="A2332" s="5" t="s">
        <v>96</v>
      </c>
      <c r="B2332" s="5" t="s">
        <v>63</v>
      </c>
      <c r="C2332" s="5" t="s">
        <v>53</v>
      </c>
      <c r="D2332" s="5">
        <v>787007</v>
      </c>
      <c r="E2332" s="5">
        <v>27801</v>
      </c>
      <c r="F2332" s="5">
        <v>61272294</v>
      </c>
      <c r="G2332" s="5">
        <v>3.5324971696566867</v>
      </c>
      <c r="H2332" s="5">
        <v>2203.9600733786556</v>
      </c>
      <c r="I2332" s="5">
        <v>77.854827212464443</v>
      </c>
    </row>
    <row r="2333" spans="1:9" x14ac:dyDescent="0.2">
      <c r="A2333" s="5" t="s">
        <v>96</v>
      </c>
      <c r="B2333" s="5" t="s">
        <v>63</v>
      </c>
      <c r="C2333" s="5" t="s">
        <v>54</v>
      </c>
      <c r="D2333" s="5">
        <v>787605</v>
      </c>
      <c r="E2333" s="5">
        <v>28243</v>
      </c>
      <c r="F2333" s="5">
        <v>62453451</v>
      </c>
      <c r="G2333" s="5">
        <v>3.5859345738028581</v>
      </c>
      <c r="H2333" s="5">
        <v>2211.2895584746661</v>
      </c>
      <c r="I2333" s="5">
        <v>79.295396804235622</v>
      </c>
    </row>
    <row r="2334" spans="1:9" x14ac:dyDescent="0.2">
      <c r="A2334" s="5" t="s">
        <v>96</v>
      </c>
      <c r="B2334" s="5" t="s">
        <v>63</v>
      </c>
      <c r="C2334" s="5" t="s">
        <v>55</v>
      </c>
      <c r="D2334" s="5">
        <v>789151</v>
      </c>
      <c r="E2334" s="5">
        <v>27939</v>
      </c>
      <c r="F2334" s="5">
        <v>61649331</v>
      </c>
      <c r="G2334" s="5">
        <v>3.5403870742101322</v>
      </c>
      <c r="H2334" s="5">
        <v>2206.5689895844516</v>
      </c>
      <c r="I2334" s="5">
        <v>78.121083290777051</v>
      </c>
    </row>
    <row r="2335" spans="1:9" x14ac:dyDescent="0.2">
      <c r="A2335" s="5" t="s">
        <v>96</v>
      </c>
      <c r="B2335" s="5" t="s">
        <v>63</v>
      </c>
      <c r="C2335" s="5" t="s">
        <v>56</v>
      </c>
      <c r="D2335" s="5">
        <v>790629</v>
      </c>
      <c r="E2335" s="5">
        <v>28068</v>
      </c>
      <c r="F2335" s="5">
        <v>62135690</v>
      </c>
      <c r="G2335" s="5">
        <v>3.5500848058950534</v>
      </c>
      <c r="H2335" s="5">
        <v>2213.7555223029785</v>
      </c>
      <c r="I2335" s="5">
        <v>78.59019843694071</v>
      </c>
    </row>
    <row r="2336" spans="1:9" x14ac:dyDescent="0.2">
      <c r="A2336" s="5" t="s">
        <v>96</v>
      </c>
      <c r="B2336" s="5" t="s">
        <v>63</v>
      </c>
      <c r="C2336" s="5" t="s">
        <v>57</v>
      </c>
      <c r="D2336" s="5">
        <v>792690</v>
      </c>
      <c r="E2336" s="5">
        <v>27914</v>
      </c>
      <c r="F2336" s="5">
        <v>61884465</v>
      </c>
      <c r="G2336" s="5">
        <v>3.5214270395741085</v>
      </c>
      <c r="H2336" s="5">
        <v>2216.9687253707816</v>
      </c>
      <c r="I2336" s="5">
        <v>78.068936154108158</v>
      </c>
    </row>
    <row r="2337" spans="1:9" x14ac:dyDescent="0.2">
      <c r="A2337" s="5" t="s">
        <v>96</v>
      </c>
      <c r="B2337" s="5" t="s">
        <v>63</v>
      </c>
      <c r="C2337" s="5" t="s">
        <v>58</v>
      </c>
      <c r="D2337" s="5">
        <v>795581</v>
      </c>
      <c r="E2337" s="5">
        <v>27068</v>
      </c>
      <c r="F2337" s="5">
        <v>60660287</v>
      </c>
      <c r="G2337" s="5">
        <v>3.4022934182691644</v>
      </c>
      <c r="H2337" s="5">
        <v>2241.0332126496232</v>
      </c>
      <c r="I2337" s="5">
        <v>76.246525495204139</v>
      </c>
    </row>
    <row r="2338" spans="1:9" x14ac:dyDescent="0.2">
      <c r="A2338" s="5" t="s">
        <v>96</v>
      </c>
      <c r="B2338" s="5" t="s">
        <v>63</v>
      </c>
      <c r="C2338" s="5" t="s">
        <v>59</v>
      </c>
      <c r="D2338" s="5">
        <v>798478</v>
      </c>
      <c r="E2338" s="5">
        <v>26797</v>
      </c>
      <c r="F2338" s="5">
        <v>60774433</v>
      </c>
      <c r="G2338" s="5">
        <v>3.3560098086609775</v>
      </c>
      <c r="H2338" s="5">
        <v>2267.9565996193605</v>
      </c>
      <c r="I2338" s="5">
        <v>76.112845939399705</v>
      </c>
    </row>
    <row r="2339" spans="1:9" x14ac:dyDescent="0.2">
      <c r="A2339" s="5" t="s">
        <v>96</v>
      </c>
      <c r="B2339" s="5" t="s">
        <v>63</v>
      </c>
      <c r="C2339" s="5" t="s">
        <v>60</v>
      </c>
      <c r="D2339" s="5">
        <v>801964</v>
      </c>
      <c r="E2339" s="5">
        <v>26396</v>
      </c>
      <c r="F2339" s="5">
        <v>60267300</v>
      </c>
      <c r="G2339" s="5">
        <v>3.2914195649680034</v>
      </c>
      <c r="H2339" s="5">
        <v>2283.1982118502801</v>
      </c>
      <c r="I2339" s="5">
        <v>75.149632651839738</v>
      </c>
    </row>
    <row r="2340" spans="1:9" x14ac:dyDescent="0.2">
      <c r="A2340" s="5" t="s">
        <v>96</v>
      </c>
      <c r="B2340" s="5" t="s">
        <v>63</v>
      </c>
      <c r="C2340" s="5" t="s">
        <v>61</v>
      </c>
      <c r="D2340" s="5">
        <v>805242</v>
      </c>
      <c r="E2340" s="5">
        <v>26132</v>
      </c>
      <c r="F2340" s="5">
        <v>60289155</v>
      </c>
      <c r="G2340" s="5">
        <v>3.24523559377181</v>
      </c>
      <c r="H2340" s="5">
        <v>2307.100681157202</v>
      </c>
      <c r="I2340" s="5">
        <v>74.870852489065399</v>
      </c>
    </row>
    <row r="2341" spans="1:9" x14ac:dyDescent="0.2">
      <c r="A2341" s="5" t="s">
        <v>96</v>
      </c>
      <c r="B2341" s="5" t="s">
        <v>63</v>
      </c>
      <c r="C2341" s="5" t="s">
        <v>62</v>
      </c>
      <c r="D2341" s="5">
        <v>808870</v>
      </c>
      <c r="E2341" s="5">
        <v>25495</v>
      </c>
      <c r="F2341" s="5">
        <v>59544965</v>
      </c>
      <c r="G2341" s="5">
        <v>3.1519279983186421</v>
      </c>
      <c r="H2341" s="5">
        <v>2335.5546185526573</v>
      </c>
      <c r="I2341" s="5">
        <v>73.614999938185363</v>
      </c>
    </row>
    <row r="2342" spans="1:9" x14ac:dyDescent="0.2">
      <c r="A2342" s="5" t="s">
        <v>96</v>
      </c>
      <c r="B2342" s="5" t="s">
        <v>64</v>
      </c>
      <c r="C2342" s="5" t="s">
        <v>45</v>
      </c>
      <c r="D2342" s="5">
        <v>609577</v>
      </c>
      <c r="E2342" s="5">
        <v>147965</v>
      </c>
      <c r="F2342" s="5">
        <v>162304883</v>
      </c>
      <c r="G2342" s="5">
        <v>24.273389579987434</v>
      </c>
      <c r="H2342" s="5">
        <v>1096.9140202074816</v>
      </c>
      <c r="I2342" s="5">
        <v>266.25821348246404</v>
      </c>
    </row>
    <row r="2343" spans="1:9" x14ac:dyDescent="0.2">
      <c r="A2343" s="5" t="s">
        <v>96</v>
      </c>
      <c r="B2343" s="5" t="s">
        <v>64</v>
      </c>
      <c r="C2343" s="5" t="s">
        <v>46</v>
      </c>
      <c r="D2343" s="5">
        <v>613345</v>
      </c>
      <c r="E2343" s="5">
        <v>148067</v>
      </c>
      <c r="F2343" s="5">
        <v>164699884</v>
      </c>
      <c r="G2343" s="5">
        <v>24.14089949375963</v>
      </c>
      <c r="H2343" s="5">
        <v>1112.3334976733506</v>
      </c>
      <c r="I2343" s="5">
        <v>268.52731170874466</v>
      </c>
    </row>
    <row r="2344" spans="1:9" x14ac:dyDescent="0.2">
      <c r="A2344" s="5" t="s">
        <v>96</v>
      </c>
      <c r="B2344" s="5" t="s">
        <v>64</v>
      </c>
      <c r="C2344" s="5" t="s">
        <v>47</v>
      </c>
      <c r="D2344" s="5">
        <v>617616</v>
      </c>
      <c r="E2344" s="5">
        <v>104461</v>
      </c>
      <c r="F2344" s="5">
        <v>94726014</v>
      </c>
      <c r="G2344" s="5">
        <v>16.91358384497811</v>
      </c>
      <c r="H2344" s="5">
        <v>906.8074592431625</v>
      </c>
      <c r="I2344" s="5">
        <v>153.37363993160798</v>
      </c>
    </row>
    <row r="2345" spans="1:9" x14ac:dyDescent="0.2">
      <c r="A2345" s="5" t="s">
        <v>96</v>
      </c>
      <c r="B2345" s="5" t="s">
        <v>64</v>
      </c>
      <c r="C2345" s="5" t="s">
        <v>48</v>
      </c>
      <c r="D2345" s="5">
        <v>621599</v>
      </c>
      <c r="E2345" s="5">
        <v>97698</v>
      </c>
      <c r="F2345" s="5">
        <v>82754018</v>
      </c>
      <c r="G2345" s="5">
        <v>15.717206752263115</v>
      </c>
      <c r="H2345" s="5">
        <v>847.03901819893963</v>
      </c>
      <c r="I2345" s="5">
        <v>133.13087376266694</v>
      </c>
    </row>
    <row r="2346" spans="1:9" x14ac:dyDescent="0.2">
      <c r="A2346" s="5" t="s">
        <v>96</v>
      </c>
      <c r="B2346" s="5" t="s">
        <v>64</v>
      </c>
      <c r="C2346" s="5" t="s">
        <v>49</v>
      </c>
      <c r="D2346" s="5">
        <v>624018</v>
      </c>
      <c r="E2346" s="5">
        <v>93153</v>
      </c>
      <c r="F2346" s="5">
        <v>76426363</v>
      </c>
      <c r="G2346" s="5">
        <v>14.927934771112371</v>
      </c>
      <c r="H2346" s="5">
        <v>820.43909482249637</v>
      </c>
      <c r="I2346" s="5">
        <v>122.47461291180703</v>
      </c>
    </row>
    <row r="2347" spans="1:9" x14ac:dyDescent="0.2">
      <c r="A2347" s="5" t="s">
        <v>96</v>
      </c>
      <c r="B2347" s="5" t="s">
        <v>64</v>
      </c>
      <c r="C2347" s="5" t="s">
        <v>50</v>
      </c>
      <c r="D2347" s="5">
        <v>624613</v>
      </c>
      <c r="E2347" s="5">
        <v>90038</v>
      </c>
      <c r="F2347" s="5">
        <v>74485105</v>
      </c>
      <c r="G2347" s="5">
        <v>14.415005771573759</v>
      </c>
      <c r="H2347" s="5">
        <v>827.26298896021683</v>
      </c>
      <c r="I2347" s="5">
        <v>119.25000760470884</v>
      </c>
    </row>
    <row r="2348" spans="1:9" x14ac:dyDescent="0.2">
      <c r="A2348" s="5" t="s">
        <v>96</v>
      </c>
      <c r="B2348" s="5" t="s">
        <v>64</v>
      </c>
      <c r="C2348" s="5" t="s">
        <v>51</v>
      </c>
      <c r="D2348" s="5">
        <v>623534</v>
      </c>
      <c r="E2348" s="5">
        <v>88553</v>
      </c>
      <c r="F2348" s="5">
        <v>74478850</v>
      </c>
      <c r="G2348" s="5">
        <v>14.201791722664682</v>
      </c>
      <c r="H2348" s="5">
        <v>841.06523776721281</v>
      </c>
      <c r="I2348" s="5">
        <v>119.44633331943406</v>
      </c>
    </row>
    <row r="2349" spans="1:9" x14ac:dyDescent="0.2">
      <c r="A2349" s="5" t="s">
        <v>96</v>
      </c>
      <c r="B2349" s="5" t="s">
        <v>64</v>
      </c>
      <c r="C2349" s="5" t="s">
        <v>52</v>
      </c>
      <c r="D2349" s="5">
        <v>621988</v>
      </c>
      <c r="E2349" s="5">
        <v>84392</v>
      </c>
      <c r="F2349" s="5">
        <v>69348143</v>
      </c>
      <c r="G2349" s="5">
        <v>13.568107423294339</v>
      </c>
      <c r="H2349" s="5">
        <v>821.73835197649066</v>
      </c>
      <c r="I2349" s="5">
        <v>111.4943423345788</v>
      </c>
    </row>
    <row r="2350" spans="1:9" x14ac:dyDescent="0.2">
      <c r="A2350" s="5" t="s">
        <v>96</v>
      </c>
      <c r="B2350" s="5" t="s">
        <v>64</v>
      </c>
      <c r="C2350" s="5" t="s">
        <v>53</v>
      </c>
      <c r="D2350" s="5">
        <v>620364</v>
      </c>
      <c r="E2350" s="5">
        <v>80318</v>
      </c>
      <c r="F2350" s="5">
        <v>66037057</v>
      </c>
      <c r="G2350" s="5">
        <v>12.946915036978289</v>
      </c>
      <c r="H2350" s="5">
        <v>822.1949874249857</v>
      </c>
      <c r="I2350" s="5">
        <v>106.44888646020723</v>
      </c>
    </row>
    <row r="2351" spans="1:9" x14ac:dyDescent="0.2">
      <c r="A2351" s="5" t="s">
        <v>96</v>
      </c>
      <c r="B2351" s="5" t="s">
        <v>64</v>
      </c>
      <c r="C2351" s="5" t="s">
        <v>54</v>
      </c>
      <c r="D2351" s="5">
        <v>618997</v>
      </c>
      <c r="E2351" s="5">
        <v>78501</v>
      </c>
      <c r="F2351" s="5">
        <v>64499696</v>
      </c>
      <c r="G2351" s="5">
        <v>12.68196776397947</v>
      </c>
      <c r="H2351" s="5">
        <v>821.6417115705533</v>
      </c>
      <c r="I2351" s="5">
        <v>104.20033699678673</v>
      </c>
    </row>
    <row r="2352" spans="1:9" x14ac:dyDescent="0.2">
      <c r="A2352" s="5" t="s">
        <v>96</v>
      </c>
      <c r="B2352" s="5" t="s">
        <v>64</v>
      </c>
      <c r="C2352" s="5" t="s">
        <v>55</v>
      </c>
      <c r="D2352" s="5">
        <v>618086</v>
      </c>
      <c r="E2352" s="5">
        <v>72553</v>
      </c>
      <c r="F2352" s="5">
        <v>63198582</v>
      </c>
      <c r="G2352" s="5">
        <v>11.738334147675243</v>
      </c>
      <c r="H2352" s="5">
        <v>871.06779871266519</v>
      </c>
      <c r="I2352" s="5">
        <v>102.24884886569183</v>
      </c>
    </row>
    <row r="2353" spans="1:9" x14ac:dyDescent="0.2">
      <c r="A2353" s="5" t="s">
        <v>96</v>
      </c>
      <c r="B2353" s="5" t="s">
        <v>64</v>
      </c>
      <c r="C2353" s="5" t="s">
        <v>56</v>
      </c>
      <c r="D2353" s="5">
        <v>616973</v>
      </c>
      <c r="E2353" s="5">
        <v>68183</v>
      </c>
      <c r="F2353" s="5">
        <v>58145772</v>
      </c>
      <c r="G2353" s="5">
        <v>11.05121293800539</v>
      </c>
      <c r="H2353" s="5">
        <v>852.78987430884536</v>
      </c>
      <c r="I2353" s="5">
        <v>94.243624923619024</v>
      </c>
    </row>
    <row r="2354" spans="1:9" x14ac:dyDescent="0.2">
      <c r="A2354" s="5" t="s">
        <v>96</v>
      </c>
      <c r="B2354" s="5" t="s">
        <v>64</v>
      </c>
      <c r="C2354" s="5" t="s">
        <v>57</v>
      </c>
      <c r="D2354" s="5">
        <v>616283</v>
      </c>
      <c r="E2354" s="5">
        <v>67185</v>
      </c>
      <c r="F2354" s="5">
        <v>57557773</v>
      </c>
      <c r="G2354" s="5">
        <v>10.901647457418102</v>
      </c>
      <c r="H2354" s="5">
        <v>856.70570811937193</v>
      </c>
      <c r="I2354" s="5">
        <v>93.395036046751244</v>
      </c>
    </row>
    <row r="2355" spans="1:9" x14ac:dyDescent="0.2">
      <c r="A2355" s="5" t="s">
        <v>96</v>
      </c>
      <c r="B2355" s="5" t="s">
        <v>64</v>
      </c>
      <c r="C2355" s="5" t="s">
        <v>58</v>
      </c>
      <c r="D2355" s="5">
        <v>616404</v>
      </c>
      <c r="E2355" s="5">
        <v>67380</v>
      </c>
      <c r="F2355" s="5">
        <v>57676526</v>
      </c>
      <c r="G2355" s="5">
        <v>10.931142562345475</v>
      </c>
      <c r="H2355" s="5">
        <v>855.98880973582664</v>
      </c>
      <c r="I2355" s="5">
        <v>93.569357109947376</v>
      </c>
    </row>
    <row r="2356" spans="1:9" x14ac:dyDescent="0.2">
      <c r="A2356" s="5" t="s">
        <v>96</v>
      </c>
      <c r="B2356" s="5" t="s">
        <v>64</v>
      </c>
      <c r="C2356" s="5" t="s">
        <v>59</v>
      </c>
      <c r="D2356" s="5">
        <v>616808</v>
      </c>
      <c r="E2356" s="5">
        <v>67709</v>
      </c>
      <c r="F2356" s="5">
        <v>62400800</v>
      </c>
      <c r="G2356" s="5">
        <v>10.977321954319658</v>
      </c>
      <c r="H2356" s="5">
        <v>921.60274114224103</v>
      </c>
      <c r="I2356" s="5">
        <v>101.167300035019</v>
      </c>
    </row>
    <row r="2357" spans="1:9" x14ac:dyDescent="0.2">
      <c r="A2357" s="5" t="s">
        <v>96</v>
      </c>
      <c r="B2357" s="5" t="s">
        <v>64</v>
      </c>
      <c r="C2357" s="5" t="s">
        <v>60</v>
      </c>
      <c r="D2357" s="5">
        <v>617899</v>
      </c>
      <c r="E2357" s="5">
        <v>67791</v>
      </c>
      <c r="F2357" s="5">
        <v>61701782</v>
      </c>
      <c r="G2357" s="5">
        <v>10.971210505276753</v>
      </c>
      <c r="H2357" s="5">
        <v>910.17660161378353</v>
      </c>
      <c r="I2357" s="5">
        <v>99.857390932822355</v>
      </c>
    </row>
    <row r="2358" spans="1:9" x14ac:dyDescent="0.2">
      <c r="A2358" s="5" t="s">
        <v>96</v>
      </c>
      <c r="B2358" s="5" t="s">
        <v>64</v>
      </c>
      <c r="C2358" s="5" t="s">
        <v>61</v>
      </c>
      <c r="D2358" s="5">
        <v>619157</v>
      </c>
      <c r="E2358" s="5">
        <v>66006</v>
      </c>
      <c r="F2358" s="5">
        <v>61472000</v>
      </c>
      <c r="G2358" s="5">
        <v>10.660624042044264</v>
      </c>
      <c r="H2358" s="5">
        <v>931.30927491440173</v>
      </c>
      <c r="I2358" s="5">
        <v>99.28338046731281</v>
      </c>
    </row>
    <row r="2359" spans="1:9" x14ac:dyDescent="0.2">
      <c r="A2359" s="5" t="s">
        <v>96</v>
      </c>
      <c r="B2359" s="5" t="s">
        <v>64</v>
      </c>
      <c r="C2359" s="5" t="s">
        <v>62</v>
      </c>
      <c r="D2359" s="5">
        <v>620878</v>
      </c>
      <c r="E2359" s="5">
        <v>64175</v>
      </c>
      <c r="F2359" s="5">
        <v>61145833</v>
      </c>
      <c r="G2359" s="5">
        <v>10.336169102464574</v>
      </c>
      <c r="H2359" s="5">
        <v>952.79833268406696</v>
      </c>
      <c r="I2359" s="5">
        <v>98.482846871688153</v>
      </c>
    </row>
    <row r="2360" spans="1:9" x14ac:dyDescent="0.2">
      <c r="A2360" s="5" t="s">
        <v>96</v>
      </c>
      <c r="B2360" s="5" t="s">
        <v>65</v>
      </c>
      <c r="C2360" s="5" t="s">
        <v>45</v>
      </c>
      <c r="D2360" s="5">
        <v>593735</v>
      </c>
      <c r="E2360" s="5">
        <v>39378</v>
      </c>
      <c r="F2360" s="5">
        <v>81191223</v>
      </c>
      <c r="G2360" s="5">
        <v>6.6322517621497807</v>
      </c>
      <c r="H2360" s="5">
        <v>2061.842221545025</v>
      </c>
      <c r="I2360" s="5">
        <v>136.7465670711681</v>
      </c>
    </row>
    <row r="2361" spans="1:9" x14ac:dyDescent="0.2">
      <c r="A2361" s="5" t="s">
        <v>96</v>
      </c>
      <c r="B2361" s="5" t="s">
        <v>65</v>
      </c>
      <c r="C2361" s="5" t="s">
        <v>46</v>
      </c>
      <c r="D2361" s="5">
        <v>598078</v>
      </c>
      <c r="E2361" s="5">
        <v>37809</v>
      </c>
      <c r="F2361" s="5">
        <v>79222275</v>
      </c>
      <c r="G2361" s="5">
        <v>6.3217506746611649</v>
      </c>
      <c r="H2361" s="5">
        <v>2095.3284932159008</v>
      </c>
      <c r="I2361" s="5">
        <v>132.46144315624383</v>
      </c>
    </row>
    <row r="2362" spans="1:9" x14ac:dyDescent="0.2">
      <c r="A2362" s="5" t="s">
        <v>96</v>
      </c>
      <c r="B2362" s="5" t="s">
        <v>65</v>
      </c>
      <c r="C2362" s="5" t="s">
        <v>47</v>
      </c>
      <c r="D2362" s="5">
        <v>602932</v>
      </c>
      <c r="E2362" s="5">
        <v>37552</v>
      </c>
      <c r="F2362" s="5">
        <v>79975532</v>
      </c>
      <c r="G2362" s="5">
        <v>6.2282313760092345</v>
      </c>
      <c r="H2362" s="5">
        <v>2129.7276310183211</v>
      </c>
      <c r="I2362" s="5">
        <v>132.64436453862126</v>
      </c>
    </row>
    <row r="2363" spans="1:9" x14ac:dyDescent="0.2">
      <c r="A2363" s="5" t="s">
        <v>96</v>
      </c>
      <c r="B2363" s="5" t="s">
        <v>65</v>
      </c>
      <c r="C2363" s="5" t="s">
        <v>48</v>
      </c>
      <c r="D2363" s="5">
        <v>607519</v>
      </c>
      <c r="E2363" s="5">
        <v>37444</v>
      </c>
      <c r="F2363" s="5">
        <v>81831809</v>
      </c>
      <c r="G2363" s="5">
        <v>6.1634286335077588</v>
      </c>
      <c r="H2363" s="5">
        <v>2185.445171456041</v>
      </c>
      <c r="I2363" s="5">
        <v>134.69835346713435</v>
      </c>
    </row>
    <row r="2364" spans="1:9" x14ac:dyDescent="0.2">
      <c r="A2364" s="5" t="s">
        <v>96</v>
      </c>
      <c r="B2364" s="5" t="s">
        <v>65</v>
      </c>
      <c r="C2364" s="5" t="s">
        <v>49</v>
      </c>
      <c r="D2364" s="5">
        <v>610695</v>
      </c>
      <c r="E2364" s="5">
        <v>37047</v>
      </c>
      <c r="F2364" s="5">
        <v>82185216</v>
      </c>
      <c r="G2364" s="5">
        <v>6.0663670080809569</v>
      </c>
      <c r="H2364" s="5">
        <v>2218.4040813021297</v>
      </c>
      <c r="I2364" s="5">
        <v>134.57653329403385</v>
      </c>
    </row>
    <row r="2365" spans="1:9" x14ac:dyDescent="0.2">
      <c r="A2365" s="5" t="s">
        <v>96</v>
      </c>
      <c r="B2365" s="5" t="s">
        <v>65</v>
      </c>
      <c r="C2365" s="5" t="s">
        <v>50</v>
      </c>
      <c r="D2365" s="5">
        <v>612153</v>
      </c>
      <c r="E2365" s="5">
        <v>36136</v>
      </c>
      <c r="F2365" s="5">
        <v>81264489</v>
      </c>
      <c r="G2365" s="5">
        <v>5.9030993885515546</v>
      </c>
      <c r="H2365" s="5">
        <v>2248.8512563648437</v>
      </c>
      <c r="I2365" s="5">
        <v>132.75192476390706</v>
      </c>
    </row>
    <row r="2366" spans="1:9" x14ac:dyDescent="0.2">
      <c r="A2366" s="5" t="s">
        <v>96</v>
      </c>
      <c r="B2366" s="5" t="s">
        <v>65</v>
      </c>
      <c r="C2366" s="5" t="s">
        <v>51</v>
      </c>
      <c r="D2366" s="5">
        <v>611955</v>
      </c>
      <c r="E2366" s="5">
        <v>35228</v>
      </c>
      <c r="F2366" s="5">
        <v>81057520</v>
      </c>
      <c r="G2366" s="5">
        <v>5.7566324321232774</v>
      </c>
      <c r="H2366" s="5">
        <v>2300.9401612353809</v>
      </c>
      <c r="I2366" s="5">
        <v>132.45666756542556</v>
      </c>
    </row>
    <row r="2367" spans="1:9" x14ac:dyDescent="0.2">
      <c r="A2367" s="5" t="s">
        <v>96</v>
      </c>
      <c r="B2367" s="5" t="s">
        <v>65</v>
      </c>
      <c r="C2367" s="5" t="s">
        <v>52</v>
      </c>
      <c r="D2367" s="5">
        <v>611377</v>
      </c>
      <c r="E2367" s="5">
        <v>34193</v>
      </c>
      <c r="F2367" s="5">
        <v>79502862</v>
      </c>
      <c r="G2367" s="5">
        <v>5.5927848119899837</v>
      </c>
      <c r="H2367" s="5">
        <v>2325.1209896762493</v>
      </c>
      <c r="I2367" s="5">
        <v>130.03901357100446</v>
      </c>
    </row>
    <row r="2368" spans="1:9" x14ac:dyDescent="0.2">
      <c r="A2368" s="5" t="s">
        <v>96</v>
      </c>
      <c r="B2368" s="5" t="s">
        <v>65</v>
      </c>
      <c r="C2368" s="5" t="s">
        <v>53</v>
      </c>
      <c r="D2368" s="5">
        <v>610701</v>
      </c>
      <c r="E2368" s="5">
        <v>32926</v>
      </c>
      <c r="F2368" s="5">
        <v>76939775</v>
      </c>
      <c r="G2368" s="5">
        <v>5.3915091018354317</v>
      </c>
      <c r="H2368" s="5">
        <v>2336.7483144019925</v>
      </c>
      <c r="I2368" s="5">
        <v>125.98599805796945</v>
      </c>
    </row>
    <row r="2369" spans="1:9" x14ac:dyDescent="0.2">
      <c r="A2369" s="5" t="s">
        <v>96</v>
      </c>
      <c r="B2369" s="5" t="s">
        <v>65</v>
      </c>
      <c r="C2369" s="5" t="s">
        <v>54</v>
      </c>
      <c r="D2369" s="5">
        <v>610167</v>
      </c>
      <c r="E2369" s="5">
        <v>33068</v>
      </c>
      <c r="F2369" s="5">
        <v>77356226</v>
      </c>
      <c r="G2369" s="5">
        <v>5.4194999074023995</v>
      </c>
      <c r="H2369" s="5">
        <v>2339.3076690456028</v>
      </c>
      <c r="I2369" s="5">
        <v>126.77877695778369</v>
      </c>
    </row>
    <row r="2370" spans="1:9" x14ac:dyDescent="0.2">
      <c r="A2370" s="5" t="s">
        <v>96</v>
      </c>
      <c r="B2370" s="5" t="s">
        <v>65</v>
      </c>
      <c r="C2370" s="5" t="s">
        <v>55</v>
      </c>
      <c r="D2370" s="5">
        <v>610164</v>
      </c>
      <c r="E2370" s="5">
        <v>32107</v>
      </c>
      <c r="F2370" s="5">
        <v>74355972</v>
      </c>
      <c r="G2370" s="5">
        <v>5.2620279138067803</v>
      </c>
      <c r="H2370" s="5">
        <v>2315.8803999127917</v>
      </c>
      <c r="I2370" s="5">
        <v>121.86227309379117</v>
      </c>
    </row>
    <row r="2371" spans="1:9" x14ac:dyDescent="0.2">
      <c r="A2371" s="5" t="s">
        <v>96</v>
      </c>
      <c r="B2371" s="5" t="s">
        <v>65</v>
      </c>
      <c r="C2371" s="5" t="s">
        <v>56</v>
      </c>
      <c r="D2371" s="5">
        <v>609837</v>
      </c>
      <c r="E2371" s="5">
        <v>31505</v>
      </c>
      <c r="F2371" s="5">
        <v>72585097</v>
      </c>
      <c r="G2371" s="5">
        <v>5.1661345572669415</v>
      </c>
      <c r="H2371" s="5">
        <v>2303.9230915727662</v>
      </c>
      <c r="I2371" s="5">
        <v>119.02376700659356</v>
      </c>
    </row>
    <row r="2372" spans="1:9" x14ac:dyDescent="0.2">
      <c r="A2372" s="5" t="s">
        <v>96</v>
      </c>
      <c r="B2372" s="5" t="s">
        <v>65</v>
      </c>
      <c r="C2372" s="5" t="s">
        <v>57</v>
      </c>
      <c r="D2372" s="5">
        <v>609924</v>
      </c>
      <c r="E2372" s="5">
        <v>31095</v>
      </c>
      <c r="F2372" s="5">
        <v>72276369</v>
      </c>
      <c r="G2372" s="5">
        <v>5.0981761662108722</v>
      </c>
      <c r="H2372" s="5">
        <v>2324.372696575012</v>
      </c>
      <c r="I2372" s="5">
        <v>118.50061483070021</v>
      </c>
    </row>
    <row r="2373" spans="1:9" x14ac:dyDescent="0.2">
      <c r="A2373" s="5" t="s">
        <v>96</v>
      </c>
      <c r="B2373" s="5" t="s">
        <v>65</v>
      </c>
      <c r="C2373" s="5" t="s">
        <v>58</v>
      </c>
      <c r="D2373" s="5">
        <v>610902</v>
      </c>
      <c r="E2373" s="5">
        <v>29717</v>
      </c>
      <c r="F2373" s="5">
        <v>70689029</v>
      </c>
      <c r="G2373" s="5">
        <v>4.8644463432760086</v>
      </c>
      <c r="H2373" s="5">
        <v>2378.7404179425916</v>
      </c>
      <c r="I2373" s="5">
        <v>115.71255127663684</v>
      </c>
    </row>
    <row r="2374" spans="1:9" x14ac:dyDescent="0.2">
      <c r="A2374" s="5" t="s">
        <v>96</v>
      </c>
      <c r="B2374" s="5" t="s">
        <v>65</v>
      </c>
      <c r="C2374" s="5" t="s">
        <v>59</v>
      </c>
      <c r="D2374" s="5">
        <v>612102</v>
      </c>
      <c r="E2374" s="5">
        <v>29367</v>
      </c>
      <c r="F2374" s="5">
        <v>70681378</v>
      </c>
      <c r="G2374" s="5">
        <v>4.7977297901330171</v>
      </c>
      <c r="H2374" s="5">
        <v>2406.8300473320392</v>
      </c>
      <c r="I2374" s="5">
        <v>115.47320217872185</v>
      </c>
    </row>
    <row r="2375" spans="1:9" x14ac:dyDescent="0.2">
      <c r="A2375" s="5" t="s">
        <v>96</v>
      </c>
      <c r="B2375" s="5" t="s">
        <v>65</v>
      </c>
      <c r="C2375" s="5" t="s">
        <v>60</v>
      </c>
      <c r="D2375" s="5">
        <v>613909</v>
      </c>
      <c r="E2375" s="5">
        <v>28880</v>
      </c>
      <c r="F2375" s="5">
        <v>71227089</v>
      </c>
      <c r="G2375" s="5">
        <v>4.7042802760669744</v>
      </c>
      <c r="H2375" s="5">
        <v>2466.3119459833797</v>
      </c>
      <c r="I2375" s="5">
        <v>116.02222642117968</v>
      </c>
    </row>
    <row r="2376" spans="1:9" x14ac:dyDescent="0.2">
      <c r="A2376" s="5" t="s">
        <v>96</v>
      </c>
      <c r="B2376" s="5" t="s">
        <v>65</v>
      </c>
      <c r="C2376" s="5" t="s">
        <v>61</v>
      </c>
      <c r="D2376" s="5">
        <v>615720</v>
      </c>
      <c r="E2376" s="5">
        <v>28788</v>
      </c>
      <c r="F2376" s="5">
        <v>72452356</v>
      </c>
      <c r="G2376" s="5">
        <v>4.675501851490937</v>
      </c>
      <c r="H2376" s="5">
        <v>2516.7554536612479</v>
      </c>
      <c r="I2376" s="5">
        <v>117.67094783343077</v>
      </c>
    </row>
    <row r="2377" spans="1:9" x14ac:dyDescent="0.2">
      <c r="A2377" s="5" t="s">
        <v>96</v>
      </c>
      <c r="B2377" s="5" t="s">
        <v>65</v>
      </c>
      <c r="C2377" s="5" t="s">
        <v>62</v>
      </c>
      <c r="D2377" s="5">
        <v>617916</v>
      </c>
      <c r="E2377" s="5">
        <v>28057</v>
      </c>
      <c r="F2377" s="5">
        <v>70416001</v>
      </c>
      <c r="G2377" s="5">
        <v>4.5405848044070716</v>
      </c>
      <c r="H2377" s="5">
        <v>2509.748048615319</v>
      </c>
      <c r="I2377" s="5">
        <v>113.95723852433017</v>
      </c>
    </row>
    <row r="2378" spans="1:9" x14ac:dyDescent="0.2">
      <c r="A2378" s="5" t="s">
        <v>97</v>
      </c>
      <c r="B2378" s="5" t="s">
        <v>44</v>
      </c>
      <c r="C2378" s="5" t="s">
        <v>45</v>
      </c>
      <c r="D2378" s="5">
        <v>471949</v>
      </c>
      <c r="E2378" s="5">
        <v>4112</v>
      </c>
      <c r="F2378" s="5">
        <v>49290914</v>
      </c>
      <c r="G2378" s="5">
        <v>0.87128058328336322</v>
      </c>
      <c r="H2378" s="5">
        <v>11987.089980544748</v>
      </c>
      <c r="I2378" s="5">
        <v>104.44118750119186</v>
      </c>
    </row>
    <row r="2379" spans="1:9" x14ac:dyDescent="0.2">
      <c r="A2379" s="5" t="s">
        <v>97</v>
      </c>
      <c r="B2379" s="5" t="s">
        <v>44</v>
      </c>
      <c r="C2379" s="5" t="s">
        <v>46</v>
      </c>
      <c r="D2379" s="5">
        <v>477833</v>
      </c>
      <c r="E2379" s="5">
        <v>4214</v>
      </c>
      <c r="F2379" s="5">
        <v>51471085</v>
      </c>
      <c r="G2379" s="5">
        <v>0.88189806899063061</v>
      </c>
      <c r="H2379" s="5">
        <v>12214.305885144755</v>
      </c>
      <c r="I2379" s="5">
        <v>107.71772774170056</v>
      </c>
    </row>
    <row r="2380" spans="1:9" x14ac:dyDescent="0.2">
      <c r="A2380" s="5" t="s">
        <v>97</v>
      </c>
      <c r="B2380" s="5" t="s">
        <v>44</v>
      </c>
      <c r="C2380" s="5" t="s">
        <v>47</v>
      </c>
      <c r="D2380" s="5">
        <v>483343</v>
      </c>
      <c r="E2380" s="5">
        <v>4208</v>
      </c>
      <c r="F2380" s="5">
        <v>51513134</v>
      </c>
      <c r="G2380" s="5">
        <v>0.87060327758962064</v>
      </c>
      <c r="H2380" s="5">
        <v>12241.714353612168</v>
      </c>
      <c r="I2380" s="5">
        <v>106.57676639570657</v>
      </c>
    </row>
    <row r="2381" spans="1:9" x14ac:dyDescent="0.2">
      <c r="A2381" s="5" t="s">
        <v>97</v>
      </c>
      <c r="B2381" s="5" t="s">
        <v>44</v>
      </c>
      <c r="C2381" s="5" t="s">
        <v>48</v>
      </c>
      <c r="D2381" s="5">
        <v>488083</v>
      </c>
      <c r="E2381" s="5">
        <v>4165</v>
      </c>
      <c r="F2381" s="5">
        <v>51582760</v>
      </c>
      <c r="G2381" s="5">
        <v>0.85333846907185873</v>
      </c>
      <c r="H2381" s="5">
        <v>12384.816326530612</v>
      </c>
      <c r="I2381" s="5">
        <v>105.68440203817794</v>
      </c>
    </row>
    <row r="2382" spans="1:9" x14ac:dyDescent="0.2">
      <c r="A2382" s="5" t="s">
        <v>97</v>
      </c>
      <c r="B2382" s="5" t="s">
        <v>44</v>
      </c>
      <c r="C2382" s="5" t="s">
        <v>49</v>
      </c>
      <c r="D2382" s="5">
        <v>492316</v>
      </c>
      <c r="E2382" s="5">
        <v>4223</v>
      </c>
      <c r="F2382" s="5">
        <v>50014571</v>
      </c>
      <c r="G2382" s="5">
        <v>0.85778239992200134</v>
      </c>
      <c r="H2382" s="5">
        <v>11843.374615202463</v>
      </c>
      <c r="I2382" s="5">
        <v>101.59038300603677</v>
      </c>
    </row>
    <row r="2383" spans="1:9" x14ac:dyDescent="0.2">
      <c r="A2383" s="5" t="s">
        <v>97</v>
      </c>
      <c r="B2383" s="5" t="s">
        <v>44</v>
      </c>
      <c r="C2383" s="5" t="s">
        <v>50</v>
      </c>
      <c r="D2383" s="5">
        <v>494879</v>
      </c>
      <c r="E2383" s="5">
        <v>4131</v>
      </c>
      <c r="F2383" s="5">
        <v>48616802</v>
      </c>
      <c r="G2383" s="5">
        <v>0.83474950442431384</v>
      </c>
      <c r="H2383" s="5">
        <v>11768.773178407166</v>
      </c>
      <c r="I2383" s="5">
        <v>98.239775783575382</v>
      </c>
    </row>
    <row r="2384" spans="1:9" x14ac:dyDescent="0.2">
      <c r="A2384" s="5" t="s">
        <v>97</v>
      </c>
      <c r="B2384" s="5" t="s">
        <v>44</v>
      </c>
      <c r="C2384" s="5" t="s">
        <v>51</v>
      </c>
      <c r="D2384" s="5">
        <v>498126</v>
      </c>
      <c r="E2384" s="5">
        <v>4260</v>
      </c>
      <c r="F2384" s="5">
        <v>51320510</v>
      </c>
      <c r="G2384" s="5">
        <v>0.85520530950000606</v>
      </c>
      <c r="H2384" s="5">
        <v>12047.068075117371</v>
      </c>
      <c r="I2384" s="5">
        <v>103.02716581748393</v>
      </c>
    </row>
    <row r="2385" spans="1:9" x14ac:dyDescent="0.2">
      <c r="A2385" s="5" t="s">
        <v>97</v>
      </c>
      <c r="B2385" s="5" t="s">
        <v>44</v>
      </c>
      <c r="C2385" s="5" t="s">
        <v>52</v>
      </c>
      <c r="D2385" s="5">
        <v>502165</v>
      </c>
      <c r="E2385" s="5">
        <v>4312</v>
      </c>
      <c r="F2385" s="5">
        <v>52823136</v>
      </c>
      <c r="G2385" s="5">
        <v>0.85868190734121252</v>
      </c>
      <c r="H2385" s="5">
        <v>12250.26345083488</v>
      </c>
      <c r="I2385" s="5">
        <v>105.19079585395238</v>
      </c>
    </row>
    <row r="2386" spans="1:9" x14ac:dyDescent="0.2">
      <c r="A2386" s="5" t="s">
        <v>97</v>
      </c>
      <c r="B2386" s="5" t="s">
        <v>44</v>
      </c>
      <c r="C2386" s="5" t="s">
        <v>53</v>
      </c>
      <c r="D2386" s="5">
        <v>506802</v>
      </c>
      <c r="E2386" s="5">
        <v>4180</v>
      </c>
      <c r="F2386" s="5">
        <v>51984871</v>
      </c>
      <c r="G2386" s="5">
        <v>0.82477969700198495</v>
      </c>
      <c r="H2386" s="5">
        <v>12436.572009569378</v>
      </c>
      <c r="I2386" s="5">
        <v>102.57432093796</v>
      </c>
    </row>
    <row r="2387" spans="1:9" x14ac:dyDescent="0.2">
      <c r="A2387" s="5" t="s">
        <v>97</v>
      </c>
      <c r="B2387" s="5" t="s">
        <v>44</v>
      </c>
      <c r="C2387" s="5" t="s">
        <v>54</v>
      </c>
      <c r="D2387" s="5">
        <v>511947</v>
      </c>
      <c r="E2387" s="5">
        <v>4272</v>
      </c>
      <c r="F2387" s="5">
        <v>54756978</v>
      </c>
      <c r="G2387" s="5">
        <v>0.83446137979126744</v>
      </c>
      <c r="H2387" s="5">
        <v>12817.644662921348</v>
      </c>
      <c r="I2387" s="5">
        <v>106.95829451095524</v>
      </c>
    </row>
    <row r="2388" spans="1:9" x14ac:dyDescent="0.2">
      <c r="A2388" s="5" t="s">
        <v>97</v>
      </c>
      <c r="B2388" s="5" t="s">
        <v>44</v>
      </c>
      <c r="C2388" s="5" t="s">
        <v>55</v>
      </c>
      <c r="D2388" s="5">
        <v>517870</v>
      </c>
      <c r="E2388" s="5">
        <v>4255</v>
      </c>
      <c r="F2388" s="5">
        <v>55265777</v>
      </c>
      <c r="G2388" s="5">
        <v>0.82163477320563072</v>
      </c>
      <c r="H2388" s="5">
        <v>12988.431727379553</v>
      </c>
      <c r="I2388" s="5">
        <v>106.71747156622318</v>
      </c>
    </row>
    <row r="2389" spans="1:9" x14ac:dyDescent="0.2">
      <c r="A2389" s="5" t="s">
        <v>97</v>
      </c>
      <c r="B2389" s="5" t="s">
        <v>44</v>
      </c>
      <c r="C2389" s="5" t="s">
        <v>56</v>
      </c>
      <c r="D2389" s="5">
        <v>523763</v>
      </c>
      <c r="E2389" s="5">
        <v>4149</v>
      </c>
      <c r="F2389" s="5">
        <v>56654588</v>
      </c>
      <c r="G2389" s="5">
        <v>0.79215217569778695</v>
      </c>
      <c r="H2389" s="5">
        <v>13654.998312846468</v>
      </c>
      <c r="I2389" s="5">
        <v>108.16836622670941</v>
      </c>
    </row>
    <row r="2390" spans="1:9" x14ac:dyDescent="0.2">
      <c r="A2390" s="5" t="s">
        <v>97</v>
      </c>
      <c r="B2390" s="5" t="s">
        <v>44</v>
      </c>
      <c r="C2390" s="5" t="s">
        <v>57</v>
      </c>
      <c r="D2390" s="5">
        <v>529741</v>
      </c>
      <c r="E2390" s="5">
        <v>4241</v>
      </c>
      <c r="F2390" s="5">
        <v>59847447</v>
      </c>
      <c r="G2390" s="5">
        <v>0.80057990602955031</v>
      </c>
      <c r="H2390" s="5">
        <v>14111.635699127564</v>
      </c>
      <c r="I2390" s="5">
        <v>112.97491981930793</v>
      </c>
    </row>
    <row r="2391" spans="1:9" x14ac:dyDescent="0.2">
      <c r="A2391" s="5" t="s">
        <v>97</v>
      </c>
      <c r="B2391" s="5" t="s">
        <v>44</v>
      </c>
      <c r="C2391" s="5" t="s">
        <v>58</v>
      </c>
      <c r="D2391" s="5">
        <v>534889</v>
      </c>
      <c r="E2391" s="5">
        <v>4253</v>
      </c>
      <c r="F2391" s="5">
        <v>59736232</v>
      </c>
      <c r="G2391" s="5">
        <v>0.79511823948520155</v>
      </c>
      <c r="H2391" s="5">
        <v>14045.669409828357</v>
      </c>
      <c r="I2391" s="5">
        <v>111.67967933533873</v>
      </c>
    </row>
    <row r="2392" spans="1:9" x14ac:dyDescent="0.2">
      <c r="A2392" s="5" t="s">
        <v>97</v>
      </c>
      <c r="B2392" s="5" t="s">
        <v>44</v>
      </c>
      <c r="C2392" s="5" t="s">
        <v>59</v>
      </c>
      <c r="D2392" s="5">
        <v>539741</v>
      </c>
      <c r="E2392" s="5">
        <v>4127</v>
      </c>
      <c r="F2392" s="5">
        <v>59235052</v>
      </c>
      <c r="G2392" s="5">
        <v>0.76462599654278629</v>
      </c>
      <c r="H2392" s="5">
        <v>14353.05354979404</v>
      </c>
      <c r="I2392" s="5">
        <v>109.74717873943243</v>
      </c>
    </row>
    <row r="2393" spans="1:9" x14ac:dyDescent="0.2">
      <c r="A2393" s="5" t="s">
        <v>97</v>
      </c>
      <c r="B2393" s="5" t="s">
        <v>44</v>
      </c>
      <c r="C2393" s="5" t="s">
        <v>60</v>
      </c>
      <c r="D2393" s="5">
        <v>543431</v>
      </c>
      <c r="E2393" s="5">
        <v>4176</v>
      </c>
      <c r="F2393" s="5">
        <v>59616776</v>
      </c>
      <c r="G2393" s="5">
        <v>0.76845082448369706</v>
      </c>
      <c r="H2393" s="5">
        <v>14276.047892720306</v>
      </c>
      <c r="I2393" s="5">
        <v>109.70440773529666</v>
      </c>
    </row>
    <row r="2394" spans="1:9" x14ac:dyDescent="0.2">
      <c r="A2394" s="5" t="s">
        <v>97</v>
      </c>
      <c r="B2394" s="5" t="s">
        <v>44</v>
      </c>
      <c r="C2394" s="5" t="s">
        <v>61</v>
      </c>
      <c r="D2394" s="5">
        <v>545495</v>
      </c>
      <c r="E2394" s="5">
        <v>4101</v>
      </c>
      <c r="F2394" s="5">
        <v>58360421</v>
      </c>
      <c r="G2394" s="5">
        <v>0.75179424192705713</v>
      </c>
      <c r="H2394" s="5">
        <v>14230.778102901731</v>
      </c>
      <c r="I2394" s="5">
        <v>106.9861703590317</v>
      </c>
    </row>
    <row r="2395" spans="1:9" x14ac:dyDescent="0.2">
      <c r="A2395" s="5" t="s">
        <v>97</v>
      </c>
      <c r="B2395" s="5" t="s">
        <v>44</v>
      </c>
      <c r="C2395" s="5" t="s">
        <v>62</v>
      </c>
      <c r="D2395" s="5">
        <v>547270</v>
      </c>
      <c r="E2395" s="5">
        <v>3954</v>
      </c>
      <c r="F2395" s="5">
        <v>58449259</v>
      </c>
      <c r="G2395" s="5">
        <v>0.72249529482705066</v>
      </c>
      <c r="H2395" s="5">
        <v>14782.311330298431</v>
      </c>
      <c r="I2395" s="5">
        <v>106.80150382809217</v>
      </c>
    </row>
    <row r="2396" spans="1:9" x14ac:dyDescent="0.2">
      <c r="A2396" s="5" t="s">
        <v>97</v>
      </c>
      <c r="B2396" s="5" t="s">
        <v>63</v>
      </c>
      <c r="C2396" s="5" t="s">
        <v>45</v>
      </c>
      <c r="D2396" s="5">
        <v>471949</v>
      </c>
      <c r="E2396" s="5">
        <v>20572</v>
      </c>
      <c r="F2396" s="5">
        <v>42024829</v>
      </c>
      <c r="G2396" s="5">
        <v>4.3589455640334016</v>
      </c>
      <c r="H2396" s="5">
        <v>2042.8168870309157</v>
      </c>
      <c r="I2396" s="5">
        <v>89.04527607855934</v>
      </c>
    </row>
    <row r="2397" spans="1:9" x14ac:dyDescent="0.2">
      <c r="A2397" s="5" t="s">
        <v>97</v>
      </c>
      <c r="B2397" s="5" t="s">
        <v>63</v>
      </c>
      <c r="C2397" s="5" t="s">
        <v>46</v>
      </c>
      <c r="D2397" s="5">
        <v>477833</v>
      </c>
      <c r="E2397" s="5">
        <v>20505</v>
      </c>
      <c r="F2397" s="5">
        <v>42061408</v>
      </c>
      <c r="G2397" s="5">
        <v>4.2912481975920453</v>
      </c>
      <c r="H2397" s="5">
        <v>2051.2756888563763</v>
      </c>
      <c r="I2397" s="5">
        <v>88.025331025693077</v>
      </c>
    </row>
    <row r="2398" spans="1:9" x14ac:dyDescent="0.2">
      <c r="A2398" s="5" t="s">
        <v>97</v>
      </c>
      <c r="B2398" s="5" t="s">
        <v>63</v>
      </c>
      <c r="C2398" s="5" t="s">
        <v>47</v>
      </c>
      <c r="D2398" s="5">
        <v>483343</v>
      </c>
      <c r="E2398" s="5">
        <v>20285</v>
      </c>
      <c r="F2398" s="5">
        <v>41742414</v>
      </c>
      <c r="G2398" s="5">
        <v>4.1968126154718286</v>
      </c>
      <c r="H2398" s="5">
        <v>2057.797091446882</v>
      </c>
      <c r="I2398" s="5">
        <v>86.361887934655101</v>
      </c>
    </row>
    <row r="2399" spans="1:9" x14ac:dyDescent="0.2">
      <c r="A2399" s="5" t="s">
        <v>97</v>
      </c>
      <c r="B2399" s="5" t="s">
        <v>63</v>
      </c>
      <c r="C2399" s="5" t="s">
        <v>48</v>
      </c>
      <c r="D2399" s="5">
        <v>488083</v>
      </c>
      <c r="E2399" s="5">
        <v>20569</v>
      </c>
      <c r="F2399" s="5">
        <v>42327403</v>
      </c>
      <c r="G2399" s="5">
        <v>4.2142422497812868</v>
      </c>
      <c r="H2399" s="5">
        <v>2057.8250279546892</v>
      </c>
      <c r="I2399" s="5">
        <v>86.721731754640089</v>
      </c>
    </row>
    <row r="2400" spans="1:9" x14ac:dyDescent="0.2">
      <c r="A2400" s="5" t="s">
        <v>97</v>
      </c>
      <c r="B2400" s="5" t="s">
        <v>63</v>
      </c>
      <c r="C2400" s="5" t="s">
        <v>49</v>
      </c>
      <c r="D2400" s="5">
        <v>492316</v>
      </c>
      <c r="E2400" s="5">
        <v>20978</v>
      </c>
      <c r="F2400" s="5">
        <v>43617813</v>
      </c>
      <c r="G2400" s="5">
        <v>4.2610843442016915</v>
      </c>
      <c r="H2400" s="5">
        <v>2079.2169415578223</v>
      </c>
      <c r="I2400" s="5">
        <v>88.597187578709608</v>
      </c>
    </row>
    <row r="2401" spans="1:9" x14ac:dyDescent="0.2">
      <c r="A2401" s="5" t="s">
        <v>97</v>
      </c>
      <c r="B2401" s="5" t="s">
        <v>63</v>
      </c>
      <c r="C2401" s="5" t="s">
        <v>50</v>
      </c>
      <c r="D2401" s="5">
        <v>494879</v>
      </c>
      <c r="E2401" s="5">
        <v>21909</v>
      </c>
      <c r="F2401" s="5">
        <v>46291669</v>
      </c>
      <c r="G2401" s="5">
        <v>4.4271427965219781</v>
      </c>
      <c r="H2401" s="5">
        <v>2112.9065224337032</v>
      </c>
      <c r="I2401" s="5">
        <v>93.541388905166713</v>
      </c>
    </row>
    <row r="2402" spans="1:9" x14ac:dyDescent="0.2">
      <c r="A2402" s="5" t="s">
        <v>97</v>
      </c>
      <c r="B2402" s="5" t="s">
        <v>63</v>
      </c>
      <c r="C2402" s="5" t="s">
        <v>51</v>
      </c>
      <c r="D2402" s="5">
        <v>498126</v>
      </c>
      <c r="E2402" s="5">
        <v>22461</v>
      </c>
      <c r="F2402" s="5">
        <v>48426524</v>
      </c>
      <c r="G2402" s="5">
        <v>4.5091001072017924</v>
      </c>
      <c r="H2402" s="5">
        <v>2156.0270691420683</v>
      </c>
      <c r="I2402" s="5">
        <v>97.217418885984671</v>
      </c>
    </row>
    <row r="2403" spans="1:9" x14ac:dyDescent="0.2">
      <c r="A2403" s="5" t="s">
        <v>97</v>
      </c>
      <c r="B2403" s="5" t="s">
        <v>63</v>
      </c>
      <c r="C2403" s="5" t="s">
        <v>52</v>
      </c>
      <c r="D2403" s="5">
        <v>502165</v>
      </c>
      <c r="E2403" s="5">
        <v>22758</v>
      </c>
      <c r="F2403" s="5">
        <v>50105173</v>
      </c>
      <c r="G2403" s="5">
        <v>4.5319765415749806</v>
      </c>
      <c r="H2403" s="5">
        <v>2201.6509798752086</v>
      </c>
      <c r="I2403" s="5">
        <v>99.778305935300153</v>
      </c>
    </row>
    <row r="2404" spans="1:9" x14ac:dyDescent="0.2">
      <c r="A2404" s="5" t="s">
        <v>97</v>
      </c>
      <c r="B2404" s="5" t="s">
        <v>63</v>
      </c>
      <c r="C2404" s="5" t="s">
        <v>53</v>
      </c>
      <c r="D2404" s="5">
        <v>506802</v>
      </c>
      <c r="E2404" s="5">
        <v>22615</v>
      </c>
      <c r="F2404" s="5">
        <v>50262895</v>
      </c>
      <c r="G2404" s="5">
        <v>4.4622949396411222</v>
      </c>
      <c r="H2404" s="5">
        <v>2222.5467609993366</v>
      </c>
      <c r="I2404" s="5">
        <v>99.176591647231064</v>
      </c>
    </row>
    <row r="2405" spans="1:9" x14ac:dyDescent="0.2">
      <c r="A2405" s="5" t="s">
        <v>97</v>
      </c>
      <c r="B2405" s="5" t="s">
        <v>63</v>
      </c>
      <c r="C2405" s="5" t="s">
        <v>54</v>
      </c>
      <c r="D2405" s="5">
        <v>511947</v>
      </c>
      <c r="E2405" s="5">
        <v>22544</v>
      </c>
      <c r="F2405" s="5">
        <v>50732958</v>
      </c>
      <c r="G2405" s="5">
        <v>4.4035808394228306</v>
      </c>
      <c r="H2405" s="5">
        <v>2250.3973562810502</v>
      </c>
      <c r="I2405" s="5">
        <v>99.09806679207027</v>
      </c>
    </row>
    <row r="2406" spans="1:9" x14ac:dyDescent="0.2">
      <c r="A2406" s="5" t="s">
        <v>97</v>
      </c>
      <c r="B2406" s="5" t="s">
        <v>63</v>
      </c>
      <c r="C2406" s="5" t="s">
        <v>55</v>
      </c>
      <c r="D2406" s="5">
        <v>517870</v>
      </c>
      <c r="E2406" s="5">
        <v>22372</v>
      </c>
      <c r="F2406" s="5">
        <v>50446626</v>
      </c>
      <c r="G2406" s="5">
        <v>4.3200030895784653</v>
      </c>
      <c r="H2406" s="5">
        <v>2254.9001430359376</v>
      </c>
      <c r="I2406" s="5">
        <v>97.411755846061752</v>
      </c>
    </row>
    <row r="2407" spans="1:9" x14ac:dyDescent="0.2">
      <c r="A2407" s="5" t="s">
        <v>97</v>
      </c>
      <c r="B2407" s="5" t="s">
        <v>63</v>
      </c>
      <c r="C2407" s="5" t="s">
        <v>56</v>
      </c>
      <c r="D2407" s="5">
        <v>523763</v>
      </c>
      <c r="E2407" s="5">
        <v>22278</v>
      </c>
      <c r="F2407" s="5">
        <v>50100334</v>
      </c>
      <c r="G2407" s="5">
        <v>4.2534505110135692</v>
      </c>
      <c r="H2407" s="5">
        <v>2248.8703653828888</v>
      </c>
      <c r="I2407" s="5">
        <v>95.654588048411213</v>
      </c>
    </row>
    <row r="2408" spans="1:9" x14ac:dyDescent="0.2">
      <c r="A2408" s="5" t="s">
        <v>97</v>
      </c>
      <c r="B2408" s="5" t="s">
        <v>63</v>
      </c>
      <c r="C2408" s="5" t="s">
        <v>57</v>
      </c>
      <c r="D2408" s="5">
        <v>529741</v>
      </c>
      <c r="E2408" s="5">
        <v>22108</v>
      </c>
      <c r="F2408" s="5">
        <v>49906654</v>
      </c>
      <c r="G2408" s="5">
        <v>4.173360189224546</v>
      </c>
      <c r="H2408" s="5">
        <v>2257.4024787407275</v>
      </c>
      <c r="I2408" s="5">
        <v>94.209536358333594</v>
      </c>
    </row>
    <row r="2409" spans="1:9" x14ac:dyDescent="0.2">
      <c r="A2409" s="5" t="s">
        <v>97</v>
      </c>
      <c r="B2409" s="5" t="s">
        <v>63</v>
      </c>
      <c r="C2409" s="5" t="s">
        <v>58</v>
      </c>
      <c r="D2409" s="5">
        <v>534889</v>
      </c>
      <c r="E2409" s="5">
        <v>22015</v>
      </c>
      <c r="F2409" s="5">
        <v>49644941</v>
      </c>
      <c r="G2409" s="5">
        <v>4.1158072048593262</v>
      </c>
      <c r="H2409" s="5">
        <v>2255.0506927095162</v>
      </c>
      <c r="I2409" s="5">
        <v>92.813538883768402</v>
      </c>
    </row>
    <row r="2410" spans="1:9" x14ac:dyDescent="0.2">
      <c r="A2410" s="5" t="s">
        <v>97</v>
      </c>
      <c r="B2410" s="5" t="s">
        <v>63</v>
      </c>
      <c r="C2410" s="5" t="s">
        <v>59</v>
      </c>
      <c r="D2410" s="5">
        <v>539741</v>
      </c>
      <c r="E2410" s="5">
        <v>22111</v>
      </c>
      <c r="F2410" s="5">
        <v>49890642</v>
      </c>
      <c r="G2410" s="5">
        <v>4.0965944777217222</v>
      </c>
      <c r="H2410" s="5">
        <v>2256.3720320202615</v>
      </c>
      <c r="I2410" s="5">
        <v>92.434412060599442</v>
      </c>
    </row>
    <row r="2411" spans="1:9" x14ac:dyDescent="0.2">
      <c r="A2411" s="5" t="s">
        <v>97</v>
      </c>
      <c r="B2411" s="5" t="s">
        <v>63</v>
      </c>
      <c r="C2411" s="5" t="s">
        <v>60</v>
      </c>
      <c r="D2411" s="5">
        <v>543431</v>
      </c>
      <c r="E2411" s="5">
        <v>22104</v>
      </c>
      <c r="F2411" s="5">
        <v>49856450</v>
      </c>
      <c r="G2411" s="5">
        <v>4.0674897089050868</v>
      </c>
      <c r="H2411" s="5">
        <v>2255.5397213174087</v>
      </c>
      <c r="I2411" s="5">
        <v>91.743846044852063</v>
      </c>
    </row>
    <row r="2412" spans="1:9" x14ac:dyDescent="0.2">
      <c r="A2412" s="5" t="s">
        <v>97</v>
      </c>
      <c r="B2412" s="5" t="s">
        <v>63</v>
      </c>
      <c r="C2412" s="5" t="s">
        <v>61</v>
      </c>
      <c r="D2412" s="5">
        <v>545495</v>
      </c>
      <c r="E2412" s="5">
        <v>22029</v>
      </c>
      <c r="F2412" s="5">
        <v>50441382</v>
      </c>
      <c r="G2412" s="5">
        <v>4.0383504890053992</v>
      </c>
      <c r="H2412" s="5">
        <v>2289.7717554133187</v>
      </c>
      <c r="I2412" s="5">
        <v>92.469008881841262</v>
      </c>
    </row>
    <row r="2413" spans="1:9" x14ac:dyDescent="0.2">
      <c r="A2413" s="5" t="s">
        <v>97</v>
      </c>
      <c r="B2413" s="5" t="s">
        <v>63</v>
      </c>
      <c r="C2413" s="5" t="s">
        <v>62</v>
      </c>
      <c r="D2413" s="5">
        <v>547270</v>
      </c>
      <c r="E2413" s="5">
        <v>21699</v>
      </c>
      <c r="F2413" s="5">
        <v>50106139</v>
      </c>
      <c r="G2413" s="5">
        <v>3.9649533137208324</v>
      </c>
      <c r="H2413" s="5">
        <v>2309.145075809945</v>
      </c>
      <c r="I2413" s="5">
        <v>91.556524201947852</v>
      </c>
    </row>
    <row r="2414" spans="1:9" x14ac:dyDescent="0.2">
      <c r="A2414" s="5" t="s">
        <v>97</v>
      </c>
      <c r="B2414" s="5" t="s">
        <v>64</v>
      </c>
      <c r="C2414" s="5" t="s">
        <v>45</v>
      </c>
      <c r="D2414" s="5">
        <v>431253</v>
      </c>
      <c r="E2414" s="5">
        <v>34264</v>
      </c>
      <c r="F2414" s="5">
        <v>21549676</v>
      </c>
      <c r="G2414" s="5">
        <v>7.9452200912225539</v>
      </c>
      <c r="H2414" s="5">
        <v>628.93053934158297</v>
      </c>
      <c r="I2414" s="5">
        <v>49.969915571601824</v>
      </c>
    </row>
    <row r="2415" spans="1:9" x14ac:dyDescent="0.2">
      <c r="A2415" s="5" t="s">
        <v>97</v>
      </c>
      <c r="B2415" s="5" t="s">
        <v>64</v>
      </c>
      <c r="C2415" s="5" t="s">
        <v>46</v>
      </c>
      <c r="D2415" s="5">
        <v>437039</v>
      </c>
      <c r="E2415" s="5">
        <v>34251</v>
      </c>
      <c r="F2415" s="5">
        <v>21189991</v>
      </c>
      <c r="G2415" s="5">
        <v>7.8370580199936386</v>
      </c>
      <c r="H2415" s="5">
        <v>618.66780531955271</v>
      </c>
      <c r="I2415" s="5">
        <v>48.485354853914636</v>
      </c>
    </row>
    <row r="2416" spans="1:9" x14ac:dyDescent="0.2">
      <c r="A2416" s="5" t="s">
        <v>97</v>
      </c>
      <c r="B2416" s="5" t="s">
        <v>64</v>
      </c>
      <c r="C2416" s="5" t="s">
        <v>47</v>
      </c>
      <c r="D2416" s="5">
        <v>442282</v>
      </c>
      <c r="E2416" s="5">
        <v>33090</v>
      </c>
      <c r="F2416" s="5">
        <v>20534119</v>
      </c>
      <c r="G2416" s="5">
        <v>7.4816519776974868</v>
      </c>
      <c r="H2416" s="5">
        <v>620.55361136294948</v>
      </c>
      <c r="I2416" s="5">
        <v>46.427661537209289</v>
      </c>
    </row>
    <row r="2417" spans="1:9" x14ac:dyDescent="0.2">
      <c r="A2417" s="5" t="s">
        <v>97</v>
      </c>
      <c r="B2417" s="5" t="s">
        <v>64</v>
      </c>
      <c r="C2417" s="5" t="s">
        <v>48</v>
      </c>
      <c r="D2417" s="5">
        <v>446842</v>
      </c>
      <c r="E2417" s="5">
        <v>32421</v>
      </c>
      <c r="F2417" s="5">
        <v>20378848</v>
      </c>
      <c r="G2417" s="5">
        <v>7.255584748076501</v>
      </c>
      <c r="H2417" s="5">
        <v>628.56938404120785</v>
      </c>
      <c r="I2417" s="5">
        <v>45.606384359572289</v>
      </c>
    </row>
    <row r="2418" spans="1:9" x14ac:dyDescent="0.2">
      <c r="A2418" s="5" t="s">
        <v>97</v>
      </c>
      <c r="B2418" s="5" t="s">
        <v>64</v>
      </c>
      <c r="C2418" s="5" t="s">
        <v>49</v>
      </c>
      <c r="D2418" s="5">
        <v>450882</v>
      </c>
      <c r="E2418" s="5">
        <v>32487</v>
      </c>
      <c r="F2418" s="5">
        <v>20509730</v>
      </c>
      <c r="G2418" s="5">
        <v>7.2052111195390367</v>
      </c>
      <c r="H2418" s="5">
        <v>631.3211438421522</v>
      </c>
      <c r="I2418" s="5">
        <v>45.488021256115793</v>
      </c>
    </row>
    <row r="2419" spans="1:9" x14ac:dyDescent="0.2">
      <c r="A2419" s="5" t="s">
        <v>97</v>
      </c>
      <c r="B2419" s="5" t="s">
        <v>64</v>
      </c>
      <c r="C2419" s="5" t="s">
        <v>50</v>
      </c>
      <c r="D2419" s="5">
        <v>453447</v>
      </c>
      <c r="E2419" s="5">
        <v>33430</v>
      </c>
      <c r="F2419" s="5">
        <v>20882076</v>
      </c>
      <c r="G2419" s="5">
        <v>7.3724161809428663</v>
      </c>
      <c r="H2419" s="5">
        <v>624.65079270116667</v>
      </c>
      <c r="I2419" s="5">
        <v>46.05185611548869</v>
      </c>
    </row>
    <row r="2420" spans="1:9" x14ac:dyDescent="0.2">
      <c r="A2420" s="5" t="s">
        <v>97</v>
      </c>
      <c r="B2420" s="5" t="s">
        <v>64</v>
      </c>
      <c r="C2420" s="5" t="s">
        <v>51</v>
      </c>
      <c r="D2420" s="5">
        <v>456459</v>
      </c>
      <c r="E2420" s="5">
        <v>34551</v>
      </c>
      <c r="F2420" s="5">
        <v>20965771</v>
      </c>
      <c r="G2420" s="5">
        <v>7.5693545312941577</v>
      </c>
      <c r="H2420" s="5">
        <v>606.80648895835145</v>
      </c>
      <c r="I2420" s="5">
        <v>45.93133446815596</v>
      </c>
    </row>
    <row r="2421" spans="1:9" x14ac:dyDescent="0.2">
      <c r="A2421" s="5" t="s">
        <v>97</v>
      </c>
      <c r="B2421" s="5" t="s">
        <v>64</v>
      </c>
      <c r="C2421" s="5" t="s">
        <v>52</v>
      </c>
      <c r="D2421" s="5">
        <v>459769</v>
      </c>
      <c r="E2421" s="5">
        <v>34918</v>
      </c>
      <c r="F2421" s="5">
        <v>20568045</v>
      </c>
      <c r="G2421" s="5">
        <v>7.5946834171072863</v>
      </c>
      <c r="H2421" s="5">
        <v>589.03846153846155</v>
      </c>
      <c r="I2421" s="5">
        <v>44.735606358845423</v>
      </c>
    </row>
    <row r="2422" spans="1:9" x14ac:dyDescent="0.2">
      <c r="A2422" s="5" t="s">
        <v>97</v>
      </c>
      <c r="B2422" s="5" t="s">
        <v>64</v>
      </c>
      <c r="C2422" s="5" t="s">
        <v>53</v>
      </c>
      <c r="D2422" s="5">
        <v>463544</v>
      </c>
      <c r="E2422" s="5">
        <v>34871</v>
      </c>
      <c r="F2422" s="5">
        <v>20925091</v>
      </c>
      <c r="G2422" s="5">
        <v>7.5226947172220973</v>
      </c>
      <c r="H2422" s="5">
        <v>600.0714347165266</v>
      </c>
      <c r="I2422" s="5">
        <v>45.141542118978997</v>
      </c>
    </row>
    <row r="2423" spans="1:9" x14ac:dyDescent="0.2">
      <c r="A2423" s="5" t="s">
        <v>97</v>
      </c>
      <c r="B2423" s="5" t="s">
        <v>64</v>
      </c>
      <c r="C2423" s="5" t="s">
        <v>54</v>
      </c>
      <c r="D2423" s="5">
        <v>467668</v>
      </c>
      <c r="E2423" s="5">
        <v>33395</v>
      </c>
      <c r="F2423" s="5">
        <v>20362587</v>
      </c>
      <c r="G2423" s="5">
        <v>7.1407494205290929</v>
      </c>
      <c r="H2423" s="5">
        <v>609.74957328941457</v>
      </c>
      <c r="I2423" s="5">
        <v>43.540689121342488</v>
      </c>
    </row>
    <row r="2424" spans="1:9" x14ac:dyDescent="0.2">
      <c r="A2424" s="5" t="s">
        <v>97</v>
      </c>
      <c r="B2424" s="5" t="s">
        <v>64</v>
      </c>
      <c r="C2424" s="5" t="s">
        <v>55</v>
      </c>
      <c r="D2424" s="5">
        <v>472378</v>
      </c>
      <c r="E2424" s="5">
        <v>32069</v>
      </c>
      <c r="F2424" s="5">
        <v>19907760</v>
      </c>
      <c r="G2424" s="5">
        <v>6.7888428334935158</v>
      </c>
      <c r="H2424" s="5">
        <v>620.77894539898341</v>
      </c>
      <c r="I2424" s="5">
        <v>42.143706946555511</v>
      </c>
    </row>
    <row r="2425" spans="1:9" x14ac:dyDescent="0.2">
      <c r="A2425" s="5" t="s">
        <v>97</v>
      </c>
      <c r="B2425" s="5" t="s">
        <v>64</v>
      </c>
      <c r="C2425" s="5" t="s">
        <v>56</v>
      </c>
      <c r="D2425" s="5">
        <v>477153</v>
      </c>
      <c r="E2425" s="5">
        <v>31845</v>
      </c>
      <c r="F2425" s="5">
        <v>19390598</v>
      </c>
      <c r="G2425" s="5">
        <v>6.6739599248039934</v>
      </c>
      <c r="H2425" s="5">
        <v>608.9055738734495</v>
      </c>
      <c r="I2425" s="5">
        <v>40.638113980211799</v>
      </c>
    </row>
    <row r="2426" spans="1:9" x14ac:dyDescent="0.2">
      <c r="A2426" s="5" t="s">
        <v>97</v>
      </c>
      <c r="B2426" s="5" t="s">
        <v>64</v>
      </c>
      <c r="C2426" s="5" t="s">
        <v>57</v>
      </c>
      <c r="D2426" s="5">
        <v>481966</v>
      </c>
      <c r="E2426" s="5">
        <v>31850</v>
      </c>
      <c r="F2426" s="5">
        <v>18512553</v>
      </c>
      <c r="G2426" s="5">
        <v>6.6083499665951537</v>
      </c>
      <c r="H2426" s="5">
        <v>581.241852433281</v>
      </c>
      <c r="I2426" s="5">
        <v>38.410495761111783</v>
      </c>
    </row>
    <row r="2427" spans="1:9" x14ac:dyDescent="0.2">
      <c r="A2427" s="5" t="s">
        <v>97</v>
      </c>
      <c r="B2427" s="5" t="s">
        <v>64</v>
      </c>
      <c r="C2427" s="5" t="s">
        <v>58</v>
      </c>
      <c r="D2427" s="5">
        <v>486135</v>
      </c>
      <c r="E2427" s="5">
        <v>33314</v>
      </c>
      <c r="F2427" s="5">
        <v>18308821</v>
      </c>
      <c r="G2427" s="5">
        <v>6.8528289466917629</v>
      </c>
      <c r="H2427" s="5">
        <v>549.58338836525184</v>
      </c>
      <c r="I2427" s="5">
        <v>37.662009524103389</v>
      </c>
    </row>
    <row r="2428" spans="1:9" x14ac:dyDescent="0.2">
      <c r="A2428" s="5" t="s">
        <v>97</v>
      </c>
      <c r="B2428" s="5" t="s">
        <v>64</v>
      </c>
      <c r="C2428" s="5" t="s">
        <v>59</v>
      </c>
      <c r="D2428" s="5">
        <v>490183</v>
      </c>
      <c r="E2428" s="5">
        <v>34242</v>
      </c>
      <c r="F2428" s="5">
        <v>18598680</v>
      </c>
      <c r="G2428" s="5">
        <v>6.9855543745907145</v>
      </c>
      <c r="H2428" s="5">
        <v>543.15402137725596</v>
      </c>
      <c r="I2428" s="5">
        <v>37.942319501084292</v>
      </c>
    </row>
    <row r="2429" spans="1:9" x14ac:dyDescent="0.2">
      <c r="A2429" s="5" t="s">
        <v>97</v>
      </c>
      <c r="B2429" s="5" t="s">
        <v>64</v>
      </c>
      <c r="C2429" s="5" t="s">
        <v>60</v>
      </c>
      <c r="D2429" s="5">
        <v>493357</v>
      </c>
      <c r="E2429" s="5">
        <v>34681</v>
      </c>
      <c r="F2429" s="5">
        <v>19013110</v>
      </c>
      <c r="G2429" s="5">
        <v>7.0295952018518033</v>
      </c>
      <c r="H2429" s="5">
        <v>548.22842478590587</v>
      </c>
      <c r="I2429" s="5">
        <v>38.538239043937757</v>
      </c>
    </row>
    <row r="2430" spans="1:9" x14ac:dyDescent="0.2">
      <c r="A2430" s="5" t="s">
        <v>97</v>
      </c>
      <c r="B2430" s="5" t="s">
        <v>64</v>
      </c>
      <c r="C2430" s="5" t="s">
        <v>61</v>
      </c>
      <c r="D2430" s="5">
        <v>495400</v>
      </c>
      <c r="E2430" s="5">
        <v>34376</v>
      </c>
      <c r="F2430" s="5">
        <v>20056467</v>
      </c>
      <c r="G2430" s="5">
        <v>6.9390391602745254</v>
      </c>
      <c r="H2430" s="5">
        <v>583.4438852687922</v>
      </c>
      <c r="I2430" s="5">
        <v>40.485399677028667</v>
      </c>
    </row>
    <row r="2431" spans="1:9" x14ac:dyDescent="0.2">
      <c r="A2431" s="5" t="s">
        <v>97</v>
      </c>
      <c r="B2431" s="5" t="s">
        <v>64</v>
      </c>
      <c r="C2431" s="5" t="s">
        <v>62</v>
      </c>
      <c r="D2431" s="5">
        <v>497315</v>
      </c>
      <c r="E2431" s="5">
        <v>33144</v>
      </c>
      <c r="F2431" s="5">
        <v>20235028</v>
      </c>
      <c r="G2431" s="5">
        <v>6.6645888420819803</v>
      </c>
      <c r="H2431" s="5">
        <v>610.51858556601496</v>
      </c>
      <c r="I2431" s="5">
        <v>40.688553532469363</v>
      </c>
    </row>
    <row r="2432" spans="1:9" x14ac:dyDescent="0.2">
      <c r="A2432" s="5" t="s">
        <v>97</v>
      </c>
      <c r="B2432" s="5" t="s">
        <v>65</v>
      </c>
      <c r="C2432" s="5" t="s">
        <v>45</v>
      </c>
      <c r="D2432" s="5">
        <v>400658</v>
      </c>
      <c r="E2432" s="5">
        <v>30682</v>
      </c>
      <c r="F2432" s="5">
        <v>64078323</v>
      </c>
      <c r="G2432" s="5">
        <v>7.6579027499762891</v>
      </c>
      <c r="H2432" s="5">
        <v>2088.4662994589662</v>
      </c>
      <c r="I2432" s="5">
        <v>159.93271817859622</v>
      </c>
    </row>
    <row r="2433" spans="1:9" x14ac:dyDescent="0.2">
      <c r="A2433" s="5" t="s">
        <v>97</v>
      </c>
      <c r="B2433" s="5" t="s">
        <v>65</v>
      </c>
      <c r="C2433" s="5" t="s">
        <v>46</v>
      </c>
      <c r="D2433" s="5">
        <v>406444</v>
      </c>
      <c r="E2433" s="5">
        <v>30187</v>
      </c>
      <c r="F2433" s="5">
        <v>62856325</v>
      </c>
      <c r="G2433" s="5">
        <v>7.4270994282115126</v>
      </c>
      <c r="H2433" s="5">
        <v>2082.2315897571802</v>
      </c>
      <c r="I2433" s="5">
        <v>154.64941049689503</v>
      </c>
    </row>
    <row r="2434" spans="1:9" x14ac:dyDescent="0.2">
      <c r="A2434" s="5" t="s">
        <v>97</v>
      </c>
      <c r="B2434" s="5" t="s">
        <v>65</v>
      </c>
      <c r="C2434" s="5" t="s">
        <v>47</v>
      </c>
      <c r="D2434" s="5">
        <v>411750</v>
      </c>
      <c r="E2434" s="5">
        <v>29902</v>
      </c>
      <c r="F2434" s="5">
        <v>63728266</v>
      </c>
      <c r="G2434" s="5">
        <v>7.2621736490588953</v>
      </c>
      <c r="H2434" s="5">
        <v>2131.2375760818672</v>
      </c>
      <c r="I2434" s="5">
        <v>154.77417364905889</v>
      </c>
    </row>
    <row r="2435" spans="1:9" x14ac:dyDescent="0.2">
      <c r="A2435" s="5" t="s">
        <v>97</v>
      </c>
      <c r="B2435" s="5" t="s">
        <v>65</v>
      </c>
      <c r="C2435" s="5" t="s">
        <v>48</v>
      </c>
      <c r="D2435" s="5">
        <v>416253</v>
      </c>
      <c r="E2435" s="5">
        <v>30159</v>
      </c>
      <c r="F2435" s="5">
        <v>64580943</v>
      </c>
      <c r="G2435" s="5">
        <v>7.2453531866437002</v>
      </c>
      <c r="H2435" s="5">
        <v>2141.3489505620214</v>
      </c>
      <c r="I2435" s="5">
        <v>155.14829442670683</v>
      </c>
    </row>
    <row r="2436" spans="1:9" x14ac:dyDescent="0.2">
      <c r="A2436" s="5" t="s">
        <v>97</v>
      </c>
      <c r="B2436" s="5" t="s">
        <v>65</v>
      </c>
      <c r="C2436" s="5" t="s">
        <v>49</v>
      </c>
      <c r="D2436" s="5">
        <v>420125</v>
      </c>
      <c r="E2436" s="5">
        <v>31118</v>
      </c>
      <c r="F2436" s="5">
        <v>69789010</v>
      </c>
      <c r="G2436" s="5">
        <v>7.4068432014281465</v>
      </c>
      <c r="H2436" s="5">
        <v>2242.7215759367568</v>
      </c>
      <c r="I2436" s="5">
        <v>166.11487057423386</v>
      </c>
    </row>
    <row r="2437" spans="1:9" x14ac:dyDescent="0.2">
      <c r="A2437" s="5" t="s">
        <v>97</v>
      </c>
      <c r="B2437" s="5" t="s">
        <v>65</v>
      </c>
      <c r="C2437" s="5" t="s">
        <v>50</v>
      </c>
      <c r="D2437" s="5">
        <v>422535</v>
      </c>
      <c r="E2437" s="5">
        <v>32420</v>
      </c>
      <c r="F2437" s="5">
        <v>73138022</v>
      </c>
      <c r="G2437" s="5">
        <v>7.672737169701918</v>
      </c>
      <c r="H2437" s="5">
        <v>2255.9537939543493</v>
      </c>
      <c r="I2437" s="5">
        <v>173.09340528003597</v>
      </c>
    </row>
    <row r="2438" spans="1:9" x14ac:dyDescent="0.2">
      <c r="A2438" s="5" t="s">
        <v>97</v>
      </c>
      <c r="B2438" s="5" t="s">
        <v>65</v>
      </c>
      <c r="C2438" s="5" t="s">
        <v>51</v>
      </c>
      <c r="D2438" s="5">
        <v>425347</v>
      </c>
      <c r="E2438" s="5">
        <v>32672</v>
      </c>
      <c r="F2438" s="5">
        <v>74072247</v>
      </c>
      <c r="G2438" s="5">
        <v>7.6812578906163678</v>
      </c>
      <c r="H2438" s="5">
        <v>2267.1476187561216</v>
      </c>
      <c r="I2438" s="5">
        <v>174.14545535762565</v>
      </c>
    </row>
    <row r="2439" spans="1:9" x14ac:dyDescent="0.2">
      <c r="A2439" s="5" t="s">
        <v>97</v>
      </c>
      <c r="B2439" s="5" t="s">
        <v>65</v>
      </c>
      <c r="C2439" s="5" t="s">
        <v>52</v>
      </c>
      <c r="D2439" s="5">
        <v>428570</v>
      </c>
      <c r="E2439" s="5">
        <v>32359</v>
      </c>
      <c r="F2439" s="5">
        <v>73696527</v>
      </c>
      <c r="G2439" s="5">
        <v>7.5504585015283388</v>
      </c>
      <c r="H2439" s="5">
        <v>2277.4661454309467</v>
      </c>
      <c r="I2439" s="5">
        <v>171.95913619712067</v>
      </c>
    </row>
    <row r="2440" spans="1:9" x14ac:dyDescent="0.2">
      <c r="A2440" s="5" t="s">
        <v>97</v>
      </c>
      <c r="B2440" s="5" t="s">
        <v>65</v>
      </c>
      <c r="C2440" s="5" t="s">
        <v>53</v>
      </c>
      <c r="D2440" s="5">
        <v>432225</v>
      </c>
      <c r="E2440" s="5">
        <v>31863</v>
      </c>
      <c r="F2440" s="5">
        <v>71801956</v>
      </c>
      <c r="G2440" s="5">
        <v>7.3718549366649313</v>
      </c>
      <c r="H2440" s="5">
        <v>2253.458745253115</v>
      </c>
      <c r="I2440" s="5">
        <v>166.12170975764937</v>
      </c>
    </row>
    <row r="2441" spans="1:9" x14ac:dyDescent="0.2">
      <c r="A2441" s="5" t="s">
        <v>97</v>
      </c>
      <c r="B2441" s="5" t="s">
        <v>65</v>
      </c>
      <c r="C2441" s="5" t="s">
        <v>54</v>
      </c>
      <c r="D2441" s="5">
        <v>436166</v>
      </c>
      <c r="E2441" s="5">
        <v>31024</v>
      </c>
      <c r="F2441" s="5">
        <v>71941199</v>
      </c>
      <c r="G2441" s="5">
        <v>7.1128882122861476</v>
      </c>
      <c r="H2441" s="5">
        <v>2318.8885701392469</v>
      </c>
      <c r="I2441" s="5">
        <v>164.9399517614853</v>
      </c>
    </row>
    <row r="2442" spans="1:9" x14ac:dyDescent="0.2">
      <c r="A2442" s="5" t="s">
        <v>97</v>
      </c>
      <c r="B2442" s="5" t="s">
        <v>65</v>
      </c>
      <c r="C2442" s="5" t="s">
        <v>55</v>
      </c>
      <c r="D2442" s="5">
        <v>440675</v>
      </c>
      <c r="E2442" s="5">
        <v>30488</v>
      </c>
      <c r="F2442" s="5">
        <v>70767071</v>
      </c>
      <c r="G2442" s="5">
        <v>6.9184773359051457</v>
      </c>
      <c r="H2442" s="5">
        <v>2321.1450734715299</v>
      </c>
      <c r="I2442" s="5">
        <v>160.58789584160664</v>
      </c>
    </row>
    <row r="2443" spans="1:9" x14ac:dyDescent="0.2">
      <c r="A2443" s="5" t="s">
        <v>97</v>
      </c>
      <c r="B2443" s="5" t="s">
        <v>65</v>
      </c>
      <c r="C2443" s="5" t="s">
        <v>56</v>
      </c>
      <c r="D2443" s="5">
        <v>445206</v>
      </c>
      <c r="E2443" s="5">
        <v>30634</v>
      </c>
      <c r="F2443" s="5">
        <v>71735405</v>
      </c>
      <c r="G2443" s="5">
        <v>6.8808596469948746</v>
      </c>
      <c r="H2443" s="5">
        <v>2341.6924006006398</v>
      </c>
      <c r="I2443" s="5">
        <v>161.12856744967499</v>
      </c>
    </row>
    <row r="2444" spans="1:9" x14ac:dyDescent="0.2">
      <c r="A2444" s="5" t="s">
        <v>97</v>
      </c>
      <c r="B2444" s="5" t="s">
        <v>65</v>
      </c>
      <c r="C2444" s="5" t="s">
        <v>57</v>
      </c>
      <c r="D2444" s="5">
        <v>449697</v>
      </c>
      <c r="E2444" s="5">
        <v>30181</v>
      </c>
      <c r="F2444" s="5">
        <v>70650303</v>
      </c>
      <c r="G2444" s="5">
        <v>6.7114079035439422</v>
      </c>
      <c r="H2444" s="5">
        <v>2340.8867499420166</v>
      </c>
      <c r="I2444" s="5">
        <v>157.1064583486214</v>
      </c>
    </row>
    <row r="2445" spans="1:9" x14ac:dyDescent="0.2">
      <c r="A2445" s="5" t="s">
        <v>97</v>
      </c>
      <c r="B2445" s="5" t="s">
        <v>65</v>
      </c>
      <c r="C2445" s="5" t="s">
        <v>58</v>
      </c>
      <c r="D2445" s="5">
        <v>453568</v>
      </c>
      <c r="E2445" s="5">
        <v>31163</v>
      </c>
      <c r="F2445" s="5">
        <v>75293941</v>
      </c>
      <c r="G2445" s="5">
        <v>6.870634612671088</v>
      </c>
      <c r="H2445" s="5">
        <v>2416.1326252286367</v>
      </c>
      <c r="I2445" s="5">
        <v>166.00364443699732</v>
      </c>
    </row>
    <row r="2446" spans="1:9" x14ac:dyDescent="0.2">
      <c r="A2446" s="5" t="s">
        <v>97</v>
      </c>
      <c r="B2446" s="5" t="s">
        <v>65</v>
      </c>
      <c r="C2446" s="5" t="s">
        <v>59</v>
      </c>
      <c r="D2446" s="5">
        <v>457424</v>
      </c>
      <c r="E2446" s="5">
        <v>31397</v>
      </c>
      <c r="F2446" s="5">
        <v>76020412</v>
      </c>
      <c r="G2446" s="5">
        <v>6.8638724684319143</v>
      </c>
      <c r="H2446" s="5">
        <v>2421.2635602127593</v>
      </c>
      <c r="I2446" s="5">
        <v>166.19244289761795</v>
      </c>
    </row>
    <row r="2447" spans="1:9" x14ac:dyDescent="0.2">
      <c r="A2447" s="5" t="s">
        <v>97</v>
      </c>
      <c r="B2447" s="5" t="s">
        <v>65</v>
      </c>
      <c r="C2447" s="5" t="s">
        <v>60</v>
      </c>
      <c r="D2447" s="5">
        <v>460522</v>
      </c>
      <c r="E2447" s="5">
        <v>31329</v>
      </c>
      <c r="F2447" s="5">
        <v>77153478</v>
      </c>
      <c r="G2447" s="5">
        <v>6.8029323246229279</v>
      </c>
      <c r="H2447" s="5">
        <v>2462.6856267356125</v>
      </c>
      <c r="I2447" s="5">
        <v>167.5348365550397</v>
      </c>
    </row>
    <row r="2448" spans="1:9" x14ac:dyDescent="0.2">
      <c r="A2448" s="5" t="s">
        <v>97</v>
      </c>
      <c r="B2448" s="5" t="s">
        <v>65</v>
      </c>
      <c r="C2448" s="5" t="s">
        <v>61</v>
      </c>
      <c r="D2448" s="5">
        <v>462509</v>
      </c>
      <c r="E2448" s="5">
        <v>31659</v>
      </c>
      <c r="F2448" s="5">
        <v>78846130</v>
      </c>
      <c r="G2448" s="5">
        <v>6.8450559880996913</v>
      </c>
      <c r="H2448" s="5">
        <v>2490.4807479705614</v>
      </c>
      <c r="I2448" s="5">
        <v>170.47480157142888</v>
      </c>
    </row>
    <row r="2449" spans="1:9" x14ac:dyDescent="0.2">
      <c r="A2449" s="5" t="s">
        <v>97</v>
      </c>
      <c r="B2449" s="5" t="s">
        <v>65</v>
      </c>
      <c r="C2449" s="5" t="s">
        <v>62</v>
      </c>
      <c r="D2449" s="5">
        <v>464433</v>
      </c>
      <c r="E2449" s="5">
        <v>30367</v>
      </c>
      <c r="F2449" s="5">
        <v>75726970</v>
      </c>
      <c r="G2449" s="5">
        <v>6.5385103987012121</v>
      </c>
      <c r="H2449" s="5">
        <v>2493.7257549313399</v>
      </c>
      <c r="I2449" s="5">
        <v>163.05251780127597</v>
      </c>
    </row>
    <row r="2450" spans="1:9" x14ac:dyDescent="0.2">
      <c r="A2450" s="5" t="s">
        <v>98</v>
      </c>
      <c r="B2450" s="5" t="s">
        <v>44</v>
      </c>
      <c r="C2450" s="5" t="s">
        <v>45</v>
      </c>
      <c r="D2450" s="5">
        <v>2958789</v>
      </c>
      <c r="E2450" s="5">
        <v>26327</v>
      </c>
      <c r="F2450" s="5">
        <v>578362402</v>
      </c>
      <c r="G2450" s="5">
        <v>0.88978970788386735</v>
      </c>
      <c r="H2450" s="5">
        <v>21968.412732176093</v>
      </c>
      <c r="I2450" s="5">
        <v>195.47267547635198</v>
      </c>
    </row>
    <row r="2451" spans="1:9" x14ac:dyDescent="0.2">
      <c r="A2451" s="5" t="s">
        <v>98</v>
      </c>
      <c r="B2451" s="5" t="s">
        <v>44</v>
      </c>
      <c r="C2451" s="5" t="s">
        <v>46</v>
      </c>
      <c r="D2451" s="5">
        <v>2962219</v>
      </c>
      <c r="E2451" s="5">
        <v>25811</v>
      </c>
      <c r="F2451" s="5">
        <v>560192051</v>
      </c>
      <c r="G2451" s="5">
        <v>0.87134003259043302</v>
      </c>
      <c r="H2451" s="5">
        <v>21703.616713804193</v>
      </c>
      <c r="I2451" s="5">
        <v>189.11230094736413</v>
      </c>
    </row>
    <row r="2452" spans="1:9" x14ac:dyDescent="0.2">
      <c r="A2452" s="5" t="s">
        <v>98</v>
      </c>
      <c r="B2452" s="5" t="s">
        <v>44</v>
      </c>
      <c r="C2452" s="5" t="s">
        <v>47</v>
      </c>
      <c r="D2452" s="5">
        <v>2967643</v>
      </c>
      <c r="E2452" s="5">
        <v>25038</v>
      </c>
      <c r="F2452" s="5">
        <v>531790039</v>
      </c>
      <c r="G2452" s="5">
        <v>0.84369986551616893</v>
      </c>
      <c r="H2452" s="5">
        <v>21239.317796948639</v>
      </c>
      <c r="I2452" s="5">
        <v>179.19609568940737</v>
      </c>
    </row>
    <row r="2453" spans="1:9" x14ac:dyDescent="0.2">
      <c r="A2453" s="5" t="s">
        <v>98</v>
      </c>
      <c r="B2453" s="5" t="s">
        <v>44</v>
      </c>
      <c r="C2453" s="5" t="s">
        <v>48</v>
      </c>
      <c r="D2453" s="5">
        <v>2970894</v>
      </c>
      <c r="E2453" s="5">
        <v>24178</v>
      </c>
      <c r="F2453" s="5">
        <v>507166024</v>
      </c>
      <c r="G2453" s="5">
        <v>0.81382910329348679</v>
      </c>
      <c r="H2453" s="5">
        <v>20976.343121846308</v>
      </c>
      <c r="I2453" s="5">
        <v>170.71158513228679</v>
      </c>
    </row>
    <row r="2454" spans="1:9" x14ac:dyDescent="0.2">
      <c r="A2454" s="5" t="s">
        <v>98</v>
      </c>
      <c r="B2454" s="5" t="s">
        <v>44</v>
      </c>
      <c r="C2454" s="5" t="s">
        <v>49</v>
      </c>
      <c r="D2454" s="5">
        <v>2973725</v>
      </c>
      <c r="E2454" s="5">
        <v>23049</v>
      </c>
      <c r="F2454" s="5">
        <v>479310031</v>
      </c>
      <c r="G2454" s="5">
        <v>0.77508848329956537</v>
      </c>
      <c r="H2454" s="5">
        <v>20795.263612304221</v>
      </c>
      <c r="I2454" s="5">
        <v>161.18169333075519</v>
      </c>
    </row>
    <row r="2455" spans="1:9" x14ac:dyDescent="0.2">
      <c r="A2455" s="5" t="s">
        <v>98</v>
      </c>
      <c r="B2455" s="5" t="s">
        <v>44</v>
      </c>
      <c r="C2455" s="5" t="s">
        <v>50</v>
      </c>
      <c r="D2455" s="5">
        <v>2972859</v>
      </c>
      <c r="E2455" s="5">
        <v>22328</v>
      </c>
      <c r="F2455" s="5">
        <v>468960025</v>
      </c>
      <c r="G2455" s="5">
        <v>0.7510615202402805</v>
      </c>
      <c r="H2455" s="5">
        <v>21003.225770333214</v>
      </c>
      <c r="I2455" s="5">
        <v>157.747146770163</v>
      </c>
    </row>
    <row r="2456" spans="1:9" x14ac:dyDescent="0.2">
      <c r="A2456" s="5" t="s">
        <v>98</v>
      </c>
      <c r="B2456" s="5" t="s">
        <v>44</v>
      </c>
      <c r="C2456" s="5" t="s">
        <v>51</v>
      </c>
      <c r="D2456" s="5">
        <v>2967282</v>
      </c>
      <c r="E2456" s="5">
        <v>21711</v>
      </c>
      <c r="F2456" s="5">
        <v>461507048</v>
      </c>
      <c r="G2456" s="5">
        <v>0.7316796987950589</v>
      </c>
      <c r="H2456" s="5">
        <v>21256.830546727466</v>
      </c>
      <c r="I2456" s="5">
        <v>155.53191371767159</v>
      </c>
    </row>
    <row r="2457" spans="1:9" x14ac:dyDescent="0.2">
      <c r="A2457" s="5" t="s">
        <v>98</v>
      </c>
      <c r="B2457" s="5" t="s">
        <v>44</v>
      </c>
      <c r="C2457" s="5" t="s">
        <v>52</v>
      </c>
      <c r="D2457" s="5">
        <v>2963155</v>
      </c>
      <c r="E2457" s="5">
        <v>21515</v>
      </c>
      <c r="F2457" s="5">
        <v>455728089</v>
      </c>
      <c r="G2457" s="5">
        <v>0.72608419066839236</v>
      </c>
      <c r="H2457" s="5">
        <v>21181.877248431327</v>
      </c>
      <c r="I2457" s="5">
        <v>153.79826198764493</v>
      </c>
    </row>
    <row r="2458" spans="1:9" x14ac:dyDescent="0.2">
      <c r="A2458" s="5" t="s">
        <v>98</v>
      </c>
      <c r="B2458" s="5" t="s">
        <v>44</v>
      </c>
      <c r="C2458" s="5" t="s">
        <v>53</v>
      </c>
      <c r="D2458" s="5">
        <v>2956928</v>
      </c>
      <c r="E2458" s="5">
        <v>21456</v>
      </c>
      <c r="F2458" s="5">
        <v>451138222</v>
      </c>
      <c r="G2458" s="5">
        <v>0.72561793861737589</v>
      </c>
      <c r="H2458" s="5">
        <v>21026.203486204326</v>
      </c>
      <c r="I2458" s="5">
        <v>152.56990430609065</v>
      </c>
    </row>
    <row r="2459" spans="1:9" x14ac:dyDescent="0.2">
      <c r="A2459" s="5" t="s">
        <v>98</v>
      </c>
      <c r="B2459" s="5" t="s">
        <v>44</v>
      </c>
      <c r="C2459" s="5" t="s">
        <v>54</v>
      </c>
      <c r="D2459" s="5">
        <v>2952914</v>
      </c>
      <c r="E2459" s="5">
        <v>21333</v>
      </c>
      <c r="F2459" s="5">
        <v>448192918</v>
      </c>
      <c r="G2459" s="5">
        <v>0.7224389196569897</v>
      </c>
      <c r="H2459" s="5">
        <v>21009.371302676605</v>
      </c>
      <c r="I2459" s="5">
        <v>151.77987506578248</v>
      </c>
    </row>
    <row r="2460" spans="1:9" x14ac:dyDescent="0.2">
      <c r="A2460" s="5" t="s">
        <v>98</v>
      </c>
      <c r="B2460" s="5" t="s">
        <v>44</v>
      </c>
      <c r="C2460" s="5" t="s">
        <v>55</v>
      </c>
      <c r="D2460" s="5">
        <v>2946045</v>
      </c>
      <c r="E2460" s="5">
        <v>21141</v>
      </c>
      <c r="F2460" s="5">
        <v>442176667</v>
      </c>
      <c r="G2460" s="5">
        <v>0.71760614654562305</v>
      </c>
      <c r="H2460" s="5">
        <v>20915.598457972661</v>
      </c>
      <c r="I2460" s="5">
        <v>150.09162012121337</v>
      </c>
    </row>
    <row r="2461" spans="1:9" x14ac:dyDescent="0.2">
      <c r="A2461" s="5" t="s">
        <v>98</v>
      </c>
      <c r="B2461" s="5" t="s">
        <v>44</v>
      </c>
      <c r="C2461" s="5" t="s">
        <v>56</v>
      </c>
      <c r="D2461" s="5">
        <v>2933635</v>
      </c>
      <c r="E2461" s="5">
        <v>20731</v>
      </c>
      <c r="F2461" s="5">
        <v>443431815</v>
      </c>
      <c r="G2461" s="5">
        <v>0.70666596219366073</v>
      </c>
      <c r="H2461" s="5">
        <v>21389.793787082148</v>
      </c>
      <c r="I2461" s="5">
        <v>151.15439207672392</v>
      </c>
    </row>
    <row r="2462" spans="1:9" x14ac:dyDescent="0.2">
      <c r="A2462" s="5" t="s">
        <v>98</v>
      </c>
      <c r="B2462" s="5" t="s">
        <v>44</v>
      </c>
      <c r="C2462" s="5" t="s">
        <v>57</v>
      </c>
      <c r="D2462" s="5">
        <v>2909018</v>
      </c>
      <c r="E2462" s="5">
        <v>20107</v>
      </c>
      <c r="F2462" s="5">
        <v>435448980</v>
      </c>
      <c r="G2462" s="5">
        <v>0.69119544808591771</v>
      </c>
      <c r="H2462" s="5">
        <v>21656.586263490328</v>
      </c>
      <c r="I2462" s="5">
        <v>149.68933846404525</v>
      </c>
    </row>
    <row r="2463" spans="1:9" x14ac:dyDescent="0.2">
      <c r="A2463" s="5" t="s">
        <v>98</v>
      </c>
      <c r="B2463" s="5" t="s">
        <v>44</v>
      </c>
      <c r="C2463" s="5" t="s">
        <v>58</v>
      </c>
      <c r="D2463" s="5">
        <v>2877773</v>
      </c>
      <c r="E2463" s="5">
        <v>19277</v>
      </c>
      <c r="F2463" s="5">
        <v>424780613</v>
      </c>
      <c r="G2463" s="5">
        <v>0.66985825497702567</v>
      </c>
      <c r="H2463" s="5">
        <v>22035.618249727653</v>
      </c>
      <c r="I2463" s="5">
        <v>147.60740788102467</v>
      </c>
    </row>
    <row r="2464" spans="1:9" x14ac:dyDescent="0.2">
      <c r="A2464" s="5" t="s">
        <v>98</v>
      </c>
      <c r="B2464" s="5" t="s">
        <v>44</v>
      </c>
      <c r="C2464" s="5" t="s">
        <v>59</v>
      </c>
      <c r="D2464" s="5">
        <v>2852128</v>
      </c>
      <c r="E2464" s="5">
        <v>18317</v>
      </c>
      <c r="F2464" s="5">
        <v>424700453</v>
      </c>
      <c r="G2464" s="5">
        <v>0.6422222284553849</v>
      </c>
      <c r="H2464" s="5">
        <v>23186.135993885462</v>
      </c>
      <c r="I2464" s="5">
        <v>148.90651927262732</v>
      </c>
    </row>
    <row r="2465" spans="1:9" x14ac:dyDescent="0.2">
      <c r="A2465" s="5" t="s">
        <v>98</v>
      </c>
      <c r="B2465" s="5" t="s">
        <v>44</v>
      </c>
      <c r="C2465" s="5" t="s">
        <v>60</v>
      </c>
      <c r="D2465" s="5">
        <v>2823863</v>
      </c>
      <c r="E2465" s="5">
        <v>17310</v>
      </c>
      <c r="F2465" s="5">
        <v>419273084</v>
      </c>
      <c r="G2465" s="5">
        <v>0.61299007777643599</v>
      </c>
      <c r="H2465" s="5">
        <v>24221.437550548817</v>
      </c>
      <c r="I2465" s="5">
        <v>148.47500887968008</v>
      </c>
    </row>
    <row r="2466" spans="1:9" x14ac:dyDescent="0.2">
      <c r="A2466" s="5" t="s">
        <v>98</v>
      </c>
      <c r="B2466" s="5" t="s">
        <v>44</v>
      </c>
      <c r="C2466" s="5" t="s">
        <v>61</v>
      </c>
      <c r="D2466" s="5">
        <v>2806585</v>
      </c>
      <c r="E2466" s="5">
        <v>16667</v>
      </c>
      <c r="F2466" s="5">
        <v>422907661</v>
      </c>
      <c r="G2466" s="5">
        <v>0.5938533840949054</v>
      </c>
      <c r="H2466" s="5">
        <v>25373.952180956381</v>
      </c>
      <c r="I2466" s="5">
        <v>150.68407370523252</v>
      </c>
    </row>
    <row r="2467" spans="1:9" x14ac:dyDescent="0.2">
      <c r="A2467" s="5" t="s">
        <v>98</v>
      </c>
      <c r="B2467" s="5" t="s">
        <v>44</v>
      </c>
      <c r="C2467" s="5" t="s">
        <v>62</v>
      </c>
      <c r="D2467" s="5">
        <v>2789893</v>
      </c>
      <c r="E2467" s="5">
        <v>16216</v>
      </c>
      <c r="F2467" s="5">
        <v>416584922</v>
      </c>
      <c r="G2467" s="5">
        <v>0.58124092931162596</v>
      </c>
      <c r="H2467" s="5">
        <v>25689.746053280709</v>
      </c>
      <c r="I2467" s="5">
        <v>149.31931869788554</v>
      </c>
    </row>
    <row r="2468" spans="1:9" x14ac:dyDescent="0.2">
      <c r="A2468" s="5" t="s">
        <v>98</v>
      </c>
      <c r="B2468" s="5" t="s">
        <v>63</v>
      </c>
      <c r="C2468" s="5" t="s">
        <v>45</v>
      </c>
      <c r="D2468" s="5">
        <v>2958789</v>
      </c>
      <c r="E2468" s="5">
        <v>117465</v>
      </c>
      <c r="F2468" s="5">
        <v>315049633</v>
      </c>
      <c r="G2468" s="5">
        <v>3.9700363898878899</v>
      </c>
      <c r="H2468" s="5">
        <v>2682.0723875196868</v>
      </c>
      <c r="I2468" s="5">
        <v>106.4792497876665</v>
      </c>
    </row>
    <row r="2469" spans="1:9" x14ac:dyDescent="0.2">
      <c r="A2469" s="5" t="s">
        <v>98</v>
      </c>
      <c r="B2469" s="5" t="s">
        <v>63</v>
      </c>
      <c r="C2469" s="5" t="s">
        <v>46</v>
      </c>
      <c r="D2469" s="5">
        <v>2962219</v>
      </c>
      <c r="E2469" s="5">
        <v>113944</v>
      </c>
      <c r="F2469" s="5">
        <v>311499932</v>
      </c>
      <c r="G2469" s="5">
        <v>3.8465758271079888</v>
      </c>
      <c r="H2469" s="5">
        <v>2733.7984624025839</v>
      </c>
      <c r="I2469" s="5">
        <v>105.15763081662767</v>
      </c>
    </row>
    <row r="2470" spans="1:9" x14ac:dyDescent="0.2">
      <c r="A2470" s="5" t="s">
        <v>98</v>
      </c>
      <c r="B2470" s="5" t="s">
        <v>63</v>
      </c>
      <c r="C2470" s="5" t="s">
        <v>47</v>
      </c>
      <c r="D2470" s="5">
        <v>2967643</v>
      </c>
      <c r="E2470" s="5">
        <v>112623</v>
      </c>
      <c r="F2470" s="5">
        <v>312005482</v>
      </c>
      <c r="G2470" s="5">
        <v>3.795031949597711</v>
      </c>
      <c r="H2470" s="5">
        <v>2770.3531427861094</v>
      </c>
      <c r="I2470" s="5">
        <v>105.13578688541715</v>
      </c>
    </row>
    <row r="2471" spans="1:9" x14ac:dyDescent="0.2">
      <c r="A2471" s="5" t="s">
        <v>98</v>
      </c>
      <c r="B2471" s="5" t="s">
        <v>63</v>
      </c>
      <c r="C2471" s="5" t="s">
        <v>48</v>
      </c>
      <c r="D2471" s="5">
        <v>2970894</v>
      </c>
      <c r="E2471" s="5">
        <v>112282</v>
      </c>
      <c r="F2471" s="5">
        <v>314129772</v>
      </c>
      <c r="G2471" s="5">
        <v>3.7794010826370781</v>
      </c>
      <c r="H2471" s="5">
        <v>2797.6859336313923</v>
      </c>
      <c r="I2471" s="5">
        <v>105.73577246445009</v>
      </c>
    </row>
    <row r="2472" spans="1:9" x14ac:dyDescent="0.2">
      <c r="A2472" s="5" t="s">
        <v>98</v>
      </c>
      <c r="B2472" s="5" t="s">
        <v>63</v>
      </c>
      <c r="C2472" s="5" t="s">
        <v>49</v>
      </c>
      <c r="D2472" s="5">
        <v>2973725</v>
      </c>
      <c r="E2472" s="5">
        <v>110961</v>
      </c>
      <c r="F2472" s="5">
        <v>314384553</v>
      </c>
      <c r="G2472" s="5">
        <v>3.7313806757517929</v>
      </c>
      <c r="H2472" s="5">
        <v>2833.288750101387</v>
      </c>
      <c r="I2472" s="5">
        <v>105.72078890953266</v>
      </c>
    </row>
    <row r="2473" spans="1:9" x14ac:dyDescent="0.2">
      <c r="A2473" s="5" t="s">
        <v>98</v>
      </c>
      <c r="B2473" s="5" t="s">
        <v>63</v>
      </c>
      <c r="C2473" s="5" t="s">
        <v>50</v>
      </c>
      <c r="D2473" s="5">
        <v>2972859</v>
      </c>
      <c r="E2473" s="5">
        <v>110580</v>
      </c>
      <c r="F2473" s="5">
        <v>313697125</v>
      </c>
      <c r="G2473" s="5">
        <v>3.7196516888288347</v>
      </c>
      <c r="H2473" s="5">
        <v>2836.8341924398624</v>
      </c>
      <c r="I2473" s="5">
        <v>105.52035094836317</v>
      </c>
    </row>
    <row r="2474" spans="1:9" x14ac:dyDescent="0.2">
      <c r="A2474" s="5" t="s">
        <v>98</v>
      </c>
      <c r="B2474" s="5" t="s">
        <v>63</v>
      </c>
      <c r="C2474" s="5" t="s">
        <v>51</v>
      </c>
      <c r="D2474" s="5">
        <v>2967282</v>
      </c>
      <c r="E2474" s="5">
        <v>110187</v>
      </c>
      <c r="F2474" s="5">
        <v>316030760</v>
      </c>
      <c r="G2474" s="5">
        <v>3.7133983221008315</v>
      </c>
      <c r="H2474" s="5">
        <v>2868.1310862442938</v>
      </c>
      <c r="I2474" s="5">
        <v>106.50513163224797</v>
      </c>
    </row>
    <row r="2475" spans="1:9" x14ac:dyDescent="0.2">
      <c r="A2475" s="5" t="s">
        <v>98</v>
      </c>
      <c r="B2475" s="5" t="s">
        <v>63</v>
      </c>
      <c r="C2475" s="5" t="s">
        <v>52</v>
      </c>
      <c r="D2475" s="5">
        <v>2963155</v>
      </c>
      <c r="E2475" s="5">
        <v>109517</v>
      </c>
      <c r="F2475" s="5">
        <v>316743302</v>
      </c>
      <c r="G2475" s="5">
        <v>3.6959592056439843</v>
      </c>
      <c r="H2475" s="5">
        <v>2892.1838801281992</v>
      </c>
      <c r="I2475" s="5">
        <v>106.89393636174955</v>
      </c>
    </row>
    <row r="2476" spans="1:9" x14ac:dyDescent="0.2">
      <c r="A2476" s="5" t="s">
        <v>98</v>
      </c>
      <c r="B2476" s="5" t="s">
        <v>63</v>
      </c>
      <c r="C2476" s="5" t="s">
        <v>53</v>
      </c>
      <c r="D2476" s="5">
        <v>2956928</v>
      </c>
      <c r="E2476" s="5">
        <v>109006</v>
      </c>
      <c r="F2476" s="5">
        <v>317206243</v>
      </c>
      <c r="G2476" s="5">
        <v>3.6864610839357606</v>
      </c>
      <c r="H2476" s="5">
        <v>2909.9888354769464</v>
      </c>
      <c r="I2476" s="5">
        <v>107.27560596673304</v>
      </c>
    </row>
    <row r="2477" spans="1:9" x14ac:dyDescent="0.2">
      <c r="A2477" s="5" t="s">
        <v>98</v>
      </c>
      <c r="B2477" s="5" t="s">
        <v>63</v>
      </c>
      <c r="C2477" s="5" t="s">
        <v>54</v>
      </c>
      <c r="D2477" s="5">
        <v>2952914</v>
      </c>
      <c r="E2477" s="5">
        <v>109165</v>
      </c>
      <c r="F2477" s="5">
        <v>320530858</v>
      </c>
      <c r="G2477" s="5">
        <v>3.6968567320280914</v>
      </c>
      <c r="H2477" s="5">
        <v>2936.2053588604408</v>
      </c>
      <c r="I2477" s="5">
        <v>108.54730547520178</v>
      </c>
    </row>
    <row r="2478" spans="1:9" x14ac:dyDescent="0.2">
      <c r="A2478" s="5" t="s">
        <v>98</v>
      </c>
      <c r="B2478" s="5" t="s">
        <v>63</v>
      </c>
      <c r="C2478" s="5" t="s">
        <v>55</v>
      </c>
      <c r="D2478" s="5">
        <v>2946045</v>
      </c>
      <c r="E2478" s="5">
        <v>108364</v>
      </c>
      <c r="F2478" s="5">
        <v>318284303</v>
      </c>
      <c r="G2478" s="5">
        <v>3.6782873309810271</v>
      </c>
      <c r="H2478" s="5">
        <v>2937.1775035989813</v>
      </c>
      <c r="I2478" s="5">
        <v>108.03782800330613</v>
      </c>
    </row>
    <row r="2479" spans="1:9" x14ac:dyDescent="0.2">
      <c r="A2479" s="5" t="s">
        <v>98</v>
      </c>
      <c r="B2479" s="5" t="s">
        <v>63</v>
      </c>
      <c r="C2479" s="5" t="s">
        <v>56</v>
      </c>
      <c r="D2479" s="5">
        <v>2933635</v>
      </c>
      <c r="E2479" s="5">
        <v>107379</v>
      </c>
      <c r="F2479" s="5">
        <v>315902596</v>
      </c>
      <c r="G2479" s="5">
        <v>3.6602713016445469</v>
      </c>
      <c r="H2479" s="5">
        <v>2941.9401931476359</v>
      </c>
      <c r="I2479" s="5">
        <v>107.68299260132906</v>
      </c>
    </row>
    <row r="2480" spans="1:9" x14ac:dyDescent="0.2">
      <c r="A2480" s="5" t="s">
        <v>98</v>
      </c>
      <c r="B2480" s="5" t="s">
        <v>63</v>
      </c>
      <c r="C2480" s="5" t="s">
        <v>57</v>
      </c>
      <c r="D2480" s="5">
        <v>2909018</v>
      </c>
      <c r="E2480" s="5">
        <v>106173</v>
      </c>
      <c r="F2480" s="5">
        <v>311714521</v>
      </c>
      <c r="G2480" s="5">
        <v>3.6497883478204671</v>
      </c>
      <c r="H2480" s="5">
        <v>2935.9113993199776</v>
      </c>
      <c r="I2480" s="5">
        <v>107.15455215471337</v>
      </c>
    </row>
    <row r="2481" spans="1:9" x14ac:dyDescent="0.2">
      <c r="A2481" s="5" t="s">
        <v>98</v>
      </c>
      <c r="B2481" s="5" t="s">
        <v>63</v>
      </c>
      <c r="C2481" s="5" t="s">
        <v>58</v>
      </c>
      <c r="D2481" s="5">
        <v>2877773</v>
      </c>
      <c r="E2481" s="5">
        <v>104580</v>
      </c>
      <c r="F2481" s="5">
        <v>307807455</v>
      </c>
      <c r="G2481" s="5">
        <v>3.6340600874356666</v>
      </c>
      <c r="H2481" s="5">
        <v>2943.272662076879</v>
      </c>
      <c r="I2481" s="5">
        <v>106.96029707694109</v>
      </c>
    </row>
    <row r="2482" spans="1:9" x14ac:dyDescent="0.2">
      <c r="A2482" s="5" t="s">
        <v>98</v>
      </c>
      <c r="B2482" s="5" t="s">
        <v>63</v>
      </c>
      <c r="C2482" s="5" t="s">
        <v>59</v>
      </c>
      <c r="D2482" s="5">
        <v>2852128</v>
      </c>
      <c r="E2482" s="5">
        <v>103540</v>
      </c>
      <c r="F2482" s="5">
        <v>307234396</v>
      </c>
      <c r="G2482" s="5">
        <v>3.6302718531566605</v>
      </c>
      <c r="H2482" s="5">
        <v>2967.3014873478851</v>
      </c>
      <c r="I2482" s="5">
        <v>107.72111069348921</v>
      </c>
    </row>
    <row r="2483" spans="1:9" x14ac:dyDescent="0.2">
      <c r="A2483" s="5" t="s">
        <v>98</v>
      </c>
      <c r="B2483" s="5" t="s">
        <v>63</v>
      </c>
      <c r="C2483" s="5" t="s">
        <v>60</v>
      </c>
      <c r="D2483" s="5">
        <v>2823863</v>
      </c>
      <c r="E2483" s="5">
        <v>102001</v>
      </c>
      <c r="F2483" s="5">
        <v>304899769</v>
      </c>
      <c r="G2483" s="5">
        <v>3.6121086610788131</v>
      </c>
      <c r="H2483" s="5">
        <v>2989.1841158420016</v>
      </c>
      <c r="I2483" s="5">
        <v>107.97257834392107</v>
      </c>
    </row>
    <row r="2484" spans="1:9" x14ac:dyDescent="0.2">
      <c r="A2484" s="5" t="s">
        <v>98</v>
      </c>
      <c r="B2484" s="5" t="s">
        <v>63</v>
      </c>
      <c r="C2484" s="5" t="s">
        <v>61</v>
      </c>
      <c r="D2484" s="5">
        <v>2806585</v>
      </c>
      <c r="E2484" s="5">
        <v>100077</v>
      </c>
      <c r="F2484" s="5">
        <v>302527844</v>
      </c>
      <c r="G2484" s="5">
        <v>3.5657925913521238</v>
      </c>
      <c r="H2484" s="5">
        <v>3022.9507679087101</v>
      </c>
      <c r="I2484" s="5">
        <v>107.79215452231092</v>
      </c>
    </row>
    <row r="2485" spans="1:9" x14ac:dyDescent="0.2">
      <c r="A2485" s="5" t="s">
        <v>98</v>
      </c>
      <c r="B2485" s="5" t="s">
        <v>63</v>
      </c>
      <c r="C2485" s="5" t="s">
        <v>62</v>
      </c>
      <c r="D2485" s="5">
        <v>2789893</v>
      </c>
      <c r="E2485" s="5">
        <v>98237</v>
      </c>
      <c r="F2485" s="5">
        <v>300155219</v>
      </c>
      <c r="G2485" s="5">
        <v>3.5211744679813886</v>
      </c>
      <c r="H2485" s="5">
        <v>3055.4192310432932</v>
      </c>
      <c r="I2485" s="5">
        <v>107.58664185328972</v>
      </c>
    </row>
    <row r="2486" spans="1:9" x14ac:dyDescent="0.2">
      <c r="A2486" s="5" t="s">
        <v>98</v>
      </c>
      <c r="B2486" s="5" t="s">
        <v>73</v>
      </c>
      <c r="C2486" s="5" t="s">
        <v>45</v>
      </c>
      <c r="D2486" s="5">
        <v>2958789</v>
      </c>
      <c r="E2486" s="5">
        <v>51388</v>
      </c>
      <c r="F2486" s="5">
        <v>509298327</v>
      </c>
      <c r="G2486" s="5">
        <v>1.736791640093295</v>
      </c>
      <c r="H2486" s="5">
        <v>9910.8415778002654</v>
      </c>
      <c r="I2486" s="5">
        <v>172.13066798612542</v>
      </c>
    </row>
    <row r="2487" spans="1:9" x14ac:dyDescent="0.2">
      <c r="A2487" s="5" t="s">
        <v>98</v>
      </c>
      <c r="B2487" s="5" t="s">
        <v>73</v>
      </c>
      <c r="C2487" s="5" t="s">
        <v>46</v>
      </c>
      <c r="D2487" s="5">
        <v>2962219</v>
      </c>
      <c r="E2487" s="5">
        <v>51238</v>
      </c>
      <c r="F2487" s="5">
        <v>507592311</v>
      </c>
      <c r="G2487" s="5">
        <v>1.7297168102695986</v>
      </c>
      <c r="H2487" s="5">
        <v>9906.5597993676565</v>
      </c>
      <c r="I2487" s="5">
        <v>171.35543016907258</v>
      </c>
    </row>
    <row r="2488" spans="1:9" x14ac:dyDescent="0.2">
      <c r="A2488" s="5" t="s">
        <v>98</v>
      </c>
      <c r="B2488" s="5" t="s">
        <v>73</v>
      </c>
      <c r="C2488" s="5" t="s">
        <v>47</v>
      </c>
      <c r="D2488" s="5">
        <v>2967643</v>
      </c>
      <c r="E2488" s="5">
        <v>51736</v>
      </c>
      <c r="F2488" s="5">
        <v>515167758</v>
      </c>
      <c r="G2488" s="5">
        <v>1.7433363783986147</v>
      </c>
      <c r="H2488" s="5">
        <v>9957.6263723519405</v>
      </c>
      <c r="I2488" s="5">
        <v>173.59492297422568</v>
      </c>
    </row>
    <row r="2489" spans="1:9" x14ac:dyDescent="0.2">
      <c r="A2489" s="5" t="s">
        <v>98</v>
      </c>
      <c r="B2489" s="5" t="s">
        <v>73</v>
      </c>
      <c r="C2489" s="5" t="s">
        <v>48</v>
      </c>
      <c r="D2489" s="5">
        <v>2970894</v>
      </c>
      <c r="E2489" s="5">
        <v>52376</v>
      </c>
      <c r="F2489" s="5">
        <v>525759683</v>
      </c>
      <c r="G2489" s="5">
        <v>1.7629710114194583</v>
      </c>
      <c r="H2489" s="5">
        <v>10038.179376050099</v>
      </c>
      <c r="I2489" s="5">
        <v>176.9701924740499</v>
      </c>
    </row>
    <row r="2490" spans="1:9" x14ac:dyDescent="0.2">
      <c r="A2490" s="5" t="s">
        <v>98</v>
      </c>
      <c r="B2490" s="5" t="s">
        <v>73</v>
      </c>
      <c r="C2490" s="5" t="s">
        <v>49</v>
      </c>
      <c r="D2490" s="5">
        <v>2973725</v>
      </c>
      <c r="E2490" s="5">
        <v>52095</v>
      </c>
      <c r="F2490" s="5">
        <v>526447699</v>
      </c>
      <c r="G2490" s="5">
        <v>1.7518432269291881</v>
      </c>
      <c r="H2490" s="5">
        <v>10105.532181591323</v>
      </c>
      <c r="I2490" s="5">
        <v>177.03308106835703</v>
      </c>
    </row>
    <row r="2491" spans="1:9" x14ac:dyDescent="0.2">
      <c r="A2491" s="5" t="s">
        <v>98</v>
      </c>
      <c r="B2491" s="5" t="s">
        <v>73</v>
      </c>
      <c r="C2491" s="5" t="s">
        <v>50</v>
      </c>
      <c r="D2491" s="5">
        <v>2972859</v>
      </c>
      <c r="E2491" s="5">
        <v>51413</v>
      </c>
      <c r="F2491" s="5">
        <v>520474127</v>
      </c>
      <c r="G2491" s="5">
        <v>1.7294126630290909</v>
      </c>
      <c r="H2491" s="5">
        <v>10123.395386380877</v>
      </c>
      <c r="I2491" s="5">
        <v>175.07528174057364</v>
      </c>
    </row>
    <row r="2492" spans="1:9" x14ac:dyDescent="0.2">
      <c r="A2492" s="5" t="s">
        <v>98</v>
      </c>
      <c r="B2492" s="5" t="s">
        <v>73</v>
      </c>
      <c r="C2492" s="5" t="s">
        <v>51</v>
      </c>
      <c r="D2492" s="5">
        <v>2967282</v>
      </c>
      <c r="E2492" s="5">
        <v>51608</v>
      </c>
      <c r="F2492" s="5">
        <v>506697820</v>
      </c>
      <c r="G2492" s="5">
        <v>1.7392347609698033</v>
      </c>
      <c r="H2492" s="5">
        <v>9818.2029917842192</v>
      </c>
      <c r="I2492" s="5">
        <v>170.76159933568835</v>
      </c>
    </row>
    <row r="2493" spans="1:9" x14ac:dyDescent="0.2">
      <c r="A2493" s="5" t="s">
        <v>98</v>
      </c>
      <c r="B2493" s="5" t="s">
        <v>73</v>
      </c>
      <c r="C2493" s="5" t="s">
        <v>52</v>
      </c>
      <c r="D2493" s="5">
        <v>2963155</v>
      </c>
      <c r="E2493" s="5">
        <v>50549</v>
      </c>
      <c r="F2493" s="5">
        <v>490332290</v>
      </c>
      <c r="G2493" s="5">
        <v>1.7059181851776233</v>
      </c>
      <c r="H2493" s="5">
        <v>9700.138281667294</v>
      </c>
      <c r="I2493" s="5">
        <v>165.47642293433856</v>
      </c>
    </row>
    <row r="2494" spans="1:9" x14ac:dyDescent="0.2">
      <c r="A2494" s="5" t="s">
        <v>98</v>
      </c>
      <c r="B2494" s="5" t="s">
        <v>73</v>
      </c>
      <c r="C2494" s="5" t="s">
        <v>53</v>
      </c>
      <c r="D2494" s="5">
        <v>2956928</v>
      </c>
      <c r="E2494" s="5">
        <v>48804</v>
      </c>
      <c r="F2494" s="5">
        <v>486361710</v>
      </c>
      <c r="G2494" s="5">
        <v>1.6504967317432147</v>
      </c>
      <c r="H2494" s="5">
        <v>9965.6116301942457</v>
      </c>
      <c r="I2494" s="5">
        <v>164.48209425457773</v>
      </c>
    </row>
    <row r="2495" spans="1:9" x14ac:dyDescent="0.2">
      <c r="A2495" s="5" t="s">
        <v>98</v>
      </c>
      <c r="B2495" s="5" t="s">
        <v>73</v>
      </c>
      <c r="C2495" s="5" t="s">
        <v>54</v>
      </c>
      <c r="D2495" s="5">
        <v>2952914</v>
      </c>
      <c r="E2495" s="5">
        <v>46845</v>
      </c>
      <c r="F2495" s="5">
        <v>489319330</v>
      </c>
      <c r="G2495" s="5">
        <v>1.5863990620790176</v>
      </c>
      <c r="H2495" s="5">
        <v>10445.49749172804</v>
      </c>
      <c r="I2495" s="5">
        <v>165.70727423826091</v>
      </c>
    </row>
    <row r="2496" spans="1:9" x14ac:dyDescent="0.2">
      <c r="A2496" s="5" t="s">
        <v>98</v>
      </c>
      <c r="B2496" s="5" t="s">
        <v>73</v>
      </c>
      <c r="C2496" s="5" t="s">
        <v>55</v>
      </c>
      <c r="D2496" s="5">
        <v>2946045</v>
      </c>
      <c r="E2496" s="5">
        <v>46108</v>
      </c>
      <c r="F2496" s="5">
        <v>502372733</v>
      </c>
      <c r="G2496" s="5">
        <v>1.5650813208895316</v>
      </c>
      <c r="H2496" s="5">
        <v>10895.565476706863</v>
      </c>
      <c r="I2496" s="5">
        <v>170.52446008122755</v>
      </c>
    </row>
    <row r="2497" spans="1:9" x14ac:dyDescent="0.2">
      <c r="A2497" s="5" t="s">
        <v>98</v>
      </c>
      <c r="B2497" s="5" t="s">
        <v>73</v>
      </c>
      <c r="C2497" s="5" t="s">
        <v>56</v>
      </c>
      <c r="D2497" s="5">
        <v>2933635</v>
      </c>
      <c r="E2497" s="5">
        <v>44922</v>
      </c>
      <c r="F2497" s="5">
        <v>517649418</v>
      </c>
      <c r="G2497" s="5">
        <v>1.5312743405365699</v>
      </c>
      <c r="H2497" s="5">
        <v>11523.294109790304</v>
      </c>
      <c r="I2497" s="5">
        <v>176.45324588778087</v>
      </c>
    </row>
    <row r="2498" spans="1:9" x14ac:dyDescent="0.2">
      <c r="A2498" s="5" t="s">
        <v>98</v>
      </c>
      <c r="B2498" s="5" t="s">
        <v>73</v>
      </c>
      <c r="C2498" s="5" t="s">
        <v>57</v>
      </c>
      <c r="D2498" s="5">
        <v>2909018</v>
      </c>
      <c r="E2498" s="5">
        <v>43609</v>
      </c>
      <c r="F2498" s="5">
        <v>526264486</v>
      </c>
      <c r="G2498" s="5">
        <v>1.4990969461172121</v>
      </c>
      <c r="H2498" s="5">
        <v>12067.795317480337</v>
      </c>
      <c r="I2498" s="5">
        <v>180.90795106802364</v>
      </c>
    </row>
    <row r="2499" spans="1:9" x14ac:dyDescent="0.2">
      <c r="A2499" s="5" t="s">
        <v>98</v>
      </c>
      <c r="B2499" s="5" t="s">
        <v>73</v>
      </c>
      <c r="C2499" s="5" t="s">
        <v>58</v>
      </c>
      <c r="D2499" s="5">
        <v>2877773</v>
      </c>
      <c r="E2499" s="5">
        <v>42479</v>
      </c>
      <c r="F2499" s="5">
        <v>521775412</v>
      </c>
      <c r="G2499" s="5">
        <v>1.4761066977833206</v>
      </c>
      <c r="H2499" s="5">
        <v>12283.137832811506</v>
      </c>
      <c r="I2499" s="5">
        <v>181.31222024808767</v>
      </c>
    </row>
    <row r="2500" spans="1:9" x14ac:dyDescent="0.2">
      <c r="A2500" s="5" t="s">
        <v>98</v>
      </c>
      <c r="B2500" s="5" t="s">
        <v>73</v>
      </c>
      <c r="C2500" s="5" t="s">
        <v>59</v>
      </c>
      <c r="D2500" s="5">
        <v>2852128</v>
      </c>
      <c r="E2500" s="5">
        <v>40620</v>
      </c>
      <c r="F2500" s="5">
        <v>503345449</v>
      </c>
      <c r="G2500" s="5">
        <v>1.4241997554106969</v>
      </c>
      <c r="H2500" s="5">
        <v>12391.566937469226</v>
      </c>
      <c r="I2500" s="5">
        <v>176.48066601498951</v>
      </c>
    </row>
    <row r="2501" spans="1:9" x14ac:dyDescent="0.2">
      <c r="A2501" s="5" t="s">
        <v>98</v>
      </c>
      <c r="B2501" s="5" t="s">
        <v>73</v>
      </c>
      <c r="C2501" s="5" t="s">
        <v>60</v>
      </c>
      <c r="D2501" s="5">
        <v>2823863</v>
      </c>
      <c r="E2501" s="5">
        <v>39215</v>
      </c>
      <c r="F2501" s="5">
        <v>480701332</v>
      </c>
      <c r="G2501" s="5">
        <v>1.3887005141538382</v>
      </c>
      <c r="H2501" s="5">
        <v>12258.098482723448</v>
      </c>
      <c r="I2501" s="5">
        <v>170.22827665506435</v>
      </c>
    </row>
    <row r="2502" spans="1:9" x14ac:dyDescent="0.2">
      <c r="A2502" s="5" t="s">
        <v>98</v>
      </c>
      <c r="B2502" s="5" t="s">
        <v>73</v>
      </c>
      <c r="C2502" s="5" t="s">
        <v>61</v>
      </c>
      <c r="D2502" s="5">
        <v>2806585</v>
      </c>
      <c r="E2502" s="5">
        <v>37278</v>
      </c>
      <c r="F2502" s="5">
        <v>464304509</v>
      </c>
      <c r="G2502" s="5">
        <v>1.3282334224689436</v>
      </c>
      <c r="H2502" s="5">
        <v>12455.188287998284</v>
      </c>
      <c r="I2502" s="5">
        <v>165.43397367263063</v>
      </c>
    </row>
    <row r="2503" spans="1:9" x14ac:dyDescent="0.2">
      <c r="A2503" s="5" t="s">
        <v>98</v>
      </c>
      <c r="B2503" s="5" t="s">
        <v>73</v>
      </c>
      <c r="C2503" s="5" t="s">
        <v>62</v>
      </c>
      <c r="D2503" s="5">
        <v>2789893</v>
      </c>
      <c r="E2503" s="5">
        <v>36837</v>
      </c>
      <c r="F2503" s="5">
        <v>457231920</v>
      </c>
      <c r="G2503" s="5">
        <v>1.3203732186144774</v>
      </c>
      <c r="H2503" s="5">
        <v>12412.30067595081</v>
      </c>
      <c r="I2503" s="5">
        <v>163.88869393915823</v>
      </c>
    </row>
    <row r="2504" spans="1:9" x14ac:dyDescent="0.2">
      <c r="A2504" s="5" t="s">
        <v>98</v>
      </c>
      <c r="B2504" s="5" t="s">
        <v>64</v>
      </c>
      <c r="C2504" s="5" t="s">
        <v>45</v>
      </c>
      <c r="D2504" s="5">
        <v>2336539</v>
      </c>
      <c r="E2504" s="5">
        <v>75365</v>
      </c>
      <c r="F2504" s="5">
        <v>133637055</v>
      </c>
      <c r="G2504" s="5">
        <v>3.225497199062374</v>
      </c>
      <c r="H2504" s="5">
        <v>1773.1978371923306</v>
      </c>
      <c r="I2504" s="5">
        <v>57.194446572473218</v>
      </c>
    </row>
    <row r="2505" spans="1:9" x14ac:dyDescent="0.2">
      <c r="A2505" s="5" t="s">
        <v>98</v>
      </c>
      <c r="B2505" s="5" t="s">
        <v>64</v>
      </c>
      <c r="C2505" s="5" t="s">
        <v>46</v>
      </c>
      <c r="D2505" s="5">
        <v>2346840</v>
      </c>
      <c r="E2505" s="5">
        <v>73941</v>
      </c>
      <c r="F2505" s="5">
        <v>135337152</v>
      </c>
      <c r="G2505" s="5">
        <v>3.1506621669990285</v>
      </c>
      <c r="H2505" s="5">
        <v>1830.3397573741227</v>
      </c>
      <c r="I2505" s="5">
        <v>57.667822263128294</v>
      </c>
    </row>
    <row r="2506" spans="1:9" x14ac:dyDescent="0.2">
      <c r="A2506" s="5" t="s">
        <v>98</v>
      </c>
      <c r="B2506" s="5" t="s">
        <v>64</v>
      </c>
      <c r="C2506" s="5" t="s">
        <v>47</v>
      </c>
      <c r="D2506" s="5">
        <v>2357434</v>
      </c>
      <c r="E2506" s="5">
        <v>71947</v>
      </c>
      <c r="F2506" s="5">
        <v>135291953</v>
      </c>
      <c r="G2506" s="5">
        <v>3.0519200113343574</v>
      </c>
      <c r="H2506" s="5">
        <v>1880.4391149040266</v>
      </c>
      <c r="I2506" s="5">
        <v>57.389497648714659</v>
      </c>
    </row>
    <row r="2507" spans="1:9" x14ac:dyDescent="0.2">
      <c r="A2507" s="5" t="s">
        <v>98</v>
      </c>
      <c r="B2507" s="5" t="s">
        <v>64</v>
      </c>
      <c r="C2507" s="5" t="s">
        <v>48</v>
      </c>
      <c r="D2507" s="5">
        <v>2365112</v>
      </c>
      <c r="E2507" s="5">
        <v>70725</v>
      </c>
      <c r="F2507" s="5">
        <v>133624793</v>
      </c>
      <c r="G2507" s="5">
        <v>2.9903446432980765</v>
      </c>
      <c r="H2507" s="5">
        <v>1889.3572711205372</v>
      </c>
      <c r="I2507" s="5">
        <v>56.498293949715702</v>
      </c>
    </row>
    <row r="2508" spans="1:9" x14ac:dyDescent="0.2">
      <c r="A2508" s="5" t="s">
        <v>98</v>
      </c>
      <c r="B2508" s="5" t="s">
        <v>64</v>
      </c>
      <c r="C2508" s="5" t="s">
        <v>49</v>
      </c>
      <c r="D2508" s="5">
        <v>2371654</v>
      </c>
      <c r="E2508" s="5">
        <v>67612</v>
      </c>
      <c r="F2508" s="5">
        <v>126468737</v>
      </c>
      <c r="G2508" s="5">
        <v>2.8508374324416632</v>
      </c>
      <c r="H2508" s="5">
        <v>1870.5072620244928</v>
      </c>
      <c r="I2508" s="5">
        <v>53.325121202333897</v>
      </c>
    </row>
    <row r="2509" spans="1:9" x14ac:dyDescent="0.2">
      <c r="A2509" s="5" t="s">
        <v>98</v>
      </c>
      <c r="B2509" s="5" t="s">
        <v>64</v>
      </c>
      <c r="C2509" s="5" t="s">
        <v>50</v>
      </c>
      <c r="D2509" s="5">
        <v>2372968</v>
      </c>
      <c r="E2509" s="5">
        <v>66695</v>
      </c>
      <c r="F2509" s="5">
        <v>124602884</v>
      </c>
      <c r="G2509" s="5">
        <v>2.8106152295353328</v>
      </c>
      <c r="H2509" s="5">
        <v>1868.2492540670214</v>
      </c>
      <c r="I2509" s="5">
        <v>52.509298060487964</v>
      </c>
    </row>
    <row r="2510" spans="1:9" x14ac:dyDescent="0.2">
      <c r="A2510" s="5" t="s">
        <v>98</v>
      </c>
      <c r="B2510" s="5" t="s">
        <v>64</v>
      </c>
      <c r="C2510" s="5" t="s">
        <v>51</v>
      </c>
      <c r="D2510" s="5">
        <v>2370165</v>
      </c>
      <c r="E2510" s="5">
        <v>70125</v>
      </c>
      <c r="F2510" s="5">
        <v>135246224</v>
      </c>
      <c r="G2510" s="5">
        <v>2.9586547771990559</v>
      </c>
      <c r="H2510" s="5">
        <v>1928.6449055258468</v>
      </c>
      <c r="I2510" s="5">
        <v>57.061944632546677</v>
      </c>
    </row>
    <row r="2511" spans="1:9" x14ac:dyDescent="0.2">
      <c r="A2511" s="5" t="s">
        <v>98</v>
      </c>
      <c r="B2511" s="5" t="s">
        <v>64</v>
      </c>
      <c r="C2511" s="5" t="s">
        <v>52</v>
      </c>
      <c r="D2511" s="5">
        <v>2367791</v>
      </c>
      <c r="E2511" s="5">
        <v>70056</v>
      </c>
      <c r="F2511" s="5">
        <v>134993107</v>
      </c>
      <c r="G2511" s="5">
        <v>2.9587070818328138</v>
      </c>
      <c r="H2511" s="5">
        <v>1926.9314120132465</v>
      </c>
      <c r="I2511" s="5">
        <v>57.01225614929696</v>
      </c>
    </row>
    <row r="2512" spans="1:9" x14ac:dyDescent="0.2">
      <c r="A2512" s="5" t="s">
        <v>98</v>
      </c>
      <c r="B2512" s="5" t="s">
        <v>64</v>
      </c>
      <c r="C2512" s="5" t="s">
        <v>53</v>
      </c>
      <c r="D2512" s="5">
        <v>2363352</v>
      </c>
      <c r="E2512" s="5">
        <v>71039</v>
      </c>
      <c r="F2512" s="5">
        <v>139032144</v>
      </c>
      <c r="G2512" s="5">
        <v>3.0058577816592704</v>
      </c>
      <c r="H2512" s="5">
        <v>1957.1241712298879</v>
      </c>
      <c r="I2512" s="5">
        <v>58.828369197648087</v>
      </c>
    </row>
    <row r="2513" spans="1:9" x14ac:dyDescent="0.2">
      <c r="A2513" s="5" t="s">
        <v>98</v>
      </c>
      <c r="B2513" s="5" t="s">
        <v>64</v>
      </c>
      <c r="C2513" s="5" t="s">
        <v>54</v>
      </c>
      <c r="D2513" s="5">
        <v>2361236</v>
      </c>
      <c r="E2513" s="5">
        <v>69955</v>
      </c>
      <c r="F2513" s="5">
        <v>133486831</v>
      </c>
      <c r="G2513" s="5">
        <v>2.9626432935970821</v>
      </c>
      <c r="H2513" s="5">
        <v>1908.1814166249733</v>
      </c>
      <c r="I2513" s="5">
        <v>56.532608769305568</v>
      </c>
    </row>
    <row r="2514" spans="1:9" x14ac:dyDescent="0.2">
      <c r="A2514" s="5" t="s">
        <v>98</v>
      </c>
      <c r="B2514" s="5" t="s">
        <v>64</v>
      </c>
      <c r="C2514" s="5" t="s">
        <v>55</v>
      </c>
      <c r="D2514" s="5">
        <v>2358061</v>
      </c>
      <c r="E2514" s="5">
        <v>64666</v>
      </c>
      <c r="F2514" s="5">
        <v>116038020</v>
      </c>
      <c r="G2514" s="5">
        <v>2.7423378784518295</v>
      </c>
      <c r="H2514" s="5">
        <v>1794.4208703182508</v>
      </c>
      <c r="I2514" s="5">
        <v>49.209083225582376</v>
      </c>
    </row>
    <row r="2515" spans="1:9" x14ac:dyDescent="0.2">
      <c r="A2515" s="5" t="s">
        <v>98</v>
      </c>
      <c r="B2515" s="5" t="s">
        <v>64</v>
      </c>
      <c r="C2515" s="5" t="s">
        <v>56</v>
      </c>
      <c r="D2515" s="5">
        <v>2352342</v>
      </c>
      <c r="E2515" s="5">
        <v>62066</v>
      </c>
      <c r="F2515" s="5">
        <v>115611174</v>
      </c>
      <c r="G2515" s="5">
        <v>2.6384768881395648</v>
      </c>
      <c r="H2515" s="5">
        <v>1862.7134663100571</v>
      </c>
      <c r="I2515" s="5">
        <v>49.147264300854211</v>
      </c>
    </row>
    <row r="2516" spans="1:9" x14ac:dyDescent="0.2">
      <c r="A2516" s="5" t="s">
        <v>98</v>
      </c>
      <c r="B2516" s="5" t="s">
        <v>64</v>
      </c>
      <c r="C2516" s="5" t="s">
        <v>57</v>
      </c>
      <c r="D2516" s="5">
        <v>2338691</v>
      </c>
      <c r="E2516" s="5">
        <v>60075</v>
      </c>
      <c r="F2516" s="5">
        <v>109274978</v>
      </c>
      <c r="G2516" s="5">
        <v>2.5687446524572932</v>
      </c>
      <c r="H2516" s="5">
        <v>1818.9759134415315</v>
      </c>
      <c r="I2516" s="5">
        <v>46.724846506015545</v>
      </c>
    </row>
    <row r="2517" spans="1:9" x14ac:dyDescent="0.2">
      <c r="A2517" s="5" t="s">
        <v>98</v>
      </c>
      <c r="B2517" s="5" t="s">
        <v>64</v>
      </c>
      <c r="C2517" s="5" t="s">
        <v>58</v>
      </c>
      <c r="D2517" s="5">
        <v>2321016</v>
      </c>
      <c r="E2517" s="5">
        <v>58525</v>
      </c>
      <c r="F2517" s="5">
        <v>104280433</v>
      </c>
      <c r="G2517" s="5">
        <v>2.5215250562684619</v>
      </c>
      <c r="H2517" s="5">
        <v>1781.8100469884664</v>
      </c>
      <c r="I2517" s="5">
        <v>44.928786789923031</v>
      </c>
    </row>
    <row r="2518" spans="1:9" x14ac:dyDescent="0.2">
      <c r="A2518" s="5" t="s">
        <v>98</v>
      </c>
      <c r="B2518" s="5" t="s">
        <v>64</v>
      </c>
      <c r="C2518" s="5" t="s">
        <v>59</v>
      </c>
      <c r="D2518" s="5">
        <v>2307800</v>
      </c>
      <c r="E2518" s="5">
        <v>58024</v>
      </c>
      <c r="F2518" s="5">
        <v>103257890</v>
      </c>
      <c r="G2518" s="5">
        <v>2.514256001386602</v>
      </c>
      <c r="H2518" s="5">
        <v>1779.5720736247069</v>
      </c>
      <c r="I2518" s="5">
        <v>44.742997660109197</v>
      </c>
    </row>
    <row r="2519" spans="1:9" x14ac:dyDescent="0.2">
      <c r="A2519" s="5" t="s">
        <v>98</v>
      </c>
      <c r="B2519" s="5" t="s">
        <v>64</v>
      </c>
      <c r="C2519" s="5" t="s">
        <v>60</v>
      </c>
      <c r="D2519" s="5">
        <v>2292458</v>
      </c>
      <c r="E2519" s="5">
        <v>57390</v>
      </c>
      <c r="F2519" s="5">
        <v>94991890</v>
      </c>
      <c r="G2519" s="5">
        <v>2.5034264531782044</v>
      </c>
      <c r="H2519" s="5">
        <v>1655.1993378637394</v>
      </c>
      <c r="I2519" s="5">
        <v>41.436698076911334</v>
      </c>
    </row>
    <row r="2520" spans="1:9" x14ac:dyDescent="0.2">
      <c r="A2520" s="5" t="s">
        <v>98</v>
      </c>
      <c r="B2520" s="5" t="s">
        <v>64</v>
      </c>
      <c r="C2520" s="5" t="s">
        <v>61</v>
      </c>
      <c r="D2520" s="5">
        <v>2285520</v>
      </c>
      <c r="E2520" s="5">
        <v>56924</v>
      </c>
      <c r="F2520" s="5">
        <v>98213239</v>
      </c>
      <c r="G2520" s="5">
        <v>2.4906367041198503</v>
      </c>
      <c r="H2520" s="5">
        <v>1725.3397336799944</v>
      </c>
      <c r="I2520" s="5">
        <v>42.971944677797616</v>
      </c>
    </row>
    <row r="2521" spans="1:9" x14ac:dyDescent="0.2">
      <c r="A2521" s="5" t="s">
        <v>98</v>
      </c>
      <c r="B2521" s="5" t="s">
        <v>64</v>
      </c>
      <c r="C2521" s="5" t="s">
        <v>62</v>
      </c>
      <c r="D2521" s="5">
        <v>2278997</v>
      </c>
      <c r="E2521" s="5">
        <v>56491</v>
      </c>
      <c r="F2521" s="5">
        <v>100624947</v>
      </c>
      <c r="G2521" s="5">
        <v>2.4787658781472728</v>
      </c>
      <c r="H2521" s="5">
        <v>1781.2562532084758</v>
      </c>
      <c r="I2521" s="5">
        <v>44.153172206896279</v>
      </c>
    </row>
    <row r="2522" spans="1:9" x14ac:dyDescent="0.2">
      <c r="A2522" s="5" t="s">
        <v>98</v>
      </c>
      <c r="B2522" s="5" t="s">
        <v>65</v>
      </c>
      <c r="C2522" s="5" t="s">
        <v>45</v>
      </c>
      <c r="D2522" s="5">
        <v>2196268</v>
      </c>
      <c r="E2522" s="5">
        <v>147282</v>
      </c>
      <c r="F2522" s="5">
        <v>399628161</v>
      </c>
      <c r="G2522" s="5">
        <v>6.7060121988755474</v>
      </c>
      <c r="H2522" s="5">
        <v>2713.3537092109013</v>
      </c>
      <c r="I2522" s="5">
        <v>181.95783073832519</v>
      </c>
    </row>
    <row r="2523" spans="1:9" x14ac:dyDescent="0.2">
      <c r="A2523" s="5" t="s">
        <v>98</v>
      </c>
      <c r="B2523" s="5" t="s">
        <v>65</v>
      </c>
      <c r="C2523" s="5" t="s">
        <v>46</v>
      </c>
      <c r="D2523" s="5">
        <v>2208075</v>
      </c>
      <c r="E2523" s="5">
        <v>141404</v>
      </c>
      <c r="F2523" s="5">
        <v>388976982</v>
      </c>
      <c r="G2523" s="5">
        <v>6.403949141220294</v>
      </c>
      <c r="H2523" s="5">
        <v>2750.8202172498654</v>
      </c>
      <c r="I2523" s="5">
        <v>176.16112767908697</v>
      </c>
    </row>
    <row r="2524" spans="1:9" x14ac:dyDescent="0.2">
      <c r="A2524" s="5" t="s">
        <v>98</v>
      </c>
      <c r="B2524" s="5" t="s">
        <v>65</v>
      </c>
      <c r="C2524" s="5" t="s">
        <v>47</v>
      </c>
      <c r="D2524" s="5">
        <v>2218423</v>
      </c>
      <c r="E2524" s="5">
        <v>139679</v>
      </c>
      <c r="F2524" s="5">
        <v>380542268</v>
      </c>
      <c r="G2524" s="5">
        <v>6.2963195026376848</v>
      </c>
      <c r="H2524" s="5">
        <v>2724.4057302815741</v>
      </c>
      <c r="I2524" s="5">
        <v>171.53728932669739</v>
      </c>
    </row>
    <row r="2525" spans="1:9" x14ac:dyDescent="0.2">
      <c r="A2525" s="5" t="s">
        <v>98</v>
      </c>
      <c r="B2525" s="5" t="s">
        <v>65</v>
      </c>
      <c r="C2525" s="5" t="s">
        <v>48</v>
      </c>
      <c r="D2525" s="5">
        <v>2224930</v>
      </c>
      <c r="E2525" s="5">
        <v>138724</v>
      </c>
      <c r="F2525" s="5">
        <v>384724910</v>
      </c>
      <c r="G2525" s="5">
        <v>6.2349826736122038</v>
      </c>
      <c r="H2525" s="5">
        <v>2773.3118278019665</v>
      </c>
      <c r="I2525" s="5">
        <v>172.91551194869052</v>
      </c>
    </row>
    <row r="2526" spans="1:9" x14ac:dyDescent="0.2">
      <c r="A2526" s="5" t="s">
        <v>98</v>
      </c>
      <c r="B2526" s="5" t="s">
        <v>65</v>
      </c>
      <c r="C2526" s="5" t="s">
        <v>49</v>
      </c>
      <c r="D2526" s="5">
        <v>2216059</v>
      </c>
      <c r="E2526" s="5">
        <v>138298</v>
      </c>
      <c r="F2526" s="5">
        <v>386241979</v>
      </c>
      <c r="G2526" s="5">
        <v>6.2407183202252288</v>
      </c>
      <c r="H2526" s="5">
        <v>2792.8240393931942</v>
      </c>
      <c r="I2526" s="5">
        <v>174.29228147806535</v>
      </c>
    </row>
    <row r="2527" spans="1:9" x14ac:dyDescent="0.2">
      <c r="A2527" s="5" t="s">
        <v>98</v>
      </c>
      <c r="B2527" s="5" t="s">
        <v>65</v>
      </c>
      <c r="C2527" s="5" t="s">
        <v>50</v>
      </c>
      <c r="D2527" s="5">
        <v>2217593</v>
      </c>
      <c r="E2527" s="5">
        <v>139555</v>
      </c>
      <c r="F2527" s="5">
        <v>393461261</v>
      </c>
      <c r="G2527" s="5">
        <v>6.2930844388487879</v>
      </c>
      <c r="H2527" s="5">
        <v>2819.3992404428363</v>
      </c>
      <c r="I2527" s="5">
        <v>177.42717486932904</v>
      </c>
    </row>
    <row r="2528" spans="1:9" x14ac:dyDescent="0.2">
      <c r="A2528" s="5" t="s">
        <v>98</v>
      </c>
      <c r="B2528" s="5" t="s">
        <v>65</v>
      </c>
      <c r="C2528" s="5" t="s">
        <v>51</v>
      </c>
      <c r="D2528" s="5">
        <v>2216236</v>
      </c>
      <c r="E2528" s="5">
        <v>137998</v>
      </c>
      <c r="F2528" s="5">
        <v>399210735</v>
      </c>
      <c r="G2528" s="5">
        <v>6.2266834398502686</v>
      </c>
      <c r="H2528" s="5">
        <v>2892.8733387440398</v>
      </c>
      <c r="I2528" s="5">
        <v>180.1300651194187</v>
      </c>
    </row>
    <row r="2529" spans="1:9" x14ac:dyDescent="0.2">
      <c r="A2529" s="5" t="s">
        <v>98</v>
      </c>
      <c r="B2529" s="5" t="s">
        <v>65</v>
      </c>
      <c r="C2529" s="5" t="s">
        <v>52</v>
      </c>
      <c r="D2529" s="5">
        <v>2215676</v>
      </c>
      <c r="E2529" s="5">
        <v>136667</v>
      </c>
      <c r="F2529" s="5">
        <v>400519717</v>
      </c>
      <c r="G2529" s="5">
        <v>6.1681852400802279</v>
      </c>
      <c r="H2529" s="5">
        <v>2930.6249277440788</v>
      </c>
      <c r="I2529" s="5">
        <v>180.76637423522212</v>
      </c>
    </row>
    <row r="2530" spans="1:9" x14ac:dyDescent="0.2">
      <c r="A2530" s="5" t="s">
        <v>98</v>
      </c>
      <c r="B2530" s="5" t="s">
        <v>65</v>
      </c>
      <c r="C2530" s="5" t="s">
        <v>53</v>
      </c>
      <c r="D2530" s="5">
        <v>2212997</v>
      </c>
      <c r="E2530" s="5">
        <v>134225</v>
      </c>
      <c r="F2530" s="5">
        <v>394696881</v>
      </c>
      <c r="G2530" s="5">
        <v>6.0653042005931326</v>
      </c>
      <c r="H2530" s="5">
        <v>2940.5616017880425</v>
      </c>
      <c r="I2530" s="5">
        <v>178.35400635427882</v>
      </c>
    </row>
    <row r="2531" spans="1:9" x14ac:dyDescent="0.2">
      <c r="A2531" s="5" t="s">
        <v>98</v>
      </c>
      <c r="B2531" s="5" t="s">
        <v>65</v>
      </c>
      <c r="C2531" s="5" t="s">
        <v>54</v>
      </c>
      <c r="D2531" s="5">
        <v>2212461</v>
      </c>
      <c r="E2531" s="5">
        <v>132631</v>
      </c>
      <c r="F2531" s="5">
        <v>395193731</v>
      </c>
      <c r="G2531" s="5">
        <v>5.9947271386930661</v>
      </c>
      <c r="H2531" s="5">
        <v>2979.64827981392</v>
      </c>
      <c r="I2531" s="5">
        <v>178.62178406760617</v>
      </c>
    </row>
    <row r="2532" spans="1:9" x14ac:dyDescent="0.2">
      <c r="A2532" s="5" t="s">
        <v>98</v>
      </c>
      <c r="B2532" s="5" t="s">
        <v>65</v>
      </c>
      <c r="C2532" s="5" t="s">
        <v>55</v>
      </c>
      <c r="D2532" s="5">
        <v>2211186</v>
      </c>
      <c r="E2532" s="5">
        <v>131359</v>
      </c>
      <c r="F2532" s="5">
        <v>390926684</v>
      </c>
      <c r="G2532" s="5">
        <v>5.9406580902737263</v>
      </c>
      <c r="H2532" s="5">
        <v>2976.0175092684931</v>
      </c>
      <c r="I2532" s="5">
        <v>176.79502493232138</v>
      </c>
    </row>
    <row r="2533" spans="1:9" x14ac:dyDescent="0.2">
      <c r="A2533" s="5" t="s">
        <v>98</v>
      </c>
      <c r="B2533" s="5" t="s">
        <v>65</v>
      </c>
      <c r="C2533" s="5" t="s">
        <v>56</v>
      </c>
      <c r="D2533" s="5">
        <v>2207564</v>
      </c>
      <c r="E2533" s="5">
        <v>128997</v>
      </c>
      <c r="F2533" s="5">
        <v>382079048</v>
      </c>
      <c r="G2533" s="5">
        <v>5.8434092964009201</v>
      </c>
      <c r="H2533" s="5">
        <v>2961.9219671775313</v>
      </c>
      <c r="I2533" s="5">
        <v>173.07722358219286</v>
      </c>
    </row>
    <row r="2534" spans="1:9" x14ac:dyDescent="0.2">
      <c r="A2534" s="5" t="s">
        <v>98</v>
      </c>
      <c r="B2534" s="5" t="s">
        <v>65</v>
      </c>
      <c r="C2534" s="5" t="s">
        <v>57</v>
      </c>
      <c r="D2534" s="5">
        <v>2196408</v>
      </c>
      <c r="E2534" s="5">
        <v>126847</v>
      </c>
      <c r="F2534" s="5">
        <v>380681461</v>
      </c>
      <c r="G2534" s="5">
        <v>5.7752020571769904</v>
      </c>
      <c r="H2534" s="5">
        <v>3001.107326148825</v>
      </c>
      <c r="I2534" s="5">
        <v>173.32001203783634</v>
      </c>
    </row>
    <row r="2535" spans="1:9" x14ac:dyDescent="0.2">
      <c r="A2535" s="5" t="s">
        <v>98</v>
      </c>
      <c r="B2535" s="5" t="s">
        <v>65</v>
      </c>
      <c r="C2535" s="5" t="s">
        <v>58</v>
      </c>
      <c r="D2535" s="5">
        <v>2181399</v>
      </c>
      <c r="E2535" s="5">
        <v>125880</v>
      </c>
      <c r="F2535" s="5">
        <v>374333510</v>
      </c>
      <c r="G2535" s="5">
        <v>5.7706086781922981</v>
      </c>
      <c r="H2535" s="5">
        <v>2973.7329996822373</v>
      </c>
      <c r="I2535" s="5">
        <v>171.60249454593131</v>
      </c>
    </row>
    <row r="2536" spans="1:9" x14ac:dyDescent="0.2">
      <c r="A2536" s="5" t="s">
        <v>98</v>
      </c>
      <c r="B2536" s="5" t="s">
        <v>65</v>
      </c>
      <c r="C2536" s="5" t="s">
        <v>59</v>
      </c>
      <c r="D2536" s="5">
        <v>2170525</v>
      </c>
      <c r="E2536" s="5">
        <v>125088</v>
      </c>
      <c r="F2536" s="5">
        <v>371521249</v>
      </c>
      <c r="G2536" s="5">
        <v>5.7630296817590212</v>
      </c>
      <c r="H2536" s="5">
        <v>2970.0790563443334</v>
      </c>
      <c r="I2536" s="5">
        <v>171.1665375888322</v>
      </c>
    </row>
    <row r="2537" spans="1:9" x14ac:dyDescent="0.2">
      <c r="A2537" s="5" t="s">
        <v>98</v>
      </c>
      <c r="B2537" s="5" t="s">
        <v>65</v>
      </c>
      <c r="C2537" s="5" t="s">
        <v>60</v>
      </c>
      <c r="D2537" s="5">
        <v>2157507</v>
      </c>
      <c r="E2537" s="5">
        <v>124689</v>
      </c>
      <c r="F2537" s="5">
        <v>371805615</v>
      </c>
      <c r="G2537" s="5">
        <v>5.7793091748949132</v>
      </c>
      <c r="H2537" s="5">
        <v>2981.8637971272524</v>
      </c>
      <c r="I2537" s="5">
        <v>172.33112801024515</v>
      </c>
    </row>
    <row r="2538" spans="1:9" x14ac:dyDescent="0.2">
      <c r="A2538" s="5" t="s">
        <v>98</v>
      </c>
      <c r="B2538" s="5" t="s">
        <v>65</v>
      </c>
      <c r="C2538" s="5" t="s">
        <v>61</v>
      </c>
      <c r="D2538" s="5">
        <v>2152017</v>
      </c>
      <c r="E2538" s="5">
        <v>124597</v>
      </c>
      <c r="F2538" s="5">
        <v>367915456</v>
      </c>
      <c r="G2538" s="5">
        <v>5.7897776829829875</v>
      </c>
      <c r="H2538" s="5">
        <v>2952.8436158173954</v>
      </c>
      <c r="I2538" s="5">
        <v>170.96308068198346</v>
      </c>
    </row>
    <row r="2539" spans="1:9" x14ac:dyDescent="0.2">
      <c r="A2539" s="5" t="s">
        <v>98</v>
      </c>
      <c r="B2539" s="5" t="s">
        <v>65</v>
      </c>
      <c r="C2539" s="5" t="s">
        <v>62</v>
      </c>
      <c r="D2539" s="5">
        <v>2146625</v>
      </c>
      <c r="E2539" s="5">
        <v>121778</v>
      </c>
      <c r="F2539" s="5">
        <v>362776738</v>
      </c>
      <c r="G2539" s="5">
        <v>5.6729983113026261</v>
      </c>
      <c r="H2539" s="5">
        <v>2979.0006240864523</v>
      </c>
      <c r="I2539" s="5">
        <v>168.99865509811914</v>
      </c>
    </row>
    <row r="2540" spans="1:9" x14ac:dyDescent="0.2">
      <c r="A2540" s="5" t="s">
        <v>99</v>
      </c>
      <c r="B2540" s="5" t="s">
        <v>44</v>
      </c>
      <c r="C2540" s="5" t="s">
        <v>45</v>
      </c>
      <c r="D2540" s="5">
        <v>814800</v>
      </c>
      <c r="E2540" s="5">
        <v>9033</v>
      </c>
      <c r="F2540" s="5">
        <v>72774774</v>
      </c>
      <c r="G2540" s="5">
        <v>1.1086156111929308</v>
      </c>
      <c r="H2540" s="5">
        <v>8056.5453337761537</v>
      </c>
      <c r="I2540" s="5">
        <v>89.31611929307806</v>
      </c>
    </row>
    <row r="2541" spans="1:9" x14ac:dyDescent="0.2">
      <c r="A2541" s="5" t="s">
        <v>99</v>
      </c>
      <c r="B2541" s="5" t="s">
        <v>44</v>
      </c>
      <c r="C2541" s="5" t="s">
        <v>46</v>
      </c>
      <c r="D2541" s="5">
        <v>822352</v>
      </c>
      <c r="E2541" s="5">
        <v>9105</v>
      </c>
      <c r="F2541" s="5">
        <v>71797887</v>
      </c>
      <c r="G2541" s="5">
        <v>1.1071901083720839</v>
      </c>
      <c r="H2541" s="5">
        <v>7885.5449752883032</v>
      </c>
      <c r="I2541" s="5">
        <v>87.307973957623986</v>
      </c>
    </row>
    <row r="2542" spans="1:9" x14ac:dyDescent="0.2">
      <c r="A2542" s="5" t="s">
        <v>99</v>
      </c>
      <c r="B2542" s="5" t="s">
        <v>44</v>
      </c>
      <c r="C2542" s="5" t="s">
        <v>47</v>
      </c>
      <c r="D2542" s="5">
        <v>830073</v>
      </c>
      <c r="E2542" s="5">
        <v>9170</v>
      </c>
      <c r="F2542" s="5">
        <v>74285379</v>
      </c>
      <c r="G2542" s="5">
        <v>1.1047221148019513</v>
      </c>
      <c r="H2542" s="5">
        <v>8100.9137404580151</v>
      </c>
      <c r="I2542" s="5">
        <v>89.492585591869627</v>
      </c>
    </row>
    <row r="2543" spans="1:9" x14ac:dyDescent="0.2">
      <c r="A2543" s="5" t="s">
        <v>99</v>
      </c>
      <c r="B2543" s="5" t="s">
        <v>44</v>
      </c>
      <c r="C2543" s="5" t="s">
        <v>48</v>
      </c>
      <c r="D2543" s="5">
        <v>836588</v>
      </c>
      <c r="E2543" s="5">
        <v>9167</v>
      </c>
      <c r="F2543" s="5">
        <v>75367174</v>
      </c>
      <c r="G2543" s="5">
        <v>1.0957603981888338</v>
      </c>
      <c r="H2543" s="5">
        <v>8221.5745609250571</v>
      </c>
      <c r="I2543" s="5">
        <v>90.088758146184261</v>
      </c>
    </row>
    <row r="2544" spans="1:9" x14ac:dyDescent="0.2">
      <c r="A2544" s="5" t="s">
        <v>99</v>
      </c>
      <c r="B2544" s="5" t="s">
        <v>44</v>
      </c>
      <c r="C2544" s="5" t="s">
        <v>49</v>
      </c>
      <c r="D2544" s="5">
        <v>841346</v>
      </c>
      <c r="E2544" s="5">
        <v>9096</v>
      </c>
      <c r="F2544" s="5">
        <v>76231968</v>
      </c>
      <c r="G2544" s="5">
        <v>1.0811247691199577</v>
      </c>
      <c r="H2544" s="5">
        <v>8380.8232189973623</v>
      </c>
      <c r="I2544" s="5">
        <v>90.607155676737037</v>
      </c>
    </row>
    <row r="2545" spans="1:9" x14ac:dyDescent="0.2">
      <c r="A2545" s="5" t="s">
        <v>99</v>
      </c>
      <c r="B2545" s="5" t="s">
        <v>44</v>
      </c>
      <c r="C2545" s="5" t="s">
        <v>50</v>
      </c>
      <c r="D2545" s="5">
        <v>845990</v>
      </c>
      <c r="E2545" s="5">
        <v>9064</v>
      </c>
      <c r="F2545" s="5">
        <v>79310633</v>
      </c>
      <c r="G2545" s="5">
        <v>1.0714074634451944</v>
      </c>
      <c r="H2545" s="5">
        <v>8750.0698367166806</v>
      </c>
      <c r="I2545" s="5">
        <v>93.748901287249254</v>
      </c>
    </row>
    <row r="2546" spans="1:9" x14ac:dyDescent="0.2">
      <c r="A2546" s="5" t="s">
        <v>99</v>
      </c>
      <c r="B2546" s="5" t="s">
        <v>44</v>
      </c>
      <c r="C2546" s="5" t="s">
        <v>51</v>
      </c>
      <c r="D2546" s="5">
        <v>851959</v>
      </c>
      <c r="E2546" s="5">
        <v>9153</v>
      </c>
      <c r="F2546" s="5">
        <v>78093975</v>
      </c>
      <c r="G2546" s="5">
        <v>1.074347474467668</v>
      </c>
      <c r="H2546" s="5">
        <v>8532.0632579482135</v>
      </c>
      <c r="I2546" s="5">
        <v>91.664006131750469</v>
      </c>
    </row>
    <row r="2547" spans="1:9" x14ac:dyDescent="0.2">
      <c r="A2547" s="5" t="s">
        <v>99</v>
      </c>
      <c r="B2547" s="5" t="s">
        <v>44</v>
      </c>
      <c r="C2547" s="5" t="s">
        <v>52</v>
      </c>
      <c r="D2547" s="5">
        <v>859373</v>
      </c>
      <c r="E2547" s="5">
        <v>9362</v>
      </c>
      <c r="F2547" s="5">
        <v>80588827</v>
      </c>
      <c r="G2547" s="5">
        <v>1.0893988989647103</v>
      </c>
      <c r="H2547" s="5">
        <v>8608.0780816064944</v>
      </c>
      <c r="I2547" s="5">
        <v>93.77630784304371</v>
      </c>
    </row>
    <row r="2548" spans="1:9" x14ac:dyDescent="0.2">
      <c r="A2548" s="5" t="s">
        <v>99</v>
      </c>
      <c r="B2548" s="5" t="s">
        <v>44</v>
      </c>
      <c r="C2548" s="5" t="s">
        <v>53</v>
      </c>
      <c r="D2548" s="5">
        <v>868204</v>
      </c>
      <c r="E2548" s="5">
        <v>9736</v>
      </c>
      <c r="F2548" s="5">
        <v>85012376</v>
      </c>
      <c r="G2548" s="5">
        <v>1.1213954324098945</v>
      </c>
      <c r="H2548" s="5">
        <v>8731.7559572719802</v>
      </c>
      <c r="I2548" s="5">
        <v>97.917512474026836</v>
      </c>
    </row>
    <row r="2549" spans="1:9" x14ac:dyDescent="0.2">
      <c r="A2549" s="5" t="s">
        <v>99</v>
      </c>
      <c r="B2549" s="5" t="s">
        <v>44</v>
      </c>
      <c r="C2549" s="5" t="s">
        <v>54</v>
      </c>
      <c r="D2549" s="5">
        <v>876787</v>
      </c>
      <c r="E2549" s="5">
        <v>10072</v>
      </c>
      <c r="F2549" s="5">
        <v>86230707</v>
      </c>
      <c r="G2549" s="5">
        <v>1.1487396596892974</v>
      </c>
      <c r="H2549" s="5">
        <v>8561.4284154090547</v>
      </c>
      <c r="I2549" s="5">
        <v>98.348523643712781</v>
      </c>
    </row>
    <row r="2550" spans="1:9" x14ac:dyDescent="0.2">
      <c r="A2550" s="5" t="s">
        <v>99</v>
      </c>
      <c r="B2550" s="5" t="s">
        <v>44</v>
      </c>
      <c r="C2550" s="5" t="s">
        <v>55</v>
      </c>
      <c r="D2550" s="5">
        <v>885213</v>
      </c>
      <c r="E2550" s="5">
        <v>10469</v>
      </c>
      <c r="F2550" s="5">
        <v>91178854</v>
      </c>
      <c r="G2550" s="5">
        <v>1.1826532145370663</v>
      </c>
      <c r="H2550" s="5">
        <v>8709.413888623556</v>
      </c>
      <c r="I2550" s="5">
        <v>103.00216332114418</v>
      </c>
    </row>
    <row r="2551" spans="1:9" x14ac:dyDescent="0.2">
      <c r="A2551" s="5" t="s">
        <v>99</v>
      </c>
      <c r="B2551" s="5" t="s">
        <v>44</v>
      </c>
      <c r="C2551" s="5" t="s">
        <v>56</v>
      </c>
      <c r="D2551" s="5">
        <v>893661</v>
      </c>
      <c r="E2551" s="5">
        <v>10768</v>
      </c>
      <c r="F2551" s="5">
        <v>93874381</v>
      </c>
      <c r="G2551" s="5">
        <v>1.2049311763632966</v>
      </c>
      <c r="H2551" s="5">
        <v>8717.9031389301635</v>
      </c>
      <c r="I2551" s="5">
        <v>105.04473284612398</v>
      </c>
    </row>
    <row r="2552" spans="1:9" x14ac:dyDescent="0.2">
      <c r="A2552" s="5" t="s">
        <v>99</v>
      </c>
      <c r="B2552" s="5" t="s">
        <v>44</v>
      </c>
      <c r="C2552" s="5" t="s">
        <v>57</v>
      </c>
      <c r="D2552" s="5">
        <v>902261</v>
      </c>
      <c r="E2552" s="5">
        <v>10864</v>
      </c>
      <c r="F2552" s="5">
        <v>96509885</v>
      </c>
      <c r="G2552" s="5">
        <v>1.2040861790546193</v>
      </c>
      <c r="H2552" s="5">
        <v>8883.4577503681885</v>
      </c>
      <c r="I2552" s="5">
        <v>106.96448699433978</v>
      </c>
    </row>
    <row r="2553" spans="1:9" x14ac:dyDescent="0.2">
      <c r="A2553" s="5" t="s">
        <v>99</v>
      </c>
      <c r="B2553" s="5" t="s">
        <v>44</v>
      </c>
      <c r="C2553" s="5" t="s">
        <v>58</v>
      </c>
      <c r="D2553" s="5">
        <v>910999</v>
      </c>
      <c r="E2553" s="5">
        <v>10856</v>
      </c>
      <c r="F2553" s="5">
        <v>98273310</v>
      </c>
      <c r="G2553" s="5">
        <v>1.1916588272874065</v>
      </c>
      <c r="H2553" s="5">
        <v>9052.4419675755344</v>
      </c>
      <c r="I2553" s="5">
        <v>107.87422379168363</v>
      </c>
    </row>
    <row r="2554" spans="1:9" x14ac:dyDescent="0.2">
      <c r="A2554" s="5" t="s">
        <v>99</v>
      </c>
      <c r="B2554" s="5" t="s">
        <v>44</v>
      </c>
      <c r="C2554" s="5" t="s">
        <v>59</v>
      </c>
      <c r="D2554" s="5">
        <v>919074</v>
      </c>
      <c r="E2554" s="5">
        <v>10628</v>
      </c>
      <c r="F2554" s="5">
        <v>98395686</v>
      </c>
      <c r="G2554" s="5">
        <v>1.1563813142358503</v>
      </c>
      <c r="H2554" s="5">
        <v>9258.1563793752357</v>
      </c>
      <c r="I2554" s="5">
        <v>107.05959041382957</v>
      </c>
    </row>
    <row r="2555" spans="1:9" x14ac:dyDescent="0.2">
      <c r="A2555" s="5" t="s">
        <v>99</v>
      </c>
      <c r="B2555" s="5" t="s">
        <v>44</v>
      </c>
      <c r="C2555" s="5" t="s">
        <v>60</v>
      </c>
      <c r="D2555" s="5">
        <v>925794</v>
      </c>
      <c r="E2555" s="5">
        <v>10405</v>
      </c>
      <c r="F2555" s="5">
        <v>100549278</v>
      </c>
      <c r="G2555" s="5">
        <v>1.1239001332909913</v>
      </c>
      <c r="H2555" s="5">
        <v>9663.5538683325321</v>
      </c>
      <c r="I2555" s="5">
        <v>108.60869480683608</v>
      </c>
    </row>
    <row r="2556" spans="1:9" x14ac:dyDescent="0.2">
      <c r="A2556" s="5" t="s">
        <v>99</v>
      </c>
      <c r="B2556" s="5" t="s">
        <v>44</v>
      </c>
      <c r="C2556" s="5" t="s">
        <v>61</v>
      </c>
      <c r="D2556" s="5">
        <v>931379</v>
      </c>
      <c r="E2556" s="5">
        <v>10028</v>
      </c>
      <c r="F2556" s="5">
        <v>98910515</v>
      </c>
      <c r="G2556" s="5">
        <v>1.0766830688688493</v>
      </c>
      <c r="H2556" s="5">
        <v>9863.4338851216598</v>
      </c>
      <c r="I2556" s="5">
        <v>106.19792265017786</v>
      </c>
    </row>
    <row r="2557" spans="1:9" x14ac:dyDescent="0.2">
      <c r="A2557" s="5" t="s">
        <v>99</v>
      </c>
      <c r="B2557" s="5" t="s">
        <v>44</v>
      </c>
      <c r="C2557" s="5" t="s">
        <v>62</v>
      </c>
      <c r="D2557" s="5">
        <v>935465</v>
      </c>
      <c r="E2557" s="5">
        <v>9832</v>
      </c>
      <c r="F2557" s="5">
        <v>98104220</v>
      </c>
      <c r="G2557" s="5">
        <v>1.0510280983254316</v>
      </c>
      <c r="H2557" s="5">
        <v>9978.0532953620823</v>
      </c>
      <c r="I2557" s="5">
        <v>104.87214380014217</v>
      </c>
    </row>
    <row r="2558" spans="1:9" x14ac:dyDescent="0.2">
      <c r="A2558" s="5" t="s">
        <v>99</v>
      </c>
      <c r="B2558" s="5" t="s">
        <v>63</v>
      </c>
      <c r="C2558" s="5" t="s">
        <v>45</v>
      </c>
      <c r="D2558" s="5">
        <v>814800</v>
      </c>
      <c r="E2558" s="5">
        <v>26808</v>
      </c>
      <c r="F2558" s="5">
        <v>69180192</v>
      </c>
      <c r="G2558" s="5">
        <v>3.2901325478645065</v>
      </c>
      <c r="H2558" s="5">
        <v>2580.5801253357208</v>
      </c>
      <c r="I2558" s="5">
        <v>84.904506627393232</v>
      </c>
    </row>
    <row r="2559" spans="1:9" x14ac:dyDescent="0.2">
      <c r="A2559" s="5" t="s">
        <v>99</v>
      </c>
      <c r="B2559" s="5" t="s">
        <v>63</v>
      </c>
      <c r="C2559" s="5" t="s">
        <v>46</v>
      </c>
      <c r="D2559" s="5">
        <v>822352</v>
      </c>
      <c r="E2559" s="5">
        <v>26309</v>
      </c>
      <c r="F2559" s="5">
        <v>69677499</v>
      </c>
      <c r="G2559" s="5">
        <v>3.1992382823900227</v>
      </c>
      <c r="H2559" s="5">
        <v>2648.4282564901746</v>
      </c>
      <c r="I2559" s="5">
        <v>84.729530663268278</v>
      </c>
    </row>
    <row r="2560" spans="1:9" x14ac:dyDescent="0.2">
      <c r="A2560" s="5" t="s">
        <v>99</v>
      </c>
      <c r="B2560" s="5" t="s">
        <v>63</v>
      </c>
      <c r="C2560" s="5" t="s">
        <v>47</v>
      </c>
      <c r="D2560" s="5">
        <v>830073</v>
      </c>
      <c r="E2560" s="5">
        <v>26487</v>
      </c>
      <c r="F2560" s="5">
        <v>70599417</v>
      </c>
      <c r="G2560" s="5">
        <v>3.1909241717294745</v>
      </c>
      <c r="H2560" s="5">
        <v>2665.4365160267303</v>
      </c>
      <c r="I2560" s="5">
        <v>85.052058072000889</v>
      </c>
    </row>
    <row r="2561" spans="1:9" x14ac:dyDescent="0.2">
      <c r="A2561" s="5" t="s">
        <v>99</v>
      </c>
      <c r="B2561" s="5" t="s">
        <v>63</v>
      </c>
      <c r="C2561" s="5" t="s">
        <v>48</v>
      </c>
      <c r="D2561" s="5">
        <v>836588</v>
      </c>
      <c r="E2561" s="5">
        <v>27139</v>
      </c>
      <c r="F2561" s="5">
        <v>71008586</v>
      </c>
      <c r="G2561" s="5">
        <v>3.2440101937871448</v>
      </c>
      <c r="H2561" s="5">
        <v>2616.4776152400605</v>
      </c>
      <c r="I2561" s="5">
        <v>84.878800556546352</v>
      </c>
    </row>
    <row r="2562" spans="1:9" x14ac:dyDescent="0.2">
      <c r="A2562" s="5" t="s">
        <v>99</v>
      </c>
      <c r="B2562" s="5" t="s">
        <v>63</v>
      </c>
      <c r="C2562" s="5" t="s">
        <v>49</v>
      </c>
      <c r="D2562" s="5">
        <v>841346</v>
      </c>
      <c r="E2562" s="5">
        <v>27484</v>
      </c>
      <c r="F2562" s="5">
        <v>71280279</v>
      </c>
      <c r="G2562" s="5">
        <v>3.266670311619714</v>
      </c>
      <c r="H2562" s="5">
        <v>2593.5191020229954</v>
      </c>
      <c r="I2562" s="5">
        <v>84.721718531971391</v>
      </c>
    </row>
    <row r="2563" spans="1:9" x14ac:dyDescent="0.2">
      <c r="A2563" s="5" t="s">
        <v>99</v>
      </c>
      <c r="B2563" s="5" t="s">
        <v>63</v>
      </c>
      <c r="C2563" s="5" t="s">
        <v>50</v>
      </c>
      <c r="D2563" s="5">
        <v>845990</v>
      </c>
      <c r="E2563" s="5">
        <v>27863</v>
      </c>
      <c r="F2563" s="5">
        <v>71074301</v>
      </c>
      <c r="G2563" s="5">
        <v>3.2935377486731521</v>
      </c>
      <c r="H2563" s="5">
        <v>2550.8488317840865</v>
      </c>
      <c r="I2563" s="5">
        <v>84.013169186397008</v>
      </c>
    </row>
    <row r="2564" spans="1:9" x14ac:dyDescent="0.2">
      <c r="A2564" s="5" t="s">
        <v>99</v>
      </c>
      <c r="B2564" s="5" t="s">
        <v>63</v>
      </c>
      <c r="C2564" s="5" t="s">
        <v>51</v>
      </c>
      <c r="D2564" s="5">
        <v>851959</v>
      </c>
      <c r="E2564" s="5">
        <v>27792</v>
      </c>
      <c r="F2564" s="5">
        <v>71180682</v>
      </c>
      <c r="G2564" s="5">
        <v>3.262128811362988</v>
      </c>
      <c r="H2564" s="5">
        <v>2561.1932210708119</v>
      </c>
      <c r="I2564" s="5">
        <v>83.549421979226693</v>
      </c>
    </row>
    <row r="2565" spans="1:9" x14ac:dyDescent="0.2">
      <c r="A2565" s="5" t="s">
        <v>99</v>
      </c>
      <c r="B2565" s="5" t="s">
        <v>63</v>
      </c>
      <c r="C2565" s="5" t="s">
        <v>52</v>
      </c>
      <c r="D2565" s="5">
        <v>859373</v>
      </c>
      <c r="E2565" s="5">
        <v>27573</v>
      </c>
      <c r="F2565" s="5">
        <v>70988625</v>
      </c>
      <c r="G2565" s="5">
        <v>3.2085020125137746</v>
      </c>
      <c r="H2565" s="5">
        <v>2574.5702317484497</v>
      </c>
      <c r="I2565" s="5">
        <v>82.605137699229559</v>
      </c>
    </row>
    <row r="2566" spans="1:9" x14ac:dyDescent="0.2">
      <c r="A2566" s="5" t="s">
        <v>99</v>
      </c>
      <c r="B2566" s="5" t="s">
        <v>63</v>
      </c>
      <c r="C2566" s="5" t="s">
        <v>53</v>
      </c>
      <c r="D2566" s="5">
        <v>868204</v>
      </c>
      <c r="E2566" s="5">
        <v>27640</v>
      </c>
      <c r="F2566" s="5">
        <v>71306081</v>
      </c>
      <c r="G2566" s="5">
        <v>3.183583581738854</v>
      </c>
      <c r="H2566" s="5">
        <v>2579.8147973950795</v>
      </c>
      <c r="I2566" s="5">
        <v>82.130560329139229</v>
      </c>
    </row>
    <row r="2567" spans="1:9" x14ac:dyDescent="0.2">
      <c r="A2567" s="5" t="s">
        <v>99</v>
      </c>
      <c r="B2567" s="5" t="s">
        <v>63</v>
      </c>
      <c r="C2567" s="5" t="s">
        <v>54</v>
      </c>
      <c r="D2567" s="5">
        <v>876787</v>
      </c>
      <c r="E2567" s="5">
        <v>28048</v>
      </c>
      <c r="F2567" s="5">
        <v>72873597</v>
      </c>
      <c r="G2567" s="5">
        <v>3.1989525392141993</v>
      </c>
      <c r="H2567" s="5">
        <v>2598.1744509412438</v>
      </c>
      <c r="I2567" s="5">
        <v>83.114367571599487</v>
      </c>
    </row>
    <row r="2568" spans="1:9" x14ac:dyDescent="0.2">
      <c r="A2568" s="5" t="s">
        <v>99</v>
      </c>
      <c r="B2568" s="5" t="s">
        <v>63</v>
      </c>
      <c r="C2568" s="5" t="s">
        <v>55</v>
      </c>
      <c r="D2568" s="5">
        <v>885213</v>
      </c>
      <c r="E2568" s="5">
        <v>28217</v>
      </c>
      <c r="F2568" s="5">
        <v>73761863</v>
      </c>
      <c r="G2568" s="5">
        <v>3.1875943981843919</v>
      </c>
      <c r="H2568" s="5">
        <v>2614.0930290250558</v>
      </c>
      <c r="I2568" s="5">
        <v>83.326682956531371</v>
      </c>
    </row>
    <row r="2569" spans="1:9" x14ac:dyDescent="0.2">
      <c r="A2569" s="5" t="s">
        <v>99</v>
      </c>
      <c r="B2569" s="5" t="s">
        <v>63</v>
      </c>
      <c r="C2569" s="5" t="s">
        <v>56</v>
      </c>
      <c r="D2569" s="5">
        <v>893661</v>
      </c>
      <c r="E2569" s="5">
        <v>28557</v>
      </c>
      <c r="F2569" s="5">
        <v>74596288</v>
      </c>
      <c r="G2569" s="5">
        <v>3.1955070211187464</v>
      </c>
      <c r="H2569" s="5">
        <v>2612.1892355639598</v>
      </c>
      <c r="I2569" s="5">
        <v>83.472690427354451</v>
      </c>
    </row>
    <row r="2570" spans="1:9" x14ac:dyDescent="0.2">
      <c r="A2570" s="5" t="s">
        <v>99</v>
      </c>
      <c r="B2570" s="5" t="s">
        <v>63</v>
      </c>
      <c r="C2570" s="5" t="s">
        <v>57</v>
      </c>
      <c r="D2570" s="5">
        <v>902261</v>
      </c>
      <c r="E2570" s="5">
        <v>28483</v>
      </c>
      <c r="F2570" s="5">
        <v>74247670</v>
      </c>
      <c r="G2570" s="5">
        <v>3.1568470764002878</v>
      </c>
      <c r="H2570" s="5">
        <v>2606.7362988449249</v>
      </c>
      <c r="I2570" s="5">
        <v>82.290678639551089</v>
      </c>
    </row>
    <row r="2571" spans="1:9" x14ac:dyDescent="0.2">
      <c r="A2571" s="5" t="s">
        <v>99</v>
      </c>
      <c r="B2571" s="5" t="s">
        <v>63</v>
      </c>
      <c r="C2571" s="5" t="s">
        <v>58</v>
      </c>
      <c r="D2571" s="5">
        <v>910999</v>
      </c>
      <c r="E2571" s="5">
        <v>28367</v>
      </c>
      <c r="F2571" s="5">
        <v>73374073</v>
      </c>
      <c r="G2571" s="5">
        <v>3.1138343730344382</v>
      </c>
      <c r="H2571" s="5">
        <v>2586.5996756794866</v>
      </c>
      <c r="I2571" s="5">
        <v>80.542429794105146</v>
      </c>
    </row>
    <row r="2572" spans="1:9" x14ac:dyDescent="0.2">
      <c r="A2572" s="5" t="s">
        <v>99</v>
      </c>
      <c r="B2572" s="5" t="s">
        <v>63</v>
      </c>
      <c r="C2572" s="5" t="s">
        <v>59</v>
      </c>
      <c r="D2572" s="5">
        <v>919074</v>
      </c>
      <c r="E2572" s="5">
        <v>28546</v>
      </c>
      <c r="F2572" s="5">
        <v>73911655</v>
      </c>
      <c r="G2572" s="5">
        <v>3.1059522954626071</v>
      </c>
      <c r="H2572" s="5">
        <v>2589.2123239683319</v>
      </c>
      <c r="I2572" s="5">
        <v>80.419699610695119</v>
      </c>
    </row>
    <row r="2573" spans="1:9" x14ac:dyDescent="0.2">
      <c r="A2573" s="5" t="s">
        <v>99</v>
      </c>
      <c r="B2573" s="5" t="s">
        <v>63</v>
      </c>
      <c r="C2573" s="5" t="s">
        <v>60</v>
      </c>
      <c r="D2573" s="5">
        <v>925794</v>
      </c>
      <c r="E2573" s="5">
        <v>28866</v>
      </c>
      <c r="F2573" s="5">
        <v>75384222</v>
      </c>
      <c r="G2573" s="5">
        <v>3.1179722486859927</v>
      </c>
      <c r="H2573" s="5">
        <v>2611.5229681978799</v>
      </c>
      <c r="I2573" s="5">
        <v>81.426561416470619</v>
      </c>
    </row>
    <row r="2574" spans="1:9" x14ac:dyDescent="0.2">
      <c r="A2574" s="5" t="s">
        <v>99</v>
      </c>
      <c r="B2574" s="5" t="s">
        <v>63</v>
      </c>
      <c r="C2574" s="5" t="s">
        <v>61</v>
      </c>
      <c r="D2574" s="5">
        <v>931379</v>
      </c>
      <c r="E2574" s="5">
        <v>28756</v>
      </c>
      <c r="F2574" s="5">
        <v>76068663</v>
      </c>
      <c r="G2574" s="5">
        <v>3.0874649310323723</v>
      </c>
      <c r="H2574" s="5">
        <v>2645.3144735011824</v>
      </c>
      <c r="I2574" s="5">
        <v>81.673156684872652</v>
      </c>
    </row>
    <row r="2575" spans="1:9" x14ac:dyDescent="0.2">
      <c r="A2575" s="5" t="s">
        <v>99</v>
      </c>
      <c r="B2575" s="5" t="s">
        <v>63</v>
      </c>
      <c r="C2575" s="5" t="s">
        <v>62</v>
      </c>
      <c r="D2575" s="5">
        <v>935465</v>
      </c>
      <c r="E2575" s="5">
        <v>28752</v>
      </c>
      <c r="F2575" s="5">
        <v>76802586</v>
      </c>
      <c r="G2575" s="5">
        <v>3.0735516561282359</v>
      </c>
      <c r="H2575" s="5">
        <v>2671.20847245409</v>
      </c>
      <c r="I2575" s="5">
        <v>82.100972243750434</v>
      </c>
    </row>
    <row r="2576" spans="1:9" x14ac:dyDescent="0.2">
      <c r="A2576" s="5" t="s">
        <v>99</v>
      </c>
      <c r="B2576" s="5" t="s">
        <v>64</v>
      </c>
      <c r="C2576" s="5" t="s">
        <v>45</v>
      </c>
      <c r="D2576" s="5">
        <v>573109</v>
      </c>
      <c r="E2576" s="5">
        <v>61313</v>
      </c>
      <c r="F2576" s="5">
        <v>42952762</v>
      </c>
      <c r="G2576" s="5">
        <v>10.698313933300646</v>
      </c>
      <c r="H2576" s="5">
        <v>700.54901896824492</v>
      </c>
      <c r="I2576" s="5">
        <v>74.946933305880734</v>
      </c>
    </row>
    <row r="2577" spans="1:9" x14ac:dyDescent="0.2">
      <c r="A2577" s="5" t="s">
        <v>99</v>
      </c>
      <c r="B2577" s="5" t="s">
        <v>64</v>
      </c>
      <c r="C2577" s="5" t="s">
        <v>46</v>
      </c>
      <c r="D2577" s="5">
        <v>579594</v>
      </c>
      <c r="E2577" s="5">
        <v>60885</v>
      </c>
      <c r="F2577" s="5">
        <v>43261530</v>
      </c>
      <c r="G2577" s="5">
        <v>10.504767130094514</v>
      </c>
      <c r="H2577" s="5">
        <v>710.54496181325453</v>
      </c>
      <c r="I2577" s="5">
        <v>74.641093593101374</v>
      </c>
    </row>
    <row r="2578" spans="1:9" x14ac:dyDescent="0.2">
      <c r="A2578" s="5" t="s">
        <v>99</v>
      </c>
      <c r="B2578" s="5" t="s">
        <v>64</v>
      </c>
      <c r="C2578" s="5" t="s">
        <v>47</v>
      </c>
      <c r="D2578" s="5">
        <v>585812</v>
      </c>
      <c r="E2578" s="5">
        <v>59894</v>
      </c>
      <c r="F2578" s="5">
        <v>45044682</v>
      </c>
      <c r="G2578" s="5">
        <v>10.224099199060449</v>
      </c>
      <c r="H2578" s="5">
        <v>752.07336294119614</v>
      </c>
      <c r="I2578" s="5">
        <v>76.892726676817816</v>
      </c>
    </row>
    <row r="2579" spans="1:9" x14ac:dyDescent="0.2">
      <c r="A2579" s="5" t="s">
        <v>99</v>
      </c>
      <c r="B2579" s="5" t="s">
        <v>64</v>
      </c>
      <c r="C2579" s="5" t="s">
        <v>48</v>
      </c>
      <c r="D2579" s="5">
        <v>591073</v>
      </c>
      <c r="E2579" s="5">
        <v>60187</v>
      </c>
      <c r="F2579" s="5">
        <v>48162563</v>
      </c>
      <c r="G2579" s="5">
        <v>10.18266779230315</v>
      </c>
      <c r="H2579" s="5">
        <v>800.21537873627199</v>
      </c>
      <c r="I2579" s="5">
        <v>81.48327363963503</v>
      </c>
    </row>
    <row r="2580" spans="1:9" x14ac:dyDescent="0.2">
      <c r="A2580" s="5" t="s">
        <v>99</v>
      </c>
      <c r="B2580" s="5" t="s">
        <v>64</v>
      </c>
      <c r="C2580" s="5" t="s">
        <v>49</v>
      </c>
      <c r="D2580" s="5">
        <v>594805</v>
      </c>
      <c r="E2580" s="5">
        <v>61751</v>
      </c>
      <c r="F2580" s="5">
        <v>51823483</v>
      </c>
      <c r="G2580" s="5">
        <v>10.381721740738561</v>
      </c>
      <c r="H2580" s="5">
        <v>839.23309743971754</v>
      </c>
      <c r="I2580" s="5">
        <v>87.126844932372791</v>
      </c>
    </row>
    <row r="2581" spans="1:9" x14ac:dyDescent="0.2">
      <c r="A2581" s="5" t="s">
        <v>99</v>
      </c>
      <c r="B2581" s="5" t="s">
        <v>64</v>
      </c>
      <c r="C2581" s="5" t="s">
        <v>50</v>
      </c>
      <c r="D2581" s="5">
        <v>597339</v>
      </c>
      <c r="E2581" s="5">
        <v>61763</v>
      </c>
      <c r="F2581" s="5">
        <v>52075127</v>
      </c>
      <c r="G2581" s="5">
        <v>10.33968985785291</v>
      </c>
      <c r="H2581" s="5">
        <v>843.14439065459908</v>
      </c>
      <c r="I2581" s="5">
        <v>87.178515047569306</v>
      </c>
    </row>
    <row r="2582" spans="1:9" x14ac:dyDescent="0.2">
      <c r="A2582" s="5" t="s">
        <v>99</v>
      </c>
      <c r="B2582" s="5" t="s">
        <v>64</v>
      </c>
      <c r="C2582" s="5" t="s">
        <v>51</v>
      </c>
      <c r="D2582" s="5">
        <v>599780</v>
      </c>
      <c r="E2582" s="5">
        <v>60978</v>
      </c>
      <c r="F2582" s="5">
        <v>50233510</v>
      </c>
      <c r="G2582" s="5">
        <v>10.166727800193405</v>
      </c>
      <c r="H2582" s="5">
        <v>823.79727114697107</v>
      </c>
      <c r="I2582" s="5">
        <v>83.753226182933744</v>
      </c>
    </row>
    <row r="2583" spans="1:9" x14ac:dyDescent="0.2">
      <c r="A2583" s="5" t="s">
        <v>99</v>
      </c>
      <c r="B2583" s="5" t="s">
        <v>64</v>
      </c>
      <c r="C2583" s="5" t="s">
        <v>52</v>
      </c>
      <c r="D2583" s="5">
        <v>602394</v>
      </c>
      <c r="E2583" s="5">
        <v>59895</v>
      </c>
      <c r="F2583" s="5">
        <v>45686094</v>
      </c>
      <c r="G2583" s="5">
        <v>9.9428281158178873</v>
      </c>
      <c r="H2583" s="5">
        <v>762.7697470573504</v>
      </c>
      <c r="I2583" s="5">
        <v>75.840884869371209</v>
      </c>
    </row>
    <row r="2584" spans="1:9" x14ac:dyDescent="0.2">
      <c r="A2584" s="5" t="s">
        <v>99</v>
      </c>
      <c r="B2584" s="5" t="s">
        <v>64</v>
      </c>
      <c r="C2584" s="5" t="s">
        <v>53</v>
      </c>
      <c r="D2584" s="5">
        <v>605463</v>
      </c>
      <c r="E2584" s="5">
        <v>57474</v>
      </c>
      <c r="F2584" s="5">
        <v>40077606</v>
      </c>
      <c r="G2584" s="5">
        <v>9.4925701487952203</v>
      </c>
      <c r="H2584" s="5">
        <v>697.31715210355992</v>
      </c>
      <c r="I2584" s="5">
        <v>66.193319823011478</v>
      </c>
    </row>
    <row r="2585" spans="1:9" x14ac:dyDescent="0.2">
      <c r="A2585" s="5" t="s">
        <v>99</v>
      </c>
      <c r="B2585" s="5" t="s">
        <v>64</v>
      </c>
      <c r="C2585" s="5" t="s">
        <v>54</v>
      </c>
      <c r="D2585" s="5">
        <v>608851</v>
      </c>
      <c r="E2585" s="5">
        <v>56311</v>
      </c>
      <c r="F2585" s="5">
        <v>38499124</v>
      </c>
      <c r="G2585" s="5">
        <v>9.2487324484972522</v>
      </c>
      <c r="H2585" s="5">
        <v>683.68745005416349</v>
      </c>
      <c r="I2585" s="5">
        <v>63.232423039462859</v>
      </c>
    </row>
    <row r="2586" spans="1:9" x14ac:dyDescent="0.2">
      <c r="A2586" s="5" t="s">
        <v>99</v>
      </c>
      <c r="B2586" s="5" t="s">
        <v>64</v>
      </c>
      <c r="C2586" s="5" t="s">
        <v>55</v>
      </c>
      <c r="D2586" s="5">
        <v>612391</v>
      </c>
      <c r="E2586" s="5">
        <v>58265</v>
      </c>
      <c r="F2586" s="5">
        <v>41320263</v>
      </c>
      <c r="G2586" s="5">
        <v>9.5143462265121475</v>
      </c>
      <c r="H2586" s="5">
        <v>709.1781172230327</v>
      </c>
      <c r="I2586" s="5">
        <v>67.473661435259501</v>
      </c>
    </row>
    <row r="2587" spans="1:9" x14ac:dyDescent="0.2">
      <c r="A2587" s="5" t="s">
        <v>99</v>
      </c>
      <c r="B2587" s="5" t="s">
        <v>64</v>
      </c>
      <c r="C2587" s="5" t="s">
        <v>56</v>
      </c>
      <c r="D2587" s="5">
        <v>615975</v>
      </c>
      <c r="E2587" s="5">
        <v>57685</v>
      </c>
      <c r="F2587" s="5">
        <v>42494972</v>
      </c>
      <c r="G2587" s="5">
        <v>9.3648281180242705</v>
      </c>
      <c r="H2587" s="5">
        <v>736.67282655803069</v>
      </c>
      <c r="I2587" s="5">
        <v>68.988143999350626</v>
      </c>
    </row>
    <row r="2588" spans="1:9" x14ac:dyDescent="0.2">
      <c r="A2588" s="5" t="s">
        <v>99</v>
      </c>
      <c r="B2588" s="5" t="s">
        <v>64</v>
      </c>
      <c r="C2588" s="5" t="s">
        <v>57</v>
      </c>
      <c r="D2588" s="5">
        <v>619829</v>
      </c>
      <c r="E2588" s="5">
        <v>67671</v>
      </c>
      <c r="F2588" s="5">
        <v>79069485</v>
      </c>
      <c r="G2588" s="5">
        <v>10.917688588304193</v>
      </c>
      <c r="H2588" s="5">
        <v>1168.4397304606109</v>
      </c>
      <c r="I2588" s="5">
        <v>127.56661111371039</v>
      </c>
    </row>
    <row r="2589" spans="1:9" x14ac:dyDescent="0.2">
      <c r="A2589" s="5" t="s">
        <v>99</v>
      </c>
      <c r="B2589" s="5" t="s">
        <v>64</v>
      </c>
      <c r="C2589" s="5" t="s">
        <v>58</v>
      </c>
      <c r="D2589" s="5">
        <v>624006</v>
      </c>
      <c r="E2589" s="5">
        <v>69376</v>
      </c>
      <c r="F2589" s="5">
        <v>82456633</v>
      </c>
      <c r="G2589" s="5">
        <v>11.117841815623567</v>
      </c>
      <c r="H2589" s="5">
        <v>1188.5469470710332</v>
      </c>
      <c r="I2589" s="5">
        <v>132.14076947978063</v>
      </c>
    </row>
    <row r="2590" spans="1:9" x14ac:dyDescent="0.2">
      <c r="A2590" s="5" t="s">
        <v>99</v>
      </c>
      <c r="B2590" s="5" t="s">
        <v>64</v>
      </c>
      <c r="C2590" s="5" t="s">
        <v>59</v>
      </c>
      <c r="D2590" s="5">
        <v>628163</v>
      </c>
      <c r="E2590" s="5">
        <v>73339</v>
      </c>
      <c r="F2590" s="5">
        <v>93307792</v>
      </c>
      <c r="G2590" s="5">
        <v>11.675154378720173</v>
      </c>
      <c r="H2590" s="5">
        <v>1272.2806692210147</v>
      </c>
      <c r="I2590" s="5">
        <v>148.54073226216761</v>
      </c>
    </row>
    <row r="2591" spans="1:9" x14ac:dyDescent="0.2">
      <c r="A2591" s="5" t="s">
        <v>99</v>
      </c>
      <c r="B2591" s="5" t="s">
        <v>64</v>
      </c>
      <c r="C2591" s="5" t="s">
        <v>60</v>
      </c>
      <c r="D2591" s="5">
        <v>632379</v>
      </c>
      <c r="E2591" s="5">
        <v>74400</v>
      </c>
      <c r="F2591" s="5">
        <v>96992174</v>
      </c>
      <c r="G2591" s="5">
        <v>11.765096563927644</v>
      </c>
      <c r="H2591" s="5">
        <v>1303.6582526881721</v>
      </c>
      <c r="I2591" s="5">
        <v>153.3766522923753</v>
      </c>
    </row>
    <row r="2592" spans="1:9" x14ac:dyDescent="0.2">
      <c r="A2592" s="5" t="s">
        <v>99</v>
      </c>
      <c r="B2592" s="5" t="s">
        <v>64</v>
      </c>
      <c r="C2592" s="5" t="s">
        <v>61</v>
      </c>
      <c r="D2592" s="5">
        <v>636405</v>
      </c>
      <c r="E2592" s="5">
        <v>63642</v>
      </c>
      <c r="F2592" s="5">
        <v>62167703</v>
      </c>
      <c r="G2592" s="5">
        <v>10.000235698965282</v>
      </c>
      <c r="H2592" s="5">
        <v>976.83452751327741</v>
      </c>
      <c r="I2592" s="5">
        <v>97.685755140201607</v>
      </c>
    </row>
    <row r="2593" spans="1:9" x14ac:dyDescent="0.2">
      <c r="A2593" s="5" t="s">
        <v>99</v>
      </c>
      <c r="B2593" s="5" t="s">
        <v>64</v>
      </c>
      <c r="C2593" s="5" t="s">
        <v>62</v>
      </c>
      <c r="D2593" s="5">
        <v>639971</v>
      </c>
      <c r="E2593" s="5">
        <v>61228</v>
      </c>
      <c r="F2593" s="5">
        <v>60626187</v>
      </c>
      <c r="G2593" s="5">
        <v>9.567308518667252</v>
      </c>
      <c r="H2593" s="5">
        <v>990.17095119879798</v>
      </c>
      <c r="I2593" s="5">
        <v>94.732709763411151</v>
      </c>
    </row>
    <row r="2594" spans="1:9" x14ac:dyDescent="0.2">
      <c r="A2594" s="5" t="s">
        <v>99</v>
      </c>
      <c r="B2594" s="5" t="s">
        <v>65</v>
      </c>
      <c r="C2594" s="5" t="s">
        <v>45</v>
      </c>
      <c r="D2594" s="5">
        <v>550106</v>
      </c>
      <c r="E2594" s="5">
        <v>27803</v>
      </c>
      <c r="F2594" s="5">
        <v>82628288</v>
      </c>
      <c r="G2594" s="5">
        <v>5.0541168429357253</v>
      </c>
      <c r="H2594" s="5">
        <v>2971.9198647627954</v>
      </c>
      <c r="I2594" s="5">
        <v>150.20430244352906</v>
      </c>
    </row>
    <row r="2595" spans="1:9" x14ac:dyDescent="0.2">
      <c r="A2595" s="5" t="s">
        <v>99</v>
      </c>
      <c r="B2595" s="5" t="s">
        <v>65</v>
      </c>
      <c r="C2595" s="5" t="s">
        <v>46</v>
      </c>
      <c r="D2595" s="5">
        <v>556659</v>
      </c>
      <c r="E2595" s="5">
        <v>27165</v>
      </c>
      <c r="F2595" s="5">
        <v>81640506</v>
      </c>
      <c r="G2595" s="5">
        <v>4.8800073294422619</v>
      </c>
      <c r="H2595" s="5">
        <v>3005.3563776918832</v>
      </c>
      <c r="I2595" s="5">
        <v>146.66161150722436</v>
      </c>
    </row>
    <row r="2596" spans="1:9" x14ac:dyDescent="0.2">
      <c r="A2596" s="5" t="s">
        <v>99</v>
      </c>
      <c r="B2596" s="5" t="s">
        <v>65</v>
      </c>
      <c r="C2596" s="5" t="s">
        <v>47</v>
      </c>
      <c r="D2596" s="5">
        <v>562950</v>
      </c>
      <c r="E2596" s="5">
        <v>27609</v>
      </c>
      <c r="F2596" s="5">
        <v>83079924</v>
      </c>
      <c r="G2596" s="5">
        <v>4.9043431921129761</v>
      </c>
      <c r="H2596" s="5">
        <v>3009.16092578507</v>
      </c>
      <c r="I2596" s="5">
        <v>147.57957900346389</v>
      </c>
    </row>
    <row r="2597" spans="1:9" x14ac:dyDescent="0.2">
      <c r="A2597" s="5" t="s">
        <v>99</v>
      </c>
      <c r="B2597" s="5" t="s">
        <v>65</v>
      </c>
      <c r="C2597" s="5" t="s">
        <v>48</v>
      </c>
      <c r="D2597" s="5">
        <v>568328</v>
      </c>
      <c r="E2597" s="5">
        <v>28028</v>
      </c>
      <c r="F2597" s="5">
        <v>83992119</v>
      </c>
      <c r="G2597" s="5">
        <v>4.9316591827254683</v>
      </c>
      <c r="H2597" s="5">
        <v>2996.7218139003853</v>
      </c>
      <c r="I2597" s="5">
        <v>147.78810651595558</v>
      </c>
    </row>
    <row r="2598" spans="1:9" x14ac:dyDescent="0.2">
      <c r="A2598" s="5" t="s">
        <v>99</v>
      </c>
      <c r="B2598" s="5" t="s">
        <v>65</v>
      </c>
      <c r="C2598" s="5" t="s">
        <v>49</v>
      </c>
      <c r="D2598" s="5">
        <v>572139</v>
      </c>
      <c r="E2598" s="5">
        <v>27815</v>
      </c>
      <c r="F2598" s="5">
        <v>82988139</v>
      </c>
      <c r="G2598" s="5">
        <v>4.8615808396211406</v>
      </c>
      <c r="H2598" s="5">
        <v>2983.5750134819341</v>
      </c>
      <c r="I2598" s="5">
        <v>145.04891119116158</v>
      </c>
    </row>
    <row r="2599" spans="1:9" x14ac:dyDescent="0.2">
      <c r="A2599" s="5" t="s">
        <v>99</v>
      </c>
      <c r="B2599" s="5" t="s">
        <v>65</v>
      </c>
      <c r="C2599" s="5" t="s">
        <v>50</v>
      </c>
      <c r="D2599" s="5">
        <v>574741</v>
      </c>
      <c r="E2599" s="5">
        <v>27663</v>
      </c>
      <c r="F2599" s="5">
        <v>82684417</v>
      </c>
      <c r="G2599" s="5">
        <v>4.8131245204361619</v>
      </c>
      <c r="H2599" s="5">
        <v>2988.9895166829338</v>
      </c>
      <c r="I2599" s="5">
        <v>143.86378734073261</v>
      </c>
    </row>
    <row r="2600" spans="1:9" x14ac:dyDescent="0.2">
      <c r="A2600" s="5" t="s">
        <v>99</v>
      </c>
      <c r="B2600" s="5" t="s">
        <v>65</v>
      </c>
      <c r="C2600" s="5" t="s">
        <v>51</v>
      </c>
      <c r="D2600" s="5">
        <v>577218</v>
      </c>
      <c r="E2600" s="5">
        <v>27100</v>
      </c>
      <c r="F2600" s="5">
        <v>83047781</v>
      </c>
      <c r="G2600" s="5">
        <v>4.6949332834388393</v>
      </c>
      <c r="H2600" s="5">
        <v>3064.4937638376382</v>
      </c>
      <c r="I2600" s="5">
        <v>143.87593768732091</v>
      </c>
    </row>
    <row r="2601" spans="1:9" x14ac:dyDescent="0.2">
      <c r="A2601" s="5" t="s">
        <v>99</v>
      </c>
      <c r="B2601" s="5" t="s">
        <v>65</v>
      </c>
      <c r="C2601" s="5" t="s">
        <v>52</v>
      </c>
      <c r="D2601" s="5">
        <v>579868</v>
      </c>
      <c r="E2601" s="5">
        <v>27067</v>
      </c>
      <c r="F2601" s="5">
        <v>82637727</v>
      </c>
      <c r="G2601" s="5">
        <v>4.6677864617464664</v>
      </c>
      <c r="H2601" s="5">
        <v>3053.0803930986071</v>
      </c>
      <c r="I2601" s="5">
        <v>142.51127325529259</v>
      </c>
    </row>
    <row r="2602" spans="1:9" x14ac:dyDescent="0.2">
      <c r="A2602" s="5" t="s">
        <v>99</v>
      </c>
      <c r="B2602" s="5" t="s">
        <v>65</v>
      </c>
      <c r="C2602" s="5" t="s">
        <v>53</v>
      </c>
      <c r="D2602" s="5">
        <v>583021</v>
      </c>
      <c r="E2602" s="5">
        <v>27111</v>
      </c>
      <c r="F2602" s="5">
        <v>83286525</v>
      </c>
      <c r="G2602" s="5">
        <v>4.6500897909337739</v>
      </c>
      <c r="H2602" s="5">
        <v>3072.0565453137101</v>
      </c>
      <c r="I2602" s="5">
        <v>142.85338778534563</v>
      </c>
    </row>
    <row r="2603" spans="1:9" x14ac:dyDescent="0.2">
      <c r="A2603" s="5" t="s">
        <v>99</v>
      </c>
      <c r="B2603" s="5" t="s">
        <v>65</v>
      </c>
      <c r="C2603" s="5" t="s">
        <v>54</v>
      </c>
      <c r="D2603" s="5">
        <v>586507</v>
      </c>
      <c r="E2603" s="5">
        <v>27509</v>
      </c>
      <c r="F2603" s="5">
        <v>83419980</v>
      </c>
      <c r="G2603" s="5">
        <v>4.6903106015784974</v>
      </c>
      <c r="H2603" s="5">
        <v>3032.4613762768549</v>
      </c>
      <c r="I2603" s="5">
        <v>142.23185742028653</v>
      </c>
    </row>
    <row r="2604" spans="1:9" x14ac:dyDescent="0.2">
      <c r="A2604" s="5" t="s">
        <v>99</v>
      </c>
      <c r="B2604" s="5" t="s">
        <v>65</v>
      </c>
      <c r="C2604" s="5" t="s">
        <v>55</v>
      </c>
      <c r="D2604" s="5">
        <v>590222</v>
      </c>
      <c r="E2604" s="5">
        <v>27757</v>
      </c>
      <c r="F2604" s="5">
        <v>82992966</v>
      </c>
      <c r="G2604" s="5">
        <v>4.7028067405145864</v>
      </c>
      <c r="H2604" s="5">
        <v>2989.9832834960553</v>
      </c>
      <c r="I2604" s="5">
        <v>140.61313539651181</v>
      </c>
    </row>
    <row r="2605" spans="1:9" x14ac:dyDescent="0.2">
      <c r="A2605" s="5" t="s">
        <v>99</v>
      </c>
      <c r="B2605" s="5" t="s">
        <v>65</v>
      </c>
      <c r="C2605" s="5" t="s">
        <v>56</v>
      </c>
      <c r="D2605" s="5">
        <v>593949</v>
      </c>
      <c r="E2605" s="5">
        <v>27642</v>
      </c>
      <c r="F2605" s="5">
        <v>83465436</v>
      </c>
      <c r="G2605" s="5">
        <v>4.6539349338074478</v>
      </c>
      <c r="H2605" s="5">
        <v>3019.5150857390927</v>
      </c>
      <c r="I2605" s="5">
        <v>140.52626740679756</v>
      </c>
    </row>
    <row r="2606" spans="1:9" x14ac:dyDescent="0.2">
      <c r="A2606" s="5" t="s">
        <v>99</v>
      </c>
      <c r="B2606" s="5" t="s">
        <v>65</v>
      </c>
      <c r="C2606" s="5" t="s">
        <v>57</v>
      </c>
      <c r="D2606" s="5">
        <v>597877</v>
      </c>
      <c r="E2606" s="5">
        <v>27693</v>
      </c>
      <c r="F2606" s="5">
        <v>84246959</v>
      </c>
      <c r="G2606" s="5">
        <v>4.6318891678388701</v>
      </c>
      <c r="H2606" s="5">
        <v>3042.175242841151</v>
      </c>
      <c r="I2606" s="5">
        <v>140.91018553983511</v>
      </c>
    </row>
    <row r="2607" spans="1:9" x14ac:dyDescent="0.2">
      <c r="A2607" s="5" t="s">
        <v>99</v>
      </c>
      <c r="B2607" s="5" t="s">
        <v>65</v>
      </c>
      <c r="C2607" s="5" t="s">
        <v>58</v>
      </c>
      <c r="D2607" s="5">
        <v>602121</v>
      </c>
      <c r="E2607" s="5">
        <v>27719</v>
      </c>
      <c r="F2607" s="5">
        <v>87374876</v>
      </c>
      <c r="G2607" s="5">
        <v>4.603559749618432</v>
      </c>
      <c r="H2607" s="5">
        <v>3152.1655182365885</v>
      </c>
      <c r="I2607" s="5">
        <v>145.11182303889086</v>
      </c>
    </row>
    <row r="2608" spans="1:9" x14ac:dyDescent="0.2">
      <c r="A2608" s="5" t="s">
        <v>99</v>
      </c>
      <c r="B2608" s="5" t="s">
        <v>65</v>
      </c>
      <c r="C2608" s="5" t="s">
        <v>59</v>
      </c>
      <c r="D2608" s="5">
        <v>606275</v>
      </c>
      <c r="E2608" s="5">
        <v>28186</v>
      </c>
      <c r="F2608" s="5">
        <v>90712047</v>
      </c>
      <c r="G2608" s="5">
        <v>4.6490454001896833</v>
      </c>
      <c r="H2608" s="5">
        <v>3218.3370112821967</v>
      </c>
      <c r="I2608" s="5">
        <v>149.62194878561709</v>
      </c>
    </row>
    <row r="2609" spans="1:9" x14ac:dyDescent="0.2">
      <c r="A2609" s="5" t="s">
        <v>99</v>
      </c>
      <c r="B2609" s="5" t="s">
        <v>65</v>
      </c>
      <c r="C2609" s="5" t="s">
        <v>60</v>
      </c>
      <c r="D2609" s="5">
        <v>610431</v>
      </c>
      <c r="E2609" s="5">
        <v>28619</v>
      </c>
      <c r="F2609" s="5">
        <v>91459423</v>
      </c>
      <c r="G2609" s="5">
        <v>4.688326772395242</v>
      </c>
      <c r="H2609" s="5">
        <v>3195.7588664872987</v>
      </c>
      <c r="I2609" s="5">
        <v>149.82761851871874</v>
      </c>
    </row>
    <row r="2610" spans="1:9" x14ac:dyDescent="0.2">
      <c r="A2610" s="5" t="s">
        <v>99</v>
      </c>
      <c r="B2610" s="5" t="s">
        <v>65</v>
      </c>
      <c r="C2610" s="5" t="s">
        <v>61</v>
      </c>
      <c r="D2610" s="5">
        <v>614423</v>
      </c>
      <c r="E2610" s="5">
        <v>28722</v>
      </c>
      <c r="F2610" s="5">
        <v>91549346</v>
      </c>
      <c r="G2610" s="5">
        <v>4.6746296932243752</v>
      </c>
      <c r="H2610" s="5">
        <v>3187.429357287097</v>
      </c>
      <c r="I2610" s="5">
        <v>149.00051918629347</v>
      </c>
    </row>
    <row r="2611" spans="1:9" x14ac:dyDescent="0.2">
      <c r="A2611" s="5" t="s">
        <v>99</v>
      </c>
      <c r="B2611" s="5" t="s">
        <v>65</v>
      </c>
      <c r="C2611" s="5" t="s">
        <v>62</v>
      </c>
      <c r="D2611" s="5">
        <v>618021</v>
      </c>
      <c r="E2611" s="5">
        <v>28254</v>
      </c>
      <c r="F2611" s="5">
        <v>88663223</v>
      </c>
      <c r="G2611" s="5">
        <v>4.5716893115282486</v>
      </c>
      <c r="H2611" s="5">
        <v>3138.0768386777095</v>
      </c>
      <c r="I2611" s="5">
        <v>143.46312342137242</v>
      </c>
    </row>
    <row r="2612" spans="1:9" x14ac:dyDescent="0.2">
      <c r="A2612" s="5" t="s">
        <v>100</v>
      </c>
      <c r="B2612" s="5" t="s">
        <v>44</v>
      </c>
      <c r="C2612" s="5" t="s">
        <v>45</v>
      </c>
      <c r="D2612" s="5">
        <v>906844</v>
      </c>
      <c r="E2612" s="5">
        <v>13703</v>
      </c>
      <c r="F2612" s="5">
        <v>138633214</v>
      </c>
      <c r="G2612" s="5">
        <v>1.511064747630243</v>
      </c>
      <c r="H2612" s="5">
        <v>10116.997299861345</v>
      </c>
      <c r="I2612" s="5">
        <v>152.87437971690832</v>
      </c>
    </row>
    <row r="2613" spans="1:9" x14ac:dyDescent="0.2">
      <c r="A2613" s="5" t="s">
        <v>100</v>
      </c>
      <c r="B2613" s="5" t="s">
        <v>44</v>
      </c>
      <c r="C2613" s="5" t="s">
        <v>46</v>
      </c>
      <c r="D2613" s="5">
        <v>918961</v>
      </c>
      <c r="E2613" s="5">
        <v>13449</v>
      </c>
      <c r="F2613" s="5">
        <v>139360373</v>
      </c>
      <c r="G2613" s="5">
        <v>1.4635006273389186</v>
      </c>
      <c r="H2613" s="5">
        <v>10362.136441371105</v>
      </c>
      <c r="I2613" s="5">
        <v>151.64993182518083</v>
      </c>
    </row>
    <row r="2614" spans="1:9" x14ac:dyDescent="0.2">
      <c r="A2614" s="5" t="s">
        <v>100</v>
      </c>
      <c r="B2614" s="5" t="s">
        <v>44</v>
      </c>
      <c r="C2614" s="5" t="s">
        <v>47</v>
      </c>
      <c r="D2614" s="5">
        <v>931940</v>
      </c>
      <c r="E2614" s="5">
        <v>13753</v>
      </c>
      <c r="F2614" s="5">
        <v>145593924</v>
      </c>
      <c r="G2614" s="5">
        <v>1.4757387814666181</v>
      </c>
      <c r="H2614" s="5">
        <v>10586.339271431687</v>
      </c>
      <c r="I2614" s="5">
        <v>156.22671416614804</v>
      </c>
    </row>
    <row r="2615" spans="1:9" x14ac:dyDescent="0.2">
      <c r="A2615" s="5" t="s">
        <v>100</v>
      </c>
      <c r="B2615" s="5" t="s">
        <v>44</v>
      </c>
      <c r="C2615" s="5" t="s">
        <v>48</v>
      </c>
      <c r="D2615" s="5">
        <v>944787</v>
      </c>
      <c r="E2615" s="5">
        <v>13940</v>
      </c>
      <c r="F2615" s="5">
        <v>150044525</v>
      </c>
      <c r="G2615" s="5">
        <v>1.475464840223246</v>
      </c>
      <c r="H2615" s="5">
        <v>10763.595767575323</v>
      </c>
      <c r="I2615" s="5">
        <v>158.81307109433132</v>
      </c>
    </row>
    <row r="2616" spans="1:9" x14ac:dyDescent="0.2">
      <c r="A2616" s="5" t="s">
        <v>100</v>
      </c>
      <c r="B2616" s="5" t="s">
        <v>44</v>
      </c>
      <c r="C2616" s="5" t="s">
        <v>49</v>
      </c>
      <c r="D2616" s="5">
        <v>957242</v>
      </c>
      <c r="E2616" s="5">
        <v>14128</v>
      </c>
      <c r="F2616" s="5">
        <v>153390362</v>
      </c>
      <c r="G2616" s="5">
        <v>1.4759068239797251</v>
      </c>
      <c r="H2616" s="5">
        <v>10857.188703284259</v>
      </c>
      <c r="I2616" s="5">
        <v>160.24198896412818</v>
      </c>
    </row>
    <row r="2617" spans="1:9" x14ac:dyDescent="0.2">
      <c r="A2617" s="5" t="s">
        <v>100</v>
      </c>
      <c r="B2617" s="5" t="s">
        <v>44</v>
      </c>
      <c r="C2617" s="5" t="s">
        <v>50</v>
      </c>
      <c r="D2617" s="5">
        <v>969368</v>
      </c>
      <c r="E2617" s="5">
        <v>14217</v>
      </c>
      <c r="F2617" s="5">
        <v>155380091</v>
      </c>
      <c r="G2617" s="5">
        <v>1.4666256777611806</v>
      </c>
      <c r="H2617" s="5">
        <v>10929.175705141732</v>
      </c>
      <c r="I2617" s="5">
        <v>160.29009725924519</v>
      </c>
    </row>
    <row r="2618" spans="1:9" x14ac:dyDescent="0.2">
      <c r="A2618" s="5" t="s">
        <v>100</v>
      </c>
      <c r="B2618" s="5" t="s">
        <v>44</v>
      </c>
      <c r="C2618" s="5" t="s">
        <v>51</v>
      </c>
      <c r="D2618" s="5">
        <v>982119</v>
      </c>
      <c r="E2618" s="5">
        <v>14513</v>
      </c>
      <c r="F2618" s="5">
        <v>161688180</v>
      </c>
      <c r="G2618" s="5">
        <v>1.4777231679664073</v>
      </c>
      <c r="H2618" s="5">
        <v>11140.920553986081</v>
      </c>
      <c r="I2618" s="5">
        <v>164.63196415098375</v>
      </c>
    </row>
    <row r="2619" spans="1:9" x14ac:dyDescent="0.2">
      <c r="A2619" s="5" t="s">
        <v>100</v>
      </c>
      <c r="B2619" s="5" t="s">
        <v>44</v>
      </c>
      <c r="C2619" s="5" t="s">
        <v>52</v>
      </c>
      <c r="D2619" s="5">
        <v>995180</v>
      </c>
      <c r="E2619" s="5">
        <v>14907</v>
      </c>
      <c r="F2619" s="5">
        <v>167921688</v>
      </c>
      <c r="G2619" s="5">
        <v>1.4979199742760103</v>
      </c>
      <c r="H2619" s="5">
        <v>11264.619843026767</v>
      </c>
      <c r="I2619" s="5">
        <v>168.7349906549569</v>
      </c>
    </row>
    <row r="2620" spans="1:9" x14ac:dyDescent="0.2">
      <c r="A2620" s="5" t="s">
        <v>100</v>
      </c>
      <c r="B2620" s="5" t="s">
        <v>44</v>
      </c>
      <c r="C2620" s="5" t="s">
        <v>53</v>
      </c>
      <c r="D2620" s="5">
        <v>1008902</v>
      </c>
      <c r="E2620" s="5">
        <v>15193</v>
      </c>
      <c r="F2620" s="5">
        <v>180305499</v>
      </c>
      <c r="G2620" s="5">
        <v>1.5058945269213462</v>
      </c>
      <c r="H2620" s="5">
        <v>11867.669255578227</v>
      </c>
      <c r="I2620" s="5">
        <v>178.71458179287978</v>
      </c>
    </row>
    <row r="2621" spans="1:9" x14ac:dyDescent="0.2">
      <c r="A2621" s="5" t="s">
        <v>100</v>
      </c>
      <c r="B2621" s="5" t="s">
        <v>44</v>
      </c>
      <c r="C2621" s="5" t="s">
        <v>54</v>
      </c>
      <c r="D2621" s="5">
        <v>1021984</v>
      </c>
      <c r="E2621" s="5">
        <v>15845</v>
      </c>
      <c r="F2621" s="5">
        <v>192192257</v>
      </c>
      <c r="G2621" s="5">
        <v>1.5504156620847294</v>
      </c>
      <c r="H2621" s="5">
        <v>12129.520795203534</v>
      </c>
      <c r="I2621" s="5">
        <v>188.05799014465981</v>
      </c>
    </row>
    <row r="2622" spans="1:9" x14ac:dyDescent="0.2">
      <c r="A2622" s="5" t="s">
        <v>100</v>
      </c>
      <c r="B2622" s="5" t="s">
        <v>44</v>
      </c>
      <c r="C2622" s="5" t="s">
        <v>55</v>
      </c>
      <c r="D2622" s="5">
        <v>1034462</v>
      </c>
      <c r="E2622" s="5">
        <v>16383</v>
      </c>
      <c r="F2622" s="5">
        <v>204786982</v>
      </c>
      <c r="G2622" s="5">
        <v>1.5837217800170524</v>
      </c>
      <c r="H2622" s="5">
        <v>12499.968381859244</v>
      </c>
      <c r="I2622" s="5">
        <v>197.96472175874996</v>
      </c>
    </row>
    <row r="2623" spans="1:9" x14ac:dyDescent="0.2">
      <c r="A2623" s="5" t="s">
        <v>100</v>
      </c>
      <c r="B2623" s="5" t="s">
        <v>44</v>
      </c>
      <c r="C2623" s="5" t="s">
        <v>56</v>
      </c>
      <c r="D2623" s="5">
        <v>1046314</v>
      </c>
      <c r="E2623" s="5">
        <v>16697</v>
      </c>
      <c r="F2623" s="5">
        <v>215081247</v>
      </c>
      <c r="G2623" s="5">
        <v>1.5957924676531137</v>
      </c>
      <c r="H2623" s="5">
        <v>12881.430616278374</v>
      </c>
      <c r="I2623" s="5">
        <v>205.56089950053234</v>
      </c>
    </row>
    <row r="2624" spans="1:9" x14ac:dyDescent="0.2">
      <c r="A2624" s="5" t="s">
        <v>100</v>
      </c>
      <c r="B2624" s="5" t="s">
        <v>44</v>
      </c>
      <c r="C2624" s="5" t="s">
        <v>57</v>
      </c>
      <c r="D2624" s="5">
        <v>1058115</v>
      </c>
      <c r="E2624" s="5">
        <v>17195</v>
      </c>
      <c r="F2624" s="5">
        <v>226396498</v>
      </c>
      <c r="G2624" s="5">
        <v>1.6250596579766849</v>
      </c>
      <c r="H2624" s="5">
        <v>13166.414539110207</v>
      </c>
      <c r="I2624" s="5">
        <v>213.96209107705684</v>
      </c>
    </row>
    <row r="2625" spans="1:9" x14ac:dyDescent="0.2">
      <c r="A2625" s="5" t="s">
        <v>100</v>
      </c>
      <c r="B2625" s="5" t="s">
        <v>44</v>
      </c>
      <c r="C2625" s="5" t="s">
        <v>58</v>
      </c>
      <c r="D2625" s="5">
        <v>1069870</v>
      </c>
      <c r="E2625" s="5">
        <v>17302</v>
      </c>
      <c r="F2625" s="5">
        <v>233095159</v>
      </c>
      <c r="G2625" s="5">
        <v>1.6172058287455486</v>
      </c>
      <c r="H2625" s="5">
        <v>13472.151138596693</v>
      </c>
      <c r="I2625" s="5">
        <v>217.87241347079552</v>
      </c>
    </row>
    <row r="2626" spans="1:9" x14ac:dyDescent="0.2">
      <c r="A2626" s="5" t="s">
        <v>100</v>
      </c>
      <c r="B2626" s="5" t="s">
        <v>44</v>
      </c>
      <c r="C2626" s="5" t="s">
        <v>59</v>
      </c>
      <c r="D2626" s="5">
        <v>1080808</v>
      </c>
      <c r="E2626" s="5">
        <v>17249</v>
      </c>
      <c r="F2626" s="5">
        <v>234552492</v>
      </c>
      <c r="G2626" s="5">
        <v>1.595935633340982</v>
      </c>
      <c r="H2626" s="5">
        <v>13598.034204881442</v>
      </c>
      <c r="I2626" s="5">
        <v>217.01587330959799</v>
      </c>
    </row>
    <row r="2627" spans="1:9" x14ac:dyDescent="0.2">
      <c r="A2627" s="5" t="s">
        <v>100</v>
      </c>
      <c r="B2627" s="5" t="s">
        <v>44</v>
      </c>
      <c r="C2627" s="5" t="s">
        <v>60</v>
      </c>
      <c r="D2627" s="5">
        <v>1089121</v>
      </c>
      <c r="E2627" s="5">
        <v>17303</v>
      </c>
      <c r="F2627" s="5">
        <v>235615875</v>
      </c>
      <c r="G2627" s="5">
        <v>1.5887123652927453</v>
      </c>
      <c r="H2627" s="5">
        <v>13617.053401144311</v>
      </c>
      <c r="I2627" s="5">
        <v>216.33581117249599</v>
      </c>
    </row>
    <row r="2628" spans="1:9" x14ac:dyDescent="0.2">
      <c r="A2628" s="5" t="s">
        <v>100</v>
      </c>
      <c r="B2628" s="5" t="s">
        <v>44</v>
      </c>
      <c r="C2628" s="5" t="s">
        <v>61</v>
      </c>
      <c r="D2628" s="5">
        <v>1093224</v>
      </c>
      <c r="E2628" s="5">
        <v>17043</v>
      </c>
      <c r="F2628" s="5">
        <v>231024593</v>
      </c>
      <c r="G2628" s="5">
        <v>1.5589668722969858</v>
      </c>
      <c r="H2628" s="5">
        <v>13555.394766179663</v>
      </c>
      <c r="I2628" s="5">
        <v>211.32411381382042</v>
      </c>
    </row>
    <row r="2629" spans="1:9" x14ac:dyDescent="0.2">
      <c r="A2629" s="5" t="s">
        <v>100</v>
      </c>
      <c r="B2629" s="5" t="s">
        <v>44</v>
      </c>
      <c r="C2629" s="5" t="s">
        <v>62</v>
      </c>
      <c r="D2629" s="5">
        <v>1092807</v>
      </c>
      <c r="E2629" s="5">
        <v>17085</v>
      </c>
      <c r="F2629" s="5">
        <v>233305064</v>
      </c>
      <c r="G2629" s="5">
        <v>1.5634050660363632</v>
      </c>
      <c r="H2629" s="5">
        <v>13655.549546385719</v>
      </c>
      <c r="I2629" s="5">
        <v>213.49155340329995</v>
      </c>
    </row>
    <row r="2630" spans="1:9" x14ac:dyDescent="0.2">
      <c r="A2630" s="5" t="s">
        <v>100</v>
      </c>
      <c r="B2630" s="5" t="s">
        <v>63</v>
      </c>
      <c r="C2630" s="5" t="s">
        <v>45</v>
      </c>
      <c r="D2630" s="5">
        <v>906844</v>
      </c>
      <c r="E2630" s="5">
        <v>33946</v>
      </c>
      <c r="F2630" s="5">
        <v>88319623</v>
      </c>
      <c r="G2630" s="5">
        <v>3.7433119698647177</v>
      </c>
      <c r="H2630" s="5">
        <v>2601.7681906557473</v>
      </c>
      <c r="I2630" s="5">
        <v>97.392300108949286</v>
      </c>
    </row>
    <row r="2631" spans="1:9" x14ac:dyDescent="0.2">
      <c r="A2631" s="5" t="s">
        <v>100</v>
      </c>
      <c r="B2631" s="5" t="s">
        <v>63</v>
      </c>
      <c r="C2631" s="5" t="s">
        <v>46</v>
      </c>
      <c r="D2631" s="5">
        <v>918961</v>
      </c>
      <c r="E2631" s="5">
        <v>34508</v>
      </c>
      <c r="F2631" s="5">
        <v>90379724</v>
      </c>
      <c r="G2631" s="5">
        <v>3.7551103909741546</v>
      </c>
      <c r="H2631" s="5">
        <v>2619.09481859279</v>
      </c>
      <c r="I2631" s="5">
        <v>98.349901682443544</v>
      </c>
    </row>
    <row r="2632" spans="1:9" x14ac:dyDescent="0.2">
      <c r="A2632" s="5" t="s">
        <v>100</v>
      </c>
      <c r="B2632" s="5" t="s">
        <v>63</v>
      </c>
      <c r="C2632" s="5" t="s">
        <v>47</v>
      </c>
      <c r="D2632" s="5">
        <v>931940</v>
      </c>
      <c r="E2632" s="5">
        <v>35328</v>
      </c>
      <c r="F2632" s="5">
        <v>93477143</v>
      </c>
      <c r="G2632" s="5">
        <v>3.7908019829602764</v>
      </c>
      <c r="H2632" s="5">
        <v>2645.978911911232</v>
      </c>
      <c r="I2632" s="5">
        <v>100.30382106144172</v>
      </c>
    </row>
    <row r="2633" spans="1:9" x14ac:dyDescent="0.2">
      <c r="A2633" s="5" t="s">
        <v>100</v>
      </c>
      <c r="B2633" s="5" t="s">
        <v>63</v>
      </c>
      <c r="C2633" s="5" t="s">
        <v>48</v>
      </c>
      <c r="D2633" s="5">
        <v>944787</v>
      </c>
      <c r="E2633" s="5">
        <v>36690</v>
      </c>
      <c r="F2633" s="5">
        <v>96742379</v>
      </c>
      <c r="G2633" s="5">
        <v>3.8834149919505667</v>
      </c>
      <c r="H2633" s="5">
        <v>2636.7505859907333</v>
      </c>
      <c r="I2633" s="5">
        <v>102.39596755670856</v>
      </c>
    </row>
    <row r="2634" spans="1:9" x14ac:dyDescent="0.2">
      <c r="A2634" s="5" t="s">
        <v>100</v>
      </c>
      <c r="B2634" s="5" t="s">
        <v>63</v>
      </c>
      <c r="C2634" s="5" t="s">
        <v>49</v>
      </c>
      <c r="D2634" s="5">
        <v>957242</v>
      </c>
      <c r="E2634" s="5">
        <v>37386</v>
      </c>
      <c r="F2634" s="5">
        <v>97855633</v>
      </c>
      <c r="G2634" s="5">
        <v>3.9055954502623162</v>
      </c>
      <c r="H2634" s="5">
        <v>2617.4405659872677</v>
      </c>
      <c r="I2634" s="5">
        <v>102.22663965851895</v>
      </c>
    </row>
    <row r="2635" spans="1:9" x14ac:dyDescent="0.2">
      <c r="A2635" s="5" t="s">
        <v>100</v>
      </c>
      <c r="B2635" s="5" t="s">
        <v>63</v>
      </c>
      <c r="C2635" s="5" t="s">
        <v>50</v>
      </c>
      <c r="D2635" s="5">
        <v>969368</v>
      </c>
      <c r="E2635" s="5">
        <v>37748</v>
      </c>
      <c r="F2635" s="5">
        <v>99836272</v>
      </c>
      <c r="G2635" s="5">
        <v>3.8940835678503931</v>
      </c>
      <c r="H2635" s="5">
        <v>2644.8095793154603</v>
      </c>
      <c r="I2635" s="5">
        <v>102.99109522905646</v>
      </c>
    </row>
    <row r="2636" spans="1:9" x14ac:dyDescent="0.2">
      <c r="A2636" s="5" t="s">
        <v>100</v>
      </c>
      <c r="B2636" s="5" t="s">
        <v>63</v>
      </c>
      <c r="C2636" s="5" t="s">
        <v>51</v>
      </c>
      <c r="D2636" s="5">
        <v>982119</v>
      </c>
      <c r="E2636" s="5">
        <v>38061</v>
      </c>
      <c r="F2636" s="5">
        <v>100798676</v>
      </c>
      <c r="G2636" s="5">
        <v>3.875395955072654</v>
      </c>
      <c r="H2636" s="5">
        <v>2648.3454454691155</v>
      </c>
      <c r="I2636" s="5">
        <v>102.63387227006096</v>
      </c>
    </row>
    <row r="2637" spans="1:9" x14ac:dyDescent="0.2">
      <c r="A2637" s="5" t="s">
        <v>100</v>
      </c>
      <c r="B2637" s="5" t="s">
        <v>63</v>
      </c>
      <c r="C2637" s="5" t="s">
        <v>52</v>
      </c>
      <c r="D2637" s="5">
        <v>995180</v>
      </c>
      <c r="E2637" s="5">
        <v>38458</v>
      </c>
      <c r="F2637" s="5">
        <v>103639063</v>
      </c>
      <c r="G2637" s="5">
        <v>3.8644265359030525</v>
      </c>
      <c r="H2637" s="5">
        <v>2694.8635654480213</v>
      </c>
      <c r="I2637" s="5">
        <v>104.14102272955647</v>
      </c>
    </row>
    <row r="2638" spans="1:9" x14ac:dyDescent="0.2">
      <c r="A2638" s="5" t="s">
        <v>100</v>
      </c>
      <c r="B2638" s="5" t="s">
        <v>63</v>
      </c>
      <c r="C2638" s="5" t="s">
        <v>53</v>
      </c>
      <c r="D2638" s="5">
        <v>1008902</v>
      </c>
      <c r="E2638" s="5">
        <v>39183</v>
      </c>
      <c r="F2638" s="5">
        <v>106943753</v>
      </c>
      <c r="G2638" s="5">
        <v>3.8837270616967752</v>
      </c>
      <c r="H2638" s="5">
        <v>2729.3406068958475</v>
      </c>
      <c r="I2638" s="5">
        <v>106.00013975589304</v>
      </c>
    </row>
    <row r="2639" spans="1:9" x14ac:dyDescent="0.2">
      <c r="A2639" s="5" t="s">
        <v>100</v>
      </c>
      <c r="B2639" s="5" t="s">
        <v>63</v>
      </c>
      <c r="C2639" s="5" t="s">
        <v>54</v>
      </c>
      <c r="D2639" s="5">
        <v>1021984</v>
      </c>
      <c r="E2639" s="5">
        <v>40089</v>
      </c>
      <c r="F2639" s="5">
        <v>110605730</v>
      </c>
      <c r="G2639" s="5">
        <v>3.9226641512978677</v>
      </c>
      <c r="H2639" s="5">
        <v>2759.0044650652299</v>
      </c>
      <c r="I2639" s="5">
        <v>108.22647908382127</v>
      </c>
    </row>
    <row r="2640" spans="1:9" x14ac:dyDescent="0.2">
      <c r="A2640" s="5" t="s">
        <v>100</v>
      </c>
      <c r="B2640" s="5" t="s">
        <v>63</v>
      </c>
      <c r="C2640" s="5" t="s">
        <v>55</v>
      </c>
      <c r="D2640" s="5">
        <v>1034462</v>
      </c>
      <c r="E2640" s="5">
        <v>41070</v>
      </c>
      <c r="F2640" s="5">
        <v>115309153</v>
      </c>
      <c r="G2640" s="5">
        <v>3.9701796682720101</v>
      </c>
      <c r="H2640" s="5">
        <v>2807.6248599951305</v>
      </c>
      <c r="I2640" s="5">
        <v>111.46775135287714</v>
      </c>
    </row>
    <row r="2641" spans="1:9" x14ac:dyDescent="0.2">
      <c r="A2641" s="5" t="s">
        <v>100</v>
      </c>
      <c r="B2641" s="5" t="s">
        <v>63</v>
      </c>
      <c r="C2641" s="5" t="s">
        <v>56</v>
      </c>
      <c r="D2641" s="5">
        <v>1046314</v>
      </c>
      <c r="E2641" s="5">
        <v>41693</v>
      </c>
      <c r="F2641" s="5">
        <v>117537201</v>
      </c>
      <c r="G2641" s="5">
        <v>3.9847502757298479</v>
      </c>
      <c r="H2641" s="5">
        <v>2819.1111457558823</v>
      </c>
      <c r="I2641" s="5">
        <v>112.33453915363839</v>
      </c>
    </row>
    <row r="2642" spans="1:9" x14ac:dyDescent="0.2">
      <c r="A2642" s="5" t="s">
        <v>100</v>
      </c>
      <c r="B2642" s="5" t="s">
        <v>63</v>
      </c>
      <c r="C2642" s="5" t="s">
        <v>57</v>
      </c>
      <c r="D2642" s="5">
        <v>1058115</v>
      </c>
      <c r="E2642" s="5">
        <v>41858</v>
      </c>
      <c r="F2642" s="5">
        <v>118392755</v>
      </c>
      <c r="G2642" s="5">
        <v>3.9559027137881988</v>
      </c>
      <c r="H2642" s="5">
        <v>2828.4379330116108</v>
      </c>
      <c r="I2642" s="5">
        <v>111.89025294982115</v>
      </c>
    </row>
    <row r="2643" spans="1:9" x14ac:dyDescent="0.2">
      <c r="A2643" s="5" t="s">
        <v>100</v>
      </c>
      <c r="B2643" s="5" t="s">
        <v>63</v>
      </c>
      <c r="C2643" s="5" t="s">
        <v>58</v>
      </c>
      <c r="D2643" s="5">
        <v>1069870</v>
      </c>
      <c r="E2643" s="5">
        <v>42300</v>
      </c>
      <c r="F2643" s="5">
        <v>120479025</v>
      </c>
      <c r="G2643" s="5">
        <v>3.9537513903558374</v>
      </c>
      <c r="H2643" s="5">
        <v>2848.2039007092199</v>
      </c>
      <c r="I2643" s="5">
        <v>112.61090132445999</v>
      </c>
    </row>
    <row r="2644" spans="1:9" x14ac:dyDescent="0.2">
      <c r="A2644" s="5" t="s">
        <v>100</v>
      </c>
      <c r="B2644" s="5" t="s">
        <v>63</v>
      </c>
      <c r="C2644" s="5" t="s">
        <v>59</v>
      </c>
      <c r="D2644" s="5">
        <v>1080808</v>
      </c>
      <c r="E2644" s="5">
        <v>42528</v>
      </c>
      <c r="F2644" s="5">
        <v>121593931</v>
      </c>
      <c r="G2644" s="5">
        <v>3.9348339390530049</v>
      </c>
      <c r="H2644" s="5">
        <v>2859.1499952972158</v>
      </c>
      <c r="I2644" s="5">
        <v>112.50280438338724</v>
      </c>
    </row>
    <row r="2645" spans="1:9" x14ac:dyDescent="0.2">
      <c r="A2645" s="5" t="s">
        <v>100</v>
      </c>
      <c r="B2645" s="5" t="s">
        <v>63</v>
      </c>
      <c r="C2645" s="5" t="s">
        <v>60</v>
      </c>
      <c r="D2645" s="5">
        <v>1089121</v>
      </c>
      <c r="E2645" s="5">
        <v>42868</v>
      </c>
      <c r="F2645" s="5">
        <v>123497345</v>
      </c>
      <c r="G2645" s="5">
        <v>3.9360181283805931</v>
      </c>
      <c r="H2645" s="5">
        <v>2880.8748950265931</v>
      </c>
      <c r="I2645" s="5">
        <v>113.39175812421209</v>
      </c>
    </row>
    <row r="2646" spans="1:9" x14ac:dyDescent="0.2">
      <c r="A2646" s="5" t="s">
        <v>100</v>
      </c>
      <c r="B2646" s="5" t="s">
        <v>63</v>
      </c>
      <c r="C2646" s="5" t="s">
        <v>61</v>
      </c>
      <c r="D2646" s="5">
        <v>1093224</v>
      </c>
      <c r="E2646" s="5">
        <v>42796</v>
      </c>
      <c r="F2646" s="5">
        <v>124799597</v>
      </c>
      <c r="G2646" s="5">
        <v>3.9146597586587926</v>
      </c>
      <c r="H2646" s="5">
        <v>2916.1509720534627</v>
      </c>
      <c r="I2646" s="5">
        <v>114.15738860471413</v>
      </c>
    </row>
    <row r="2647" spans="1:9" x14ac:dyDescent="0.2">
      <c r="A2647" s="5" t="s">
        <v>100</v>
      </c>
      <c r="B2647" s="5" t="s">
        <v>63</v>
      </c>
      <c r="C2647" s="5" t="s">
        <v>62</v>
      </c>
      <c r="D2647" s="5">
        <v>1092807</v>
      </c>
      <c r="E2647" s="5">
        <v>42917</v>
      </c>
      <c r="F2647" s="5">
        <v>126767170</v>
      </c>
      <c r="G2647" s="5">
        <v>3.9272259420007374</v>
      </c>
      <c r="H2647" s="5">
        <v>2953.775193979076</v>
      </c>
      <c r="I2647" s="5">
        <v>116.00142568632887</v>
      </c>
    </row>
    <row r="2648" spans="1:9" x14ac:dyDescent="0.2">
      <c r="A2648" s="5" t="s">
        <v>100</v>
      </c>
      <c r="B2648" s="5" t="s">
        <v>64</v>
      </c>
      <c r="C2648" s="5" t="s">
        <v>45</v>
      </c>
      <c r="D2648" s="5">
        <v>727950</v>
      </c>
      <c r="E2648" s="5">
        <v>44673</v>
      </c>
      <c r="F2648" s="5">
        <v>50296497</v>
      </c>
      <c r="G2648" s="5">
        <v>6.1368225839686792</v>
      </c>
      <c r="H2648" s="5">
        <v>1125.8813377207709</v>
      </c>
      <c r="I2648" s="5">
        <v>69.09334020193694</v>
      </c>
    </row>
    <row r="2649" spans="1:9" x14ac:dyDescent="0.2">
      <c r="A2649" s="5" t="s">
        <v>100</v>
      </c>
      <c r="B2649" s="5" t="s">
        <v>64</v>
      </c>
      <c r="C2649" s="5" t="s">
        <v>46</v>
      </c>
      <c r="D2649" s="5">
        <v>738474</v>
      </c>
      <c r="E2649" s="5">
        <v>46050</v>
      </c>
      <c r="F2649" s="5">
        <v>54206565</v>
      </c>
      <c r="G2649" s="5">
        <v>6.2358322703304383</v>
      </c>
      <c r="H2649" s="5">
        <v>1177.1241042345277</v>
      </c>
      <c r="I2649" s="5">
        <v>73.403484753694784</v>
      </c>
    </row>
    <row r="2650" spans="1:9" x14ac:dyDescent="0.2">
      <c r="A2650" s="5" t="s">
        <v>100</v>
      </c>
      <c r="B2650" s="5" t="s">
        <v>64</v>
      </c>
      <c r="C2650" s="5" t="s">
        <v>47</v>
      </c>
      <c r="D2650" s="5">
        <v>749435</v>
      </c>
      <c r="E2650" s="5">
        <v>48661</v>
      </c>
      <c r="F2650" s="5">
        <v>56644525</v>
      </c>
      <c r="G2650" s="5">
        <v>6.4930247453081318</v>
      </c>
      <c r="H2650" s="5">
        <v>1164.0641376050637</v>
      </c>
      <c r="I2650" s="5">
        <v>75.582972505954487</v>
      </c>
    </row>
    <row r="2651" spans="1:9" x14ac:dyDescent="0.2">
      <c r="A2651" s="5" t="s">
        <v>100</v>
      </c>
      <c r="B2651" s="5" t="s">
        <v>64</v>
      </c>
      <c r="C2651" s="5" t="s">
        <v>48</v>
      </c>
      <c r="D2651" s="5">
        <v>759914</v>
      </c>
      <c r="E2651" s="5">
        <v>52789</v>
      </c>
      <c r="F2651" s="5">
        <v>59256567</v>
      </c>
      <c r="G2651" s="5">
        <v>6.9467071273854675</v>
      </c>
      <c r="H2651" s="5">
        <v>1122.5173236848586</v>
      </c>
      <c r="I2651" s="5">
        <v>77.977990930552664</v>
      </c>
    </row>
    <row r="2652" spans="1:9" x14ac:dyDescent="0.2">
      <c r="A2652" s="5" t="s">
        <v>100</v>
      </c>
      <c r="B2652" s="5" t="s">
        <v>64</v>
      </c>
      <c r="C2652" s="5" t="s">
        <v>49</v>
      </c>
      <c r="D2652" s="5">
        <v>768965</v>
      </c>
      <c r="E2652" s="5">
        <v>55716</v>
      </c>
      <c r="F2652" s="5">
        <v>60641624</v>
      </c>
      <c r="G2652" s="5">
        <v>7.245583349047096</v>
      </c>
      <c r="H2652" s="5">
        <v>1088.4059157154138</v>
      </c>
      <c r="I2652" s="5">
        <v>78.861357799119602</v>
      </c>
    </row>
    <row r="2653" spans="1:9" x14ac:dyDescent="0.2">
      <c r="A2653" s="5" t="s">
        <v>100</v>
      </c>
      <c r="B2653" s="5" t="s">
        <v>64</v>
      </c>
      <c r="C2653" s="5" t="s">
        <v>50</v>
      </c>
      <c r="D2653" s="5">
        <v>778233</v>
      </c>
      <c r="E2653" s="5">
        <v>58426</v>
      </c>
      <c r="F2653" s="5">
        <v>63798955</v>
      </c>
      <c r="G2653" s="5">
        <v>7.5075202413673026</v>
      </c>
      <c r="H2653" s="5">
        <v>1091.9617122513948</v>
      </c>
      <c r="I2653" s="5">
        <v>81.97924657525445</v>
      </c>
    </row>
    <row r="2654" spans="1:9" x14ac:dyDescent="0.2">
      <c r="A2654" s="5" t="s">
        <v>100</v>
      </c>
      <c r="B2654" s="5" t="s">
        <v>64</v>
      </c>
      <c r="C2654" s="5" t="s">
        <v>51</v>
      </c>
      <c r="D2654" s="5">
        <v>787687</v>
      </c>
      <c r="E2654" s="5">
        <v>59320</v>
      </c>
      <c r="F2654" s="5">
        <v>64698093</v>
      </c>
      <c r="G2654" s="5">
        <v>7.5309101203904598</v>
      </c>
      <c r="H2654" s="5">
        <v>1090.6623904248145</v>
      </c>
      <c r="I2654" s="5">
        <v>82.136804339794864</v>
      </c>
    </row>
    <row r="2655" spans="1:9" x14ac:dyDescent="0.2">
      <c r="A2655" s="5" t="s">
        <v>100</v>
      </c>
      <c r="B2655" s="5" t="s">
        <v>64</v>
      </c>
      <c r="C2655" s="5" t="s">
        <v>52</v>
      </c>
      <c r="D2655" s="5">
        <v>797403</v>
      </c>
      <c r="E2655" s="5">
        <v>58923</v>
      </c>
      <c r="F2655" s="5">
        <v>66046059</v>
      </c>
      <c r="G2655" s="5">
        <v>7.3893627187256632</v>
      </c>
      <c r="H2655" s="5">
        <v>1120.8875820986711</v>
      </c>
      <c r="I2655" s="5">
        <v>82.826449110424718</v>
      </c>
    </row>
    <row r="2656" spans="1:9" x14ac:dyDescent="0.2">
      <c r="A2656" s="5" t="s">
        <v>100</v>
      </c>
      <c r="B2656" s="5" t="s">
        <v>64</v>
      </c>
      <c r="C2656" s="5" t="s">
        <v>53</v>
      </c>
      <c r="D2656" s="5">
        <v>807737</v>
      </c>
      <c r="E2656" s="5">
        <v>57069</v>
      </c>
      <c r="F2656" s="5">
        <v>65302826</v>
      </c>
      <c r="G2656" s="5">
        <v>7.06529476797522</v>
      </c>
      <c r="H2656" s="5">
        <v>1144.2784348770786</v>
      </c>
      <c r="I2656" s="5">
        <v>80.846644390438968</v>
      </c>
    </row>
    <row r="2657" spans="1:9" x14ac:dyDescent="0.2">
      <c r="A2657" s="5" t="s">
        <v>100</v>
      </c>
      <c r="B2657" s="5" t="s">
        <v>64</v>
      </c>
      <c r="C2657" s="5" t="s">
        <v>54</v>
      </c>
      <c r="D2657" s="5">
        <v>817578</v>
      </c>
      <c r="E2657" s="5">
        <v>56069</v>
      </c>
      <c r="F2657" s="5">
        <v>63954867</v>
      </c>
      <c r="G2657" s="5">
        <v>6.8579389367130723</v>
      </c>
      <c r="H2657" s="5">
        <v>1140.6457579054379</v>
      </c>
      <c r="I2657" s="5">
        <v>78.224789561362954</v>
      </c>
    </row>
    <row r="2658" spans="1:9" x14ac:dyDescent="0.2">
      <c r="A2658" s="5" t="s">
        <v>100</v>
      </c>
      <c r="B2658" s="5" t="s">
        <v>64</v>
      </c>
      <c r="C2658" s="5" t="s">
        <v>55</v>
      </c>
      <c r="D2658" s="5">
        <v>826699</v>
      </c>
      <c r="E2658" s="5">
        <v>55160</v>
      </c>
      <c r="F2658" s="5">
        <v>64199925</v>
      </c>
      <c r="G2658" s="5">
        <v>6.6723196713676929</v>
      </c>
      <c r="H2658" s="5">
        <v>1163.8855148658449</v>
      </c>
      <c r="I2658" s="5">
        <v>77.658162160592909</v>
      </c>
    </row>
    <row r="2659" spans="1:9" x14ac:dyDescent="0.2">
      <c r="A2659" s="5" t="s">
        <v>100</v>
      </c>
      <c r="B2659" s="5" t="s">
        <v>64</v>
      </c>
      <c r="C2659" s="5" t="s">
        <v>56</v>
      </c>
      <c r="D2659" s="5">
        <v>835077</v>
      </c>
      <c r="E2659" s="5">
        <v>53409</v>
      </c>
      <c r="F2659" s="5">
        <v>62053162</v>
      </c>
      <c r="G2659" s="5">
        <v>6.3956976422533494</v>
      </c>
      <c r="H2659" s="5">
        <v>1161.8484150611321</v>
      </c>
      <c r="I2659" s="5">
        <v>74.308311688622723</v>
      </c>
    </row>
    <row r="2660" spans="1:9" x14ac:dyDescent="0.2">
      <c r="A2660" s="5" t="s">
        <v>100</v>
      </c>
      <c r="B2660" s="5" t="s">
        <v>64</v>
      </c>
      <c r="C2660" s="5" t="s">
        <v>57</v>
      </c>
      <c r="D2660" s="5">
        <v>843048</v>
      </c>
      <c r="E2660" s="5">
        <v>52905</v>
      </c>
      <c r="F2660" s="5">
        <v>60814257</v>
      </c>
      <c r="G2660" s="5">
        <v>6.2754433911236367</v>
      </c>
      <c r="H2660" s="5">
        <v>1149.4992344768925</v>
      </c>
      <c r="I2660" s="5">
        <v>72.136173740996952</v>
      </c>
    </row>
    <row r="2661" spans="1:9" x14ac:dyDescent="0.2">
      <c r="A2661" s="5" t="s">
        <v>100</v>
      </c>
      <c r="B2661" s="5" t="s">
        <v>64</v>
      </c>
      <c r="C2661" s="5" t="s">
        <v>58</v>
      </c>
      <c r="D2661" s="5">
        <v>851127</v>
      </c>
      <c r="E2661" s="5">
        <v>52245</v>
      </c>
      <c r="F2661" s="5">
        <v>58722151</v>
      </c>
      <c r="G2661" s="5">
        <v>6.1383318823160353</v>
      </c>
      <c r="H2661" s="5">
        <v>1123.9764762178199</v>
      </c>
      <c r="I2661" s="5">
        <v>68.993406389410751</v>
      </c>
    </row>
    <row r="2662" spans="1:9" x14ac:dyDescent="0.2">
      <c r="A2662" s="5" t="s">
        <v>100</v>
      </c>
      <c r="B2662" s="5" t="s">
        <v>64</v>
      </c>
      <c r="C2662" s="5" t="s">
        <v>59</v>
      </c>
      <c r="D2662" s="5">
        <v>859022</v>
      </c>
      <c r="E2662" s="5">
        <v>52054</v>
      </c>
      <c r="F2662" s="5">
        <v>57101373</v>
      </c>
      <c r="G2662" s="5">
        <v>6.0596818242140484</v>
      </c>
      <c r="H2662" s="5">
        <v>1096.9641718215698</v>
      </c>
      <c r="I2662" s="5">
        <v>66.472538538011833</v>
      </c>
    </row>
    <row r="2663" spans="1:9" x14ac:dyDescent="0.2">
      <c r="A2663" s="5" t="s">
        <v>100</v>
      </c>
      <c r="B2663" s="5" t="s">
        <v>64</v>
      </c>
      <c r="C2663" s="5" t="s">
        <v>60</v>
      </c>
      <c r="D2663" s="5">
        <v>865031</v>
      </c>
      <c r="E2663" s="5">
        <v>52161</v>
      </c>
      <c r="F2663" s="5">
        <v>58714297</v>
      </c>
      <c r="G2663" s="5">
        <v>6.0299573078883881</v>
      </c>
      <c r="H2663" s="5">
        <v>1125.6359540652979</v>
      </c>
      <c r="I2663" s="5">
        <v>67.875367472379608</v>
      </c>
    </row>
    <row r="2664" spans="1:9" x14ac:dyDescent="0.2">
      <c r="A2664" s="5" t="s">
        <v>100</v>
      </c>
      <c r="B2664" s="5" t="s">
        <v>64</v>
      </c>
      <c r="C2664" s="5" t="s">
        <v>61</v>
      </c>
      <c r="D2664" s="5">
        <v>867970</v>
      </c>
      <c r="E2664" s="5">
        <v>51661</v>
      </c>
      <c r="F2664" s="5">
        <v>61478291</v>
      </c>
      <c r="G2664" s="5">
        <v>5.9519338225975549</v>
      </c>
      <c r="H2664" s="5">
        <v>1190.0329261919048</v>
      </c>
      <c r="I2664" s="5">
        <v>70.829972234063391</v>
      </c>
    </row>
    <row r="2665" spans="1:9" x14ac:dyDescent="0.2">
      <c r="A2665" s="5" t="s">
        <v>100</v>
      </c>
      <c r="B2665" s="5" t="s">
        <v>64</v>
      </c>
      <c r="C2665" s="5" t="s">
        <v>62</v>
      </c>
      <c r="D2665" s="5">
        <v>867497</v>
      </c>
      <c r="E2665" s="5">
        <v>51463</v>
      </c>
      <c r="F2665" s="5">
        <v>64291209</v>
      </c>
      <c r="G2665" s="5">
        <v>5.9323548092961707</v>
      </c>
      <c r="H2665" s="5">
        <v>1249.2705244544625</v>
      </c>
      <c r="I2665" s="5">
        <v>74.111160038593795</v>
      </c>
    </row>
    <row r="2666" spans="1:9" x14ac:dyDescent="0.2">
      <c r="A2666" s="5" t="s">
        <v>100</v>
      </c>
      <c r="B2666" s="5" t="s">
        <v>65</v>
      </c>
      <c r="C2666" s="5" t="s">
        <v>45</v>
      </c>
      <c r="D2666" s="5">
        <v>704336</v>
      </c>
      <c r="E2666" s="5">
        <v>42976</v>
      </c>
      <c r="F2666" s="5">
        <v>128860560</v>
      </c>
      <c r="G2666" s="5">
        <v>6.1016333113741172</v>
      </c>
      <c r="H2666" s="5">
        <v>2998.4307520476546</v>
      </c>
      <c r="I2666" s="5">
        <v>182.95324958542514</v>
      </c>
    </row>
    <row r="2667" spans="1:9" x14ac:dyDescent="0.2">
      <c r="A2667" s="5" t="s">
        <v>100</v>
      </c>
      <c r="B2667" s="5" t="s">
        <v>65</v>
      </c>
      <c r="C2667" s="5" t="s">
        <v>46</v>
      </c>
      <c r="D2667" s="5">
        <v>715148</v>
      </c>
      <c r="E2667" s="5">
        <v>43995</v>
      </c>
      <c r="F2667" s="5">
        <v>133718430</v>
      </c>
      <c r="G2667" s="5">
        <v>6.1518734583610666</v>
      </c>
      <c r="H2667" s="5">
        <v>3039.4006137061028</v>
      </c>
      <c r="I2667" s="5">
        <v>186.98007964784912</v>
      </c>
    </row>
    <row r="2668" spans="1:9" x14ac:dyDescent="0.2">
      <c r="A2668" s="5" t="s">
        <v>100</v>
      </c>
      <c r="B2668" s="5" t="s">
        <v>65</v>
      </c>
      <c r="C2668" s="5" t="s">
        <v>47</v>
      </c>
      <c r="D2668" s="5">
        <v>726504</v>
      </c>
      <c r="E2668" s="5">
        <v>45011</v>
      </c>
      <c r="F2668" s="5">
        <v>139144605</v>
      </c>
      <c r="G2668" s="5">
        <v>6.1955612081970646</v>
      </c>
      <c r="H2668" s="5">
        <v>3091.3466708138012</v>
      </c>
      <c r="I2668" s="5">
        <v>191.52627514783126</v>
      </c>
    </row>
    <row r="2669" spans="1:9" x14ac:dyDescent="0.2">
      <c r="A2669" s="5" t="s">
        <v>100</v>
      </c>
      <c r="B2669" s="5" t="s">
        <v>65</v>
      </c>
      <c r="C2669" s="5" t="s">
        <v>48</v>
      </c>
      <c r="D2669" s="5">
        <v>737586</v>
      </c>
      <c r="E2669" s="5">
        <v>45719</v>
      </c>
      <c r="F2669" s="5">
        <v>143352519</v>
      </c>
      <c r="G2669" s="5">
        <v>6.1984636367826935</v>
      </c>
      <c r="H2669" s="5">
        <v>3135.5130033465298</v>
      </c>
      <c r="I2669" s="5">
        <v>194.3536333390276</v>
      </c>
    </row>
    <row r="2670" spans="1:9" x14ac:dyDescent="0.2">
      <c r="A2670" s="5" t="s">
        <v>100</v>
      </c>
      <c r="B2670" s="5" t="s">
        <v>65</v>
      </c>
      <c r="C2670" s="5" t="s">
        <v>49</v>
      </c>
      <c r="D2670" s="5">
        <v>747746</v>
      </c>
      <c r="E2670" s="5">
        <v>45980</v>
      </c>
      <c r="F2670" s="5">
        <v>142794387</v>
      </c>
      <c r="G2670" s="5">
        <v>6.149146902825291</v>
      </c>
      <c r="H2670" s="5">
        <v>3105.5760548064377</v>
      </c>
      <c r="I2670" s="5">
        <v>190.96643378901391</v>
      </c>
    </row>
    <row r="2671" spans="1:9" x14ac:dyDescent="0.2">
      <c r="A2671" s="5" t="s">
        <v>100</v>
      </c>
      <c r="B2671" s="5" t="s">
        <v>65</v>
      </c>
      <c r="C2671" s="5" t="s">
        <v>50</v>
      </c>
      <c r="D2671" s="5">
        <v>758036</v>
      </c>
      <c r="E2671" s="5">
        <v>45598</v>
      </c>
      <c r="F2671" s="5">
        <v>141997485</v>
      </c>
      <c r="G2671" s="5">
        <v>6.0152815961247219</v>
      </c>
      <c r="H2671" s="5">
        <v>3114.1165182683453</v>
      </c>
      <c r="I2671" s="5">
        <v>187.32287780527574</v>
      </c>
    </row>
    <row r="2672" spans="1:9" x14ac:dyDescent="0.2">
      <c r="A2672" s="5" t="s">
        <v>100</v>
      </c>
      <c r="B2672" s="5" t="s">
        <v>65</v>
      </c>
      <c r="C2672" s="5" t="s">
        <v>51</v>
      </c>
      <c r="D2672" s="5">
        <v>768636</v>
      </c>
      <c r="E2672" s="5">
        <v>45014</v>
      </c>
      <c r="F2672" s="5">
        <v>142087093</v>
      </c>
      <c r="G2672" s="5">
        <v>5.8563481283728578</v>
      </c>
      <c r="H2672" s="5">
        <v>3156.5089305549386</v>
      </c>
      <c r="I2672" s="5">
        <v>184.85615167647626</v>
      </c>
    </row>
    <row r="2673" spans="1:9" x14ac:dyDescent="0.2">
      <c r="A2673" s="5" t="s">
        <v>100</v>
      </c>
      <c r="B2673" s="5" t="s">
        <v>65</v>
      </c>
      <c r="C2673" s="5" t="s">
        <v>52</v>
      </c>
      <c r="D2673" s="5">
        <v>779561</v>
      </c>
      <c r="E2673" s="5">
        <v>45019</v>
      </c>
      <c r="F2673" s="5">
        <v>144987853</v>
      </c>
      <c r="G2673" s="5">
        <v>5.7749169083625267</v>
      </c>
      <c r="H2673" s="5">
        <v>3220.5924831737711</v>
      </c>
      <c r="I2673" s="5">
        <v>185.98653986025468</v>
      </c>
    </row>
    <row r="2674" spans="1:9" x14ac:dyDescent="0.2">
      <c r="A2674" s="5" t="s">
        <v>100</v>
      </c>
      <c r="B2674" s="5" t="s">
        <v>65</v>
      </c>
      <c r="C2674" s="5" t="s">
        <v>53</v>
      </c>
      <c r="D2674" s="5">
        <v>791102</v>
      </c>
      <c r="E2674" s="5">
        <v>45668</v>
      </c>
      <c r="F2674" s="5">
        <v>151276377</v>
      </c>
      <c r="G2674" s="5">
        <v>5.7727069328607437</v>
      </c>
      <c r="H2674" s="5">
        <v>3312.5246781115879</v>
      </c>
      <c r="I2674" s="5">
        <v>191.22234174607067</v>
      </c>
    </row>
    <row r="2675" spans="1:9" x14ac:dyDescent="0.2">
      <c r="A2675" s="5" t="s">
        <v>100</v>
      </c>
      <c r="B2675" s="5" t="s">
        <v>65</v>
      </c>
      <c r="C2675" s="5" t="s">
        <v>54</v>
      </c>
      <c r="D2675" s="5">
        <v>802084</v>
      </c>
      <c r="E2675" s="5">
        <v>46989</v>
      </c>
      <c r="F2675" s="5">
        <v>160365666</v>
      </c>
      <c r="G2675" s="5">
        <v>5.858363961879304</v>
      </c>
      <c r="H2675" s="5">
        <v>3412.8341952371834</v>
      </c>
      <c r="I2675" s="5">
        <v>199.93624857246871</v>
      </c>
    </row>
    <row r="2676" spans="1:9" x14ac:dyDescent="0.2">
      <c r="A2676" s="5" t="s">
        <v>100</v>
      </c>
      <c r="B2676" s="5" t="s">
        <v>65</v>
      </c>
      <c r="C2676" s="5" t="s">
        <v>55</v>
      </c>
      <c r="D2676" s="5">
        <v>812311</v>
      </c>
      <c r="E2676" s="5">
        <v>47827</v>
      </c>
      <c r="F2676" s="5">
        <v>165501097</v>
      </c>
      <c r="G2676" s="5">
        <v>5.8877695857867245</v>
      </c>
      <c r="H2676" s="5">
        <v>3460.4114203274303</v>
      </c>
      <c r="I2676" s="5">
        <v>203.74105114912885</v>
      </c>
    </row>
    <row r="2677" spans="1:9" x14ac:dyDescent="0.2">
      <c r="A2677" s="5" t="s">
        <v>100</v>
      </c>
      <c r="B2677" s="5" t="s">
        <v>65</v>
      </c>
      <c r="C2677" s="5" t="s">
        <v>56</v>
      </c>
      <c r="D2677" s="5">
        <v>821641</v>
      </c>
      <c r="E2677" s="5">
        <v>48489</v>
      </c>
      <c r="F2677" s="5">
        <v>169009941</v>
      </c>
      <c r="G2677" s="5">
        <v>5.9014825209550157</v>
      </c>
      <c r="H2677" s="5">
        <v>3485.5315844830789</v>
      </c>
      <c r="I2677" s="5">
        <v>205.69803722063529</v>
      </c>
    </row>
    <row r="2678" spans="1:9" x14ac:dyDescent="0.2">
      <c r="A2678" s="5" t="s">
        <v>100</v>
      </c>
      <c r="B2678" s="5" t="s">
        <v>65</v>
      </c>
      <c r="C2678" s="5" t="s">
        <v>57</v>
      </c>
      <c r="D2678" s="5">
        <v>830418</v>
      </c>
      <c r="E2678" s="5">
        <v>48445</v>
      </c>
      <c r="F2678" s="5">
        <v>170055150</v>
      </c>
      <c r="G2678" s="5">
        <v>5.8338089973964919</v>
      </c>
      <c r="H2678" s="5">
        <v>3510.2724739395189</v>
      </c>
      <c r="I2678" s="5">
        <v>204.78259141781609</v>
      </c>
    </row>
    <row r="2679" spans="1:9" x14ac:dyDescent="0.2">
      <c r="A2679" s="5" t="s">
        <v>100</v>
      </c>
      <c r="B2679" s="5" t="s">
        <v>65</v>
      </c>
      <c r="C2679" s="5" t="s">
        <v>58</v>
      </c>
      <c r="D2679" s="5">
        <v>839096</v>
      </c>
      <c r="E2679" s="5">
        <v>48810</v>
      </c>
      <c r="F2679" s="5">
        <v>173322573</v>
      </c>
      <c r="G2679" s="5">
        <v>5.816974458226472</v>
      </c>
      <c r="H2679" s="5">
        <v>3550.9644130301167</v>
      </c>
      <c r="I2679" s="5">
        <v>206.55869292667347</v>
      </c>
    </row>
    <row r="2680" spans="1:9" x14ac:dyDescent="0.2">
      <c r="A2680" s="5" t="s">
        <v>100</v>
      </c>
      <c r="B2680" s="5" t="s">
        <v>65</v>
      </c>
      <c r="C2680" s="5" t="s">
        <v>59</v>
      </c>
      <c r="D2680" s="5">
        <v>847481</v>
      </c>
      <c r="E2680" s="5">
        <v>49590</v>
      </c>
      <c r="F2680" s="5">
        <v>175309570</v>
      </c>
      <c r="G2680" s="5">
        <v>5.8514586167713496</v>
      </c>
      <c r="H2680" s="5">
        <v>3535.1798749747932</v>
      </c>
      <c r="I2680" s="5">
        <v>206.85958741257917</v>
      </c>
    </row>
    <row r="2681" spans="1:9" x14ac:dyDescent="0.2">
      <c r="A2681" s="5" t="s">
        <v>100</v>
      </c>
      <c r="B2681" s="5" t="s">
        <v>65</v>
      </c>
      <c r="C2681" s="5" t="s">
        <v>60</v>
      </c>
      <c r="D2681" s="5">
        <v>853977</v>
      </c>
      <c r="E2681" s="5">
        <v>50192</v>
      </c>
      <c r="F2681" s="5">
        <v>179269192</v>
      </c>
      <c r="G2681" s="5">
        <v>5.8774416641197593</v>
      </c>
      <c r="H2681" s="5">
        <v>3571.6686324513867</v>
      </c>
      <c r="I2681" s="5">
        <v>209.92274030799425</v>
      </c>
    </row>
    <row r="2682" spans="1:9" x14ac:dyDescent="0.2">
      <c r="A2682" s="5" t="s">
        <v>100</v>
      </c>
      <c r="B2682" s="5" t="s">
        <v>65</v>
      </c>
      <c r="C2682" s="5" t="s">
        <v>61</v>
      </c>
      <c r="D2682" s="5">
        <v>857517</v>
      </c>
      <c r="E2682" s="5">
        <v>50509</v>
      </c>
      <c r="F2682" s="5">
        <v>179696662</v>
      </c>
      <c r="G2682" s="5">
        <v>5.8901456181043645</v>
      </c>
      <c r="H2682" s="5">
        <v>3557.715694232711</v>
      </c>
      <c r="I2682" s="5">
        <v>209.55463506845928</v>
      </c>
    </row>
    <row r="2683" spans="1:9" x14ac:dyDescent="0.2">
      <c r="A2683" s="5" t="s">
        <v>100</v>
      </c>
      <c r="B2683" s="5" t="s">
        <v>65</v>
      </c>
      <c r="C2683" s="5" t="s">
        <v>62</v>
      </c>
      <c r="D2683" s="5">
        <v>857792</v>
      </c>
      <c r="E2683" s="5">
        <v>50893</v>
      </c>
      <c r="F2683" s="5">
        <v>184310743</v>
      </c>
      <c r="G2683" s="5">
        <v>5.933023390285757</v>
      </c>
      <c r="H2683" s="5">
        <v>3621.534258149451</v>
      </c>
      <c r="I2683" s="5">
        <v>214.86647462321869</v>
      </c>
    </row>
    <row r="2684" spans="1:9" x14ac:dyDescent="0.2">
      <c r="A2684" s="5" t="s">
        <v>101</v>
      </c>
      <c r="B2684" s="5" t="s">
        <v>44</v>
      </c>
      <c r="C2684" s="5" t="s">
        <v>45</v>
      </c>
      <c r="D2684" s="5">
        <v>5622380</v>
      </c>
      <c r="E2684" s="5">
        <v>47572</v>
      </c>
      <c r="F2684" s="5">
        <v>1087086023</v>
      </c>
      <c r="G2684" s="5">
        <v>0.84611854766131067</v>
      </c>
      <c r="H2684" s="5">
        <v>22851.383650046246</v>
      </c>
      <c r="I2684" s="5">
        <v>193.34979546028549</v>
      </c>
    </row>
    <row r="2685" spans="1:9" x14ac:dyDescent="0.2">
      <c r="A2685" s="5" t="s">
        <v>101</v>
      </c>
      <c r="B2685" s="5" t="s">
        <v>44</v>
      </c>
      <c r="C2685" s="5" t="s">
        <v>46</v>
      </c>
      <c r="D2685" s="5">
        <v>5688419</v>
      </c>
      <c r="E2685" s="5">
        <v>48024</v>
      </c>
      <c r="F2685" s="5">
        <v>1076402652</v>
      </c>
      <c r="G2685" s="5">
        <v>0.84424160737807818</v>
      </c>
      <c r="H2685" s="5">
        <v>22413.84832583708</v>
      </c>
      <c r="I2685" s="5">
        <v>189.22703338133144</v>
      </c>
    </row>
    <row r="2686" spans="1:9" x14ac:dyDescent="0.2">
      <c r="A2686" s="5" t="s">
        <v>101</v>
      </c>
      <c r="B2686" s="5" t="s">
        <v>44</v>
      </c>
      <c r="C2686" s="5" t="s">
        <v>47</v>
      </c>
      <c r="D2686" s="5">
        <v>5753084</v>
      </c>
      <c r="E2686" s="5">
        <v>48346</v>
      </c>
      <c r="F2686" s="5">
        <v>1073012719</v>
      </c>
      <c r="G2686" s="5">
        <v>0.84034928049025537</v>
      </c>
      <c r="H2686" s="5">
        <v>22194.446676043521</v>
      </c>
      <c r="I2686" s="5">
        <v>186.51087295092509</v>
      </c>
    </row>
    <row r="2687" spans="1:9" x14ac:dyDescent="0.2">
      <c r="A2687" s="5" t="s">
        <v>101</v>
      </c>
      <c r="B2687" s="5" t="s">
        <v>44</v>
      </c>
      <c r="C2687" s="5" t="s">
        <v>48</v>
      </c>
      <c r="D2687" s="5">
        <v>5820876</v>
      </c>
      <c r="E2687" s="5">
        <v>48905</v>
      </c>
      <c r="F2687" s="5">
        <v>1066205653</v>
      </c>
      <c r="G2687" s="5">
        <v>0.84016563829911517</v>
      </c>
      <c r="H2687" s="5">
        <v>21801.56738574788</v>
      </c>
      <c r="I2687" s="5">
        <v>183.16927778568038</v>
      </c>
    </row>
    <row r="2688" spans="1:9" x14ac:dyDescent="0.2">
      <c r="A2688" s="5" t="s">
        <v>101</v>
      </c>
      <c r="B2688" s="5" t="s">
        <v>44</v>
      </c>
      <c r="C2688" s="5" t="s">
        <v>49</v>
      </c>
      <c r="D2688" s="5">
        <v>5869924</v>
      </c>
      <c r="E2688" s="5">
        <v>48883</v>
      </c>
      <c r="F2688" s="5">
        <v>1064780778</v>
      </c>
      <c r="G2688" s="5">
        <v>0.83277057760884132</v>
      </c>
      <c r="H2688" s="5">
        <v>21782.230591412146</v>
      </c>
      <c r="I2688" s="5">
        <v>181.39600751219265</v>
      </c>
    </row>
    <row r="2689" spans="1:9" x14ac:dyDescent="0.2">
      <c r="A2689" s="5" t="s">
        <v>101</v>
      </c>
      <c r="B2689" s="5" t="s">
        <v>44</v>
      </c>
      <c r="C2689" s="5" t="s">
        <v>50</v>
      </c>
      <c r="D2689" s="5">
        <v>5902779</v>
      </c>
      <c r="E2689" s="5">
        <v>48882</v>
      </c>
      <c r="F2689" s="5">
        <v>1065573477</v>
      </c>
      <c r="G2689" s="5">
        <v>0.82811841676606901</v>
      </c>
      <c r="H2689" s="5">
        <v>21798.892782619369</v>
      </c>
      <c r="I2689" s="5">
        <v>180.52064578396039</v>
      </c>
    </row>
    <row r="2690" spans="1:9" x14ac:dyDescent="0.2">
      <c r="A2690" s="5" t="s">
        <v>101</v>
      </c>
      <c r="B2690" s="5" t="s">
        <v>44</v>
      </c>
      <c r="C2690" s="5" t="s">
        <v>51</v>
      </c>
      <c r="D2690" s="5">
        <v>5933976</v>
      </c>
      <c r="E2690" s="5">
        <v>48459</v>
      </c>
      <c r="F2690" s="5">
        <v>1054877490</v>
      </c>
      <c r="G2690" s="5">
        <v>0.81663626546517887</v>
      </c>
      <c r="H2690" s="5">
        <v>21768.453538042468</v>
      </c>
      <c r="I2690" s="5">
        <v>177.7690860225926</v>
      </c>
    </row>
    <row r="2691" spans="1:9" x14ac:dyDescent="0.2">
      <c r="A2691" s="5" t="s">
        <v>101</v>
      </c>
      <c r="B2691" s="5" t="s">
        <v>44</v>
      </c>
      <c r="C2691" s="5" t="s">
        <v>52</v>
      </c>
      <c r="D2691" s="5">
        <v>5959902</v>
      </c>
      <c r="E2691" s="5">
        <v>48510</v>
      </c>
      <c r="F2691" s="5">
        <v>1055796582</v>
      </c>
      <c r="G2691" s="5">
        <v>0.81393955806655882</v>
      </c>
      <c r="H2691" s="5">
        <v>21764.514162028448</v>
      </c>
      <c r="I2691" s="5">
        <v>177.14999038574794</v>
      </c>
    </row>
    <row r="2692" spans="1:9" x14ac:dyDescent="0.2">
      <c r="A2692" s="5" t="s">
        <v>101</v>
      </c>
      <c r="B2692" s="5" t="s">
        <v>44</v>
      </c>
      <c r="C2692" s="5" t="s">
        <v>53</v>
      </c>
      <c r="D2692" s="5">
        <v>5988792</v>
      </c>
      <c r="E2692" s="5">
        <v>48660</v>
      </c>
      <c r="F2692" s="5">
        <v>1047079642</v>
      </c>
      <c r="G2692" s="5">
        <v>0.81251778321905321</v>
      </c>
      <c r="H2692" s="5">
        <v>21518.282819564323</v>
      </c>
      <c r="I2692" s="5">
        <v>174.83987455233043</v>
      </c>
    </row>
    <row r="2693" spans="1:9" x14ac:dyDescent="0.2">
      <c r="A2693" s="5" t="s">
        <v>101</v>
      </c>
      <c r="B2693" s="5" t="s">
        <v>44</v>
      </c>
      <c r="C2693" s="5" t="s">
        <v>54</v>
      </c>
      <c r="D2693" s="5">
        <v>6020907</v>
      </c>
      <c r="E2693" s="5">
        <v>48300</v>
      </c>
      <c r="F2693" s="5">
        <v>1040421157</v>
      </c>
      <c r="G2693" s="5">
        <v>0.80220471766130919</v>
      </c>
      <c r="H2693" s="5">
        <v>21540.810703933748</v>
      </c>
      <c r="I2693" s="5">
        <v>172.80139968944877</v>
      </c>
    </row>
    <row r="2694" spans="1:9" x14ac:dyDescent="0.2">
      <c r="A2694" s="5" t="s">
        <v>101</v>
      </c>
      <c r="B2694" s="5" t="s">
        <v>44</v>
      </c>
      <c r="C2694" s="5" t="s">
        <v>55</v>
      </c>
      <c r="D2694" s="5">
        <v>6062471</v>
      </c>
      <c r="E2694" s="5">
        <v>47529</v>
      </c>
      <c r="F2694" s="5">
        <v>1027748479</v>
      </c>
      <c r="G2694" s="5">
        <v>0.78398725536171632</v>
      </c>
      <c r="H2694" s="5">
        <v>21623.60830229965</v>
      </c>
      <c r="I2694" s="5">
        <v>169.52633323936726</v>
      </c>
    </row>
    <row r="2695" spans="1:9" x14ac:dyDescent="0.2">
      <c r="A2695" s="5" t="s">
        <v>101</v>
      </c>
      <c r="B2695" s="5" t="s">
        <v>44</v>
      </c>
      <c r="C2695" s="5" t="s">
        <v>56</v>
      </c>
      <c r="D2695" s="5">
        <v>6111910</v>
      </c>
      <c r="E2695" s="5">
        <v>46525</v>
      </c>
      <c r="F2695" s="5">
        <v>1019335727</v>
      </c>
      <c r="G2695" s="5">
        <v>0.76121866977753272</v>
      </c>
      <c r="H2695" s="5">
        <v>21909.419172487909</v>
      </c>
      <c r="I2695" s="5">
        <v>166.77858918079619</v>
      </c>
    </row>
    <row r="2696" spans="1:9" x14ac:dyDescent="0.2">
      <c r="A2696" s="5" t="s">
        <v>101</v>
      </c>
      <c r="B2696" s="5" t="s">
        <v>44</v>
      </c>
      <c r="C2696" s="5" t="s">
        <v>57</v>
      </c>
      <c r="D2696" s="5">
        <v>6159363</v>
      </c>
      <c r="E2696" s="5">
        <v>44850</v>
      </c>
      <c r="F2696" s="5">
        <v>1004843956</v>
      </c>
      <c r="G2696" s="5">
        <v>0.72815971391846857</v>
      </c>
      <c r="H2696" s="5">
        <v>22404.54751393534</v>
      </c>
      <c r="I2696" s="5">
        <v>163.14088908219892</v>
      </c>
    </row>
    <row r="2697" spans="1:9" x14ac:dyDescent="0.2">
      <c r="A2697" s="5" t="s">
        <v>101</v>
      </c>
      <c r="B2697" s="5" t="s">
        <v>44</v>
      </c>
      <c r="C2697" s="5" t="s">
        <v>58</v>
      </c>
      <c r="D2697" s="5">
        <v>6198896</v>
      </c>
      <c r="E2697" s="5">
        <v>43174</v>
      </c>
      <c r="F2697" s="5">
        <v>1004779717</v>
      </c>
      <c r="G2697" s="5">
        <v>0.69647885688032196</v>
      </c>
      <c r="H2697" s="5">
        <v>23272.796521054337</v>
      </c>
      <c r="I2697" s="5">
        <v>162.09010717392258</v>
      </c>
    </row>
    <row r="2698" spans="1:9" x14ac:dyDescent="0.2">
      <c r="A2698" s="5" t="s">
        <v>101</v>
      </c>
      <c r="B2698" s="5" t="s">
        <v>44</v>
      </c>
      <c r="C2698" s="5" t="s">
        <v>59</v>
      </c>
      <c r="D2698" s="5">
        <v>6228368</v>
      </c>
      <c r="E2698" s="5">
        <v>41746</v>
      </c>
      <c r="F2698" s="5">
        <v>993922366</v>
      </c>
      <c r="G2698" s="5">
        <v>0.67025583587867643</v>
      </c>
      <c r="H2698" s="5">
        <v>23808.804819623438</v>
      </c>
      <c r="I2698" s="5">
        <v>159.57990375648967</v>
      </c>
    </row>
    <row r="2699" spans="1:9" x14ac:dyDescent="0.2">
      <c r="A2699" s="5" t="s">
        <v>101</v>
      </c>
      <c r="B2699" s="5" t="s">
        <v>44</v>
      </c>
      <c r="C2699" s="5" t="s">
        <v>60</v>
      </c>
      <c r="D2699" s="5">
        <v>6253304</v>
      </c>
      <c r="E2699" s="5">
        <v>40414</v>
      </c>
      <c r="F2699" s="5">
        <v>982561679</v>
      </c>
      <c r="G2699" s="5">
        <v>0.64628234929886663</v>
      </c>
      <c r="H2699" s="5">
        <v>24312.408546543276</v>
      </c>
      <c r="I2699" s="5">
        <v>157.12680512573834</v>
      </c>
    </row>
    <row r="2700" spans="1:9" x14ac:dyDescent="0.2">
      <c r="A2700" s="5" t="s">
        <v>101</v>
      </c>
      <c r="B2700" s="5" t="s">
        <v>44</v>
      </c>
      <c r="C2700" s="5" t="s">
        <v>61</v>
      </c>
      <c r="D2700" s="5">
        <v>6280718</v>
      </c>
      <c r="E2700" s="5">
        <v>39346</v>
      </c>
      <c r="F2700" s="5">
        <v>969371409</v>
      </c>
      <c r="G2700" s="5">
        <v>0.62645703882900017</v>
      </c>
      <c r="H2700" s="5">
        <v>24637.101840085397</v>
      </c>
      <c r="I2700" s="5">
        <v>154.34085864068408</v>
      </c>
    </row>
    <row r="2701" spans="1:9" x14ac:dyDescent="0.2">
      <c r="A2701" s="5" t="s">
        <v>101</v>
      </c>
      <c r="B2701" s="5" t="s">
        <v>44</v>
      </c>
      <c r="C2701" s="5" t="s">
        <v>62</v>
      </c>
      <c r="D2701" s="5">
        <v>6316906</v>
      </c>
      <c r="E2701" s="5">
        <v>38583</v>
      </c>
      <c r="F2701" s="5">
        <v>947313686</v>
      </c>
      <c r="G2701" s="5">
        <v>0.61078952259223107</v>
      </c>
      <c r="H2701" s="5">
        <v>24552.618666251976</v>
      </c>
      <c r="I2701" s="5">
        <v>149.96482233549145</v>
      </c>
    </row>
    <row r="2702" spans="1:9" x14ac:dyDescent="0.2">
      <c r="A2702" s="5" t="s">
        <v>101</v>
      </c>
      <c r="B2702" s="5" t="s">
        <v>63</v>
      </c>
      <c r="C2702" s="5" t="s">
        <v>45</v>
      </c>
      <c r="D2702" s="5">
        <v>5622380</v>
      </c>
      <c r="E2702" s="5">
        <v>248860</v>
      </c>
      <c r="F2702" s="5">
        <v>581594960</v>
      </c>
      <c r="G2702" s="5">
        <v>4.426239421739548</v>
      </c>
      <c r="H2702" s="5">
        <v>2337.0367274772966</v>
      </c>
      <c r="I2702" s="5">
        <v>103.44284093213194</v>
      </c>
    </row>
    <row r="2703" spans="1:9" x14ac:dyDescent="0.2">
      <c r="A2703" s="5" t="s">
        <v>101</v>
      </c>
      <c r="B2703" s="5" t="s">
        <v>63</v>
      </c>
      <c r="C2703" s="5" t="s">
        <v>46</v>
      </c>
      <c r="D2703" s="5">
        <v>5688419</v>
      </c>
      <c r="E2703" s="5">
        <v>247617</v>
      </c>
      <c r="F2703" s="5">
        <v>586853141</v>
      </c>
      <c r="G2703" s="5">
        <v>4.3530021258982501</v>
      </c>
      <c r="H2703" s="5">
        <v>2370.0034367591884</v>
      </c>
      <c r="I2703" s="5">
        <v>103.16629998598907</v>
      </c>
    </row>
    <row r="2704" spans="1:9" x14ac:dyDescent="0.2">
      <c r="A2704" s="5" t="s">
        <v>101</v>
      </c>
      <c r="B2704" s="5" t="s">
        <v>63</v>
      </c>
      <c r="C2704" s="5" t="s">
        <v>47</v>
      </c>
      <c r="D2704" s="5">
        <v>5753084</v>
      </c>
      <c r="E2704" s="5">
        <v>249416</v>
      </c>
      <c r="F2704" s="5">
        <v>596512336</v>
      </c>
      <c r="G2704" s="5">
        <v>4.3353443127199256</v>
      </c>
      <c r="H2704" s="5">
        <v>2391.6362061776308</v>
      </c>
      <c r="I2704" s="5">
        <v>103.68566424547251</v>
      </c>
    </row>
    <row r="2705" spans="1:9" x14ac:dyDescent="0.2">
      <c r="A2705" s="5" t="s">
        <v>101</v>
      </c>
      <c r="B2705" s="5" t="s">
        <v>63</v>
      </c>
      <c r="C2705" s="5" t="s">
        <v>48</v>
      </c>
      <c r="D2705" s="5">
        <v>5820876</v>
      </c>
      <c r="E2705" s="5">
        <v>253351</v>
      </c>
      <c r="F2705" s="5">
        <v>609402250</v>
      </c>
      <c r="G2705" s="5">
        <v>4.352454853874228</v>
      </c>
      <c r="H2705" s="5">
        <v>2405.3674546380316</v>
      </c>
      <c r="I2705" s="5">
        <v>104.69253253290398</v>
      </c>
    </row>
    <row r="2706" spans="1:9" x14ac:dyDescent="0.2">
      <c r="A2706" s="5" t="s">
        <v>101</v>
      </c>
      <c r="B2706" s="5" t="s">
        <v>63</v>
      </c>
      <c r="C2706" s="5" t="s">
        <v>49</v>
      </c>
      <c r="D2706" s="5">
        <v>5869924</v>
      </c>
      <c r="E2706" s="5">
        <v>255715</v>
      </c>
      <c r="F2706" s="5">
        <v>620792080</v>
      </c>
      <c r="G2706" s="5">
        <v>4.3563596394093009</v>
      </c>
      <c r="H2706" s="5">
        <v>2427.6717439336762</v>
      </c>
      <c r="I2706" s="5">
        <v>105.75811203007058</v>
      </c>
    </row>
    <row r="2707" spans="1:9" x14ac:dyDescent="0.2">
      <c r="A2707" s="5" t="s">
        <v>101</v>
      </c>
      <c r="B2707" s="5" t="s">
        <v>63</v>
      </c>
      <c r="C2707" s="5" t="s">
        <v>50</v>
      </c>
      <c r="D2707" s="5">
        <v>5902779</v>
      </c>
      <c r="E2707" s="5">
        <v>260800</v>
      </c>
      <c r="F2707" s="5">
        <v>636672992</v>
      </c>
      <c r="G2707" s="5">
        <v>4.4182579086901272</v>
      </c>
      <c r="H2707" s="5">
        <v>2441.2307975460121</v>
      </c>
      <c r="I2707" s="5">
        <v>107.85987278195576</v>
      </c>
    </row>
    <row r="2708" spans="1:9" x14ac:dyDescent="0.2">
      <c r="A2708" s="5" t="s">
        <v>101</v>
      </c>
      <c r="B2708" s="5" t="s">
        <v>63</v>
      </c>
      <c r="C2708" s="5" t="s">
        <v>51</v>
      </c>
      <c r="D2708" s="5">
        <v>5933976</v>
      </c>
      <c r="E2708" s="5">
        <v>263296</v>
      </c>
      <c r="F2708" s="5">
        <v>647158626</v>
      </c>
      <c r="G2708" s="5">
        <v>4.4370924317860405</v>
      </c>
      <c r="H2708" s="5">
        <v>2457.912866127856</v>
      </c>
      <c r="I2708" s="5">
        <v>109.05986576285446</v>
      </c>
    </row>
    <row r="2709" spans="1:9" x14ac:dyDescent="0.2">
      <c r="A2709" s="5" t="s">
        <v>101</v>
      </c>
      <c r="B2709" s="5" t="s">
        <v>63</v>
      </c>
      <c r="C2709" s="5" t="s">
        <v>52</v>
      </c>
      <c r="D2709" s="5">
        <v>5959902</v>
      </c>
      <c r="E2709" s="5">
        <v>264045</v>
      </c>
      <c r="F2709" s="5">
        <v>659022540</v>
      </c>
      <c r="G2709" s="5">
        <v>4.4303580830691516</v>
      </c>
      <c r="H2709" s="5">
        <v>2495.8720672612621</v>
      </c>
      <c r="I2709" s="5">
        <v>110.57606987497445</v>
      </c>
    </row>
    <row r="2710" spans="1:9" x14ac:dyDescent="0.2">
      <c r="A2710" s="5" t="s">
        <v>101</v>
      </c>
      <c r="B2710" s="5" t="s">
        <v>63</v>
      </c>
      <c r="C2710" s="5" t="s">
        <v>53</v>
      </c>
      <c r="D2710" s="5">
        <v>5988792</v>
      </c>
      <c r="E2710" s="5">
        <v>263967</v>
      </c>
      <c r="F2710" s="5">
        <v>662558659</v>
      </c>
      <c r="G2710" s="5">
        <v>4.4076835528767742</v>
      </c>
      <c r="H2710" s="5">
        <v>2510.0056408566224</v>
      </c>
      <c r="I2710" s="5">
        <v>110.6331058083166</v>
      </c>
    </row>
    <row r="2711" spans="1:9" x14ac:dyDescent="0.2">
      <c r="A2711" s="5" t="s">
        <v>101</v>
      </c>
      <c r="B2711" s="5" t="s">
        <v>63</v>
      </c>
      <c r="C2711" s="5" t="s">
        <v>54</v>
      </c>
      <c r="D2711" s="5">
        <v>6020907</v>
      </c>
      <c r="E2711" s="5">
        <v>264840</v>
      </c>
      <c r="F2711" s="5">
        <v>669446597</v>
      </c>
      <c r="G2711" s="5">
        <v>4.3986728245428806</v>
      </c>
      <c r="H2711" s="5">
        <v>2527.7397560791419</v>
      </c>
      <c r="I2711" s="5">
        <v>111.18700172581971</v>
      </c>
    </row>
    <row r="2712" spans="1:9" x14ac:dyDescent="0.2">
      <c r="A2712" s="5" t="s">
        <v>101</v>
      </c>
      <c r="B2712" s="5" t="s">
        <v>63</v>
      </c>
      <c r="C2712" s="5" t="s">
        <v>55</v>
      </c>
      <c r="D2712" s="5">
        <v>6062471</v>
      </c>
      <c r="E2712" s="5">
        <v>262641</v>
      </c>
      <c r="F2712" s="5">
        <v>667095050</v>
      </c>
      <c r="G2712" s="5">
        <v>4.3322434037210238</v>
      </c>
      <c r="H2712" s="5">
        <v>2539.9501601044772</v>
      </c>
      <c r="I2712" s="5">
        <v>110.0368232689278</v>
      </c>
    </row>
    <row r="2713" spans="1:9" x14ac:dyDescent="0.2">
      <c r="A2713" s="5" t="s">
        <v>101</v>
      </c>
      <c r="B2713" s="5" t="s">
        <v>63</v>
      </c>
      <c r="C2713" s="5" t="s">
        <v>56</v>
      </c>
      <c r="D2713" s="5">
        <v>6111910</v>
      </c>
      <c r="E2713" s="5">
        <v>261004</v>
      </c>
      <c r="F2713" s="5">
        <v>664526078</v>
      </c>
      <c r="G2713" s="5">
        <v>4.2704162855801213</v>
      </c>
      <c r="H2713" s="5">
        <v>2546.0379074650195</v>
      </c>
      <c r="I2713" s="5">
        <v>108.72641743742955</v>
      </c>
    </row>
    <row r="2714" spans="1:9" x14ac:dyDescent="0.2">
      <c r="A2714" s="5" t="s">
        <v>101</v>
      </c>
      <c r="B2714" s="5" t="s">
        <v>63</v>
      </c>
      <c r="C2714" s="5" t="s">
        <v>57</v>
      </c>
      <c r="D2714" s="5">
        <v>6159363</v>
      </c>
      <c r="E2714" s="5">
        <v>259652</v>
      </c>
      <c r="F2714" s="5">
        <v>667829813</v>
      </c>
      <c r="G2714" s="5">
        <v>4.2155657979567041</v>
      </c>
      <c r="H2714" s="5">
        <v>2572.018752021937</v>
      </c>
      <c r="I2714" s="5">
        <v>108.42514282726964</v>
      </c>
    </row>
    <row r="2715" spans="1:9" x14ac:dyDescent="0.2">
      <c r="A2715" s="5" t="s">
        <v>101</v>
      </c>
      <c r="B2715" s="5" t="s">
        <v>63</v>
      </c>
      <c r="C2715" s="5" t="s">
        <v>58</v>
      </c>
      <c r="D2715" s="5">
        <v>6198896</v>
      </c>
      <c r="E2715" s="5">
        <v>258361</v>
      </c>
      <c r="F2715" s="5">
        <v>669475191</v>
      </c>
      <c r="G2715" s="5">
        <v>4.1678550503186376</v>
      </c>
      <c r="H2715" s="5">
        <v>2591.2393550110119</v>
      </c>
      <c r="I2715" s="5">
        <v>107.99910032367053</v>
      </c>
    </row>
    <row r="2716" spans="1:9" x14ac:dyDescent="0.2">
      <c r="A2716" s="5" t="s">
        <v>101</v>
      </c>
      <c r="B2716" s="5" t="s">
        <v>63</v>
      </c>
      <c r="C2716" s="5" t="s">
        <v>59</v>
      </c>
      <c r="D2716" s="5">
        <v>6228368</v>
      </c>
      <c r="E2716" s="5">
        <v>259471</v>
      </c>
      <c r="F2716" s="5">
        <v>677571454</v>
      </c>
      <c r="G2716" s="5">
        <v>4.1659548697186803</v>
      </c>
      <c r="H2716" s="5">
        <v>2611.3571613012627</v>
      </c>
      <c r="I2716" s="5">
        <v>108.78796082697747</v>
      </c>
    </row>
    <row r="2717" spans="1:9" x14ac:dyDescent="0.2">
      <c r="A2717" s="5" t="s">
        <v>101</v>
      </c>
      <c r="B2717" s="5" t="s">
        <v>63</v>
      </c>
      <c r="C2717" s="5" t="s">
        <v>60</v>
      </c>
      <c r="D2717" s="5">
        <v>6253304</v>
      </c>
      <c r="E2717" s="5">
        <v>260046</v>
      </c>
      <c r="F2717" s="5">
        <v>683683371</v>
      </c>
      <c r="G2717" s="5">
        <v>4.1585376306669239</v>
      </c>
      <c r="H2717" s="5">
        <v>2629.0862808887659</v>
      </c>
      <c r="I2717" s="5">
        <v>109.33154233346085</v>
      </c>
    </row>
    <row r="2718" spans="1:9" x14ac:dyDescent="0.2">
      <c r="A2718" s="5" t="s">
        <v>101</v>
      </c>
      <c r="B2718" s="5" t="s">
        <v>63</v>
      </c>
      <c r="C2718" s="5" t="s">
        <v>61</v>
      </c>
      <c r="D2718" s="5">
        <v>6280718</v>
      </c>
      <c r="E2718" s="5">
        <v>259786</v>
      </c>
      <c r="F2718" s="5">
        <v>686325280</v>
      </c>
      <c r="G2718" s="5">
        <v>4.1362468431157078</v>
      </c>
      <c r="H2718" s="5">
        <v>2641.8870916831547</v>
      </c>
      <c r="I2718" s="5">
        <v>109.27497142842586</v>
      </c>
    </row>
    <row r="2719" spans="1:9" x14ac:dyDescent="0.2">
      <c r="A2719" s="5" t="s">
        <v>101</v>
      </c>
      <c r="B2719" s="5" t="s">
        <v>63</v>
      </c>
      <c r="C2719" s="5" t="s">
        <v>62</v>
      </c>
      <c r="D2719" s="5">
        <v>6316906</v>
      </c>
      <c r="E2719" s="5">
        <v>256831</v>
      </c>
      <c r="F2719" s="5">
        <v>686548187</v>
      </c>
      <c r="G2719" s="5">
        <v>4.0657720725937665</v>
      </c>
      <c r="H2719" s="5">
        <v>2673.1515549135424</v>
      </c>
      <c r="I2719" s="5">
        <v>108.68424937778083</v>
      </c>
    </row>
    <row r="2720" spans="1:9" x14ac:dyDescent="0.2">
      <c r="A2720" s="5" t="s">
        <v>101</v>
      </c>
      <c r="B2720" s="5" t="s">
        <v>73</v>
      </c>
      <c r="C2720" s="5" t="s">
        <v>45</v>
      </c>
      <c r="D2720" s="5">
        <v>5622380</v>
      </c>
      <c r="E2720" s="5">
        <v>121136</v>
      </c>
      <c r="F2720" s="5">
        <v>968127833</v>
      </c>
      <c r="G2720" s="5">
        <v>2.1545324222126574</v>
      </c>
      <c r="H2720" s="5">
        <v>7992.0736444987451</v>
      </c>
      <c r="I2720" s="5">
        <v>172.19181787783822</v>
      </c>
    </row>
    <row r="2721" spans="1:9" x14ac:dyDescent="0.2">
      <c r="A2721" s="5" t="s">
        <v>101</v>
      </c>
      <c r="B2721" s="5" t="s">
        <v>73</v>
      </c>
      <c r="C2721" s="5" t="s">
        <v>46</v>
      </c>
      <c r="D2721" s="5">
        <v>5688419</v>
      </c>
      <c r="E2721" s="5">
        <v>120119</v>
      </c>
      <c r="F2721" s="5">
        <v>986637410</v>
      </c>
      <c r="G2721" s="5">
        <v>2.1116412134900751</v>
      </c>
      <c r="H2721" s="5">
        <v>8213.8330322430265</v>
      </c>
      <c r="I2721" s="5">
        <v>173.44668351610525</v>
      </c>
    </row>
    <row r="2722" spans="1:9" x14ac:dyDescent="0.2">
      <c r="A2722" s="5" t="s">
        <v>101</v>
      </c>
      <c r="B2722" s="5" t="s">
        <v>73</v>
      </c>
      <c r="C2722" s="5" t="s">
        <v>47</v>
      </c>
      <c r="D2722" s="5">
        <v>5753084</v>
      </c>
      <c r="E2722" s="5">
        <v>120320</v>
      </c>
      <c r="F2722" s="5">
        <v>1013991623</v>
      </c>
      <c r="G2722" s="5">
        <v>2.0914000212755455</v>
      </c>
      <c r="H2722" s="5">
        <v>8427.4569730718085</v>
      </c>
      <c r="I2722" s="5">
        <v>176.25183692781124</v>
      </c>
    </row>
    <row r="2723" spans="1:9" x14ac:dyDescent="0.2">
      <c r="A2723" s="5" t="s">
        <v>101</v>
      </c>
      <c r="B2723" s="5" t="s">
        <v>73</v>
      </c>
      <c r="C2723" s="5" t="s">
        <v>48</v>
      </c>
      <c r="D2723" s="5">
        <v>5820876</v>
      </c>
      <c r="E2723" s="5">
        <v>121384</v>
      </c>
      <c r="F2723" s="5">
        <v>1054888254</v>
      </c>
      <c r="G2723" s="5">
        <v>2.0853218656435906</v>
      </c>
      <c r="H2723" s="5">
        <v>8690.5049594674747</v>
      </c>
      <c r="I2723" s="5">
        <v>181.22500015461591</v>
      </c>
    </row>
    <row r="2724" spans="1:9" x14ac:dyDescent="0.2">
      <c r="A2724" s="5" t="s">
        <v>101</v>
      </c>
      <c r="B2724" s="5" t="s">
        <v>73</v>
      </c>
      <c r="C2724" s="5" t="s">
        <v>49</v>
      </c>
      <c r="D2724" s="5">
        <v>5869924</v>
      </c>
      <c r="E2724" s="5">
        <v>121154</v>
      </c>
      <c r="F2724" s="5">
        <v>1039191113</v>
      </c>
      <c r="G2724" s="5">
        <v>2.0639790225563397</v>
      </c>
      <c r="H2724" s="5">
        <v>8577.439564521188</v>
      </c>
      <c r="I2724" s="5">
        <v>177.03655328416517</v>
      </c>
    </row>
    <row r="2725" spans="1:9" x14ac:dyDescent="0.2">
      <c r="A2725" s="5" t="s">
        <v>101</v>
      </c>
      <c r="B2725" s="5" t="s">
        <v>73</v>
      </c>
      <c r="C2725" s="5" t="s">
        <v>50</v>
      </c>
      <c r="D2725" s="5">
        <v>5902779</v>
      </c>
      <c r="E2725" s="5">
        <v>122991</v>
      </c>
      <c r="F2725" s="5">
        <v>995832658</v>
      </c>
      <c r="G2725" s="5">
        <v>2.0836118038639087</v>
      </c>
      <c r="H2725" s="5">
        <v>8096.7929198071406</v>
      </c>
      <c r="I2725" s="5">
        <v>168.70573301151882</v>
      </c>
    </row>
    <row r="2726" spans="1:9" x14ac:dyDescent="0.2">
      <c r="A2726" s="5" t="s">
        <v>101</v>
      </c>
      <c r="B2726" s="5" t="s">
        <v>73</v>
      </c>
      <c r="C2726" s="5" t="s">
        <v>51</v>
      </c>
      <c r="D2726" s="5">
        <v>5933976</v>
      </c>
      <c r="E2726" s="5">
        <v>125118</v>
      </c>
      <c r="F2726" s="5">
        <v>956422760</v>
      </c>
      <c r="G2726" s="5">
        <v>2.108501955518526</v>
      </c>
      <c r="H2726" s="5">
        <v>7644.1659873079816</v>
      </c>
      <c r="I2726" s="5">
        <v>161.17738932547081</v>
      </c>
    </row>
    <row r="2727" spans="1:9" x14ac:dyDescent="0.2">
      <c r="A2727" s="5" t="s">
        <v>101</v>
      </c>
      <c r="B2727" s="5" t="s">
        <v>73</v>
      </c>
      <c r="C2727" s="5" t="s">
        <v>52</v>
      </c>
      <c r="D2727" s="5">
        <v>5959902</v>
      </c>
      <c r="E2727" s="5">
        <v>126105</v>
      </c>
      <c r="F2727" s="5">
        <v>910551714</v>
      </c>
      <c r="G2727" s="5">
        <v>2.1158904961860112</v>
      </c>
      <c r="H2727" s="5">
        <v>7220.5837516355414</v>
      </c>
      <c r="I2727" s="5">
        <v>152.77964537000776</v>
      </c>
    </row>
    <row r="2728" spans="1:9" x14ac:dyDescent="0.2">
      <c r="A2728" s="5" t="s">
        <v>101</v>
      </c>
      <c r="B2728" s="5" t="s">
        <v>73</v>
      </c>
      <c r="C2728" s="5" t="s">
        <v>53</v>
      </c>
      <c r="D2728" s="5">
        <v>5988792</v>
      </c>
      <c r="E2728" s="5">
        <v>127003</v>
      </c>
      <c r="F2728" s="5">
        <v>867516428</v>
      </c>
      <c r="G2728" s="5">
        <v>2.1206780933450351</v>
      </c>
      <c r="H2728" s="5">
        <v>6830.6766611812318</v>
      </c>
      <c r="I2728" s="5">
        <v>144.85666358090245</v>
      </c>
    </row>
    <row r="2729" spans="1:9" x14ac:dyDescent="0.2">
      <c r="A2729" s="5" t="s">
        <v>101</v>
      </c>
      <c r="B2729" s="5" t="s">
        <v>73</v>
      </c>
      <c r="C2729" s="5" t="s">
        <v>54</v>
      </c>
      <c r="D2729" s="5">
        <v>6020907</v>
      </c>
      <c r="E2729" s="5">
        <v>124067</v>
      </c>
      <c r="F2729" s="5">
        <v>809496050</v>
      </c>
      <c r="G2729" s="5">
        <v>2.06060316161668</v>
      </c>
      <c r="H2729" s="5">
        <v>6524.6685258771467</v>
      </c>
      <c r="I2729" s="5">
        <v>134.44752592923291</v>
      </c>
    </row>
    <row r="2730" spans="1:9" x14ac:dyDescent="0.2">
      <c r="A2730" s="5" t="s">
        <v>101</v>
      </c>
      <c r="B2730" s="5" t="s">
        <v>73</v>
      </c>
      <c r="C2730" s="5" t="s">
        <v>55</v>
      </c>
      <c r="D2730" s="5">
        <v>6062471</v>
      </c>
      <c r="E2730" s="5">
        <v>117847</v>
      </c>
      <c r="F2730" s="5">
        <v>735515803</v>
      </c>
      <c r="G2730" s="5">
        <v>1.9438773397843883</v>
      </c>
      <c r="H2730" s="5">
        <v>6241.2772747715262</v>
      </c>
      <c r="I2730" s="5">
        <v>121.32277465739629</v>
      </c>
    </row>
    <row r="2731" spans="1:9" x14ac:dyDescent="0.2">
      <c r="A2731" s="5" t="s">
        <v>101</v>
      </c>
      <c r="B2731" s="5" t="s">
        <v>73</v>
      </c>
      <c r="C2731" s="5" t="s">
        <v>56</v>
      </c>
      <c r="D2731" s="5">
        <v>6111910</v>
      </c>
      <c r="E2731" s="5">
        <v>113139</v>
      </c>
      <c r="F2731" s="5">
        <v>679933668</v>
      </c>
      <c r="G2731" s="5">
        <v>1.8511234622237567</v>
      </c>
      <c r="H2731" s="5">
        <v>6009.7196192294432</v>
      </c>
      <c r="I2731" s="5">
        <v>111.24732988542043</v>
      </c>
    </row>
    <row r="2732" spans="1:9" x14ac:dyDescent="0.2">
      <c r="A2732" s="5" t="s">
        <v>101</v>
      </c>
      <c r="B2732" s="5" t="s">
        <v>73</v>
      </c>
      <c r="C2732" s="5" t="s">
        <v>57</v>
      </c>
      <c r="D2732" s="5">
        <v>6159363</v>
      </c>
      <c r="E2732" s="5">
        <v>109806</v>
      </c>
      <c r="F2732" s="5">
        <v>645034796</v>
      </c>
      <c r="G2732" s="5">
        <v>1.7827492875480793</v>
      </c>
      <c r="H2732" s="5">
        <v>5874.3128426497642</v>
      </c>
      <c r="I2732" s="5">
        <v>104.72427035068399</v>
      </c>
    </row>
    <row r="2733" spans="1:9" x14ac:dyDescent="0.2">
      <c r="A2733" s="5" t="s">
        <v>101</v>
      </c>
      <c r="B2733" s="5" t="s">
        <v>73</v>
      </c>
      <c r="C2733" s="5" t="s">
        <v>58</v>
      </c>
      <c r="D2733" s="5">
        <v>6198896</v>
      </c>
      <c r="E2733" s="5">
        <v>108926</v>
      </c>
      <c r="F2733" s="5">
        <v>640444472</v>
      </c>
      <c r="G2733" s="5">
        <v>1.7571838598356868</v>
      </c>
      <c r="H2733" s="5">
        <v>5879.6290325542113</v>
      </c>
      <c r="I2733" s="5">
        <v>103.31589237825574</v>
      </c>
    </row>
    <row r="2734" spans="1:9" x14ac:dyDescent="0.2">
      <c r="A2734" s="5" t="s">
        <v>101</v>
      </c>
      <c r="B2734" s="5" t="s">
        <v>73</v>
      </c>
      <c r="C2734" s="5" t="s">
        <v>59</v>
      </c>
      <c r="D2734" s="5">
        <v>6228368</v>
      </c>
      <c r="E2734" s="5">
        <v>108601</v>
      </c>
      <c r="F2734" s="5">
        <v>641225878</v>
      </c>
      <c r="G2734" s="5">
        <v>1.7436509852982354</v>
      </c>
      <c r="H2734" s="5">
        <v>5904.4196462279351</v>
      </c>
      <c r="I2734" s="5">
        <v>102.95247133759598</v>
      </c>
    </row>
    <row r="2735" spans="1:9" x14ac:dyDescent="0.2">
      <c r="A2735" s="5" t="s">
        <v>101</v>
      </c>
      <c r="B2735" s="5" t="s">
        <v>73</v>
      </c>
      <c r="C2735" s="5" t="s">
        <v>60</v>
      </c>
      <c r="D2735" s="5">
        <v>6253304</v>
      </c>
      <c r="E2735" s="5">
        <v>107425</v>
      </c>
      <c r="F2735" s="5">
        <v>639887776</v>
      </c>
      <c r="G2735" s="5">
        <v>1.7178918536504861</v>
      </c>
      <c r="H2735" s="5">
        <v>5956.6001954852227</v>
      </c>
      <c r="I2735" s="5">
        <v>102.32794951276956</v>
      </c>
    </row>
    <row r="2736" spans="1:9" x14ac:dyDescent="0.2">
      <c r="A2736" s="5" t="s">
        <v>101</v>
      </c>
      <c r="B2736" s="5" t="s">
        <v>73</v>
      </c>
      <c r="C2736" s="5" t="s">
        <v>61</v>
      </c>
      <c r="D2736" s="5">
        <v>6280718</v>
      </c>
      <c r="E2736" s="5">
        <v>105510</v>
      </c>
      <c r="F2736" s="5">
        <v>645204376</v>
      </c>
      <c r="G2736" s="5">
        <v>1.6799034760038583</v>
      </c>
      <c r="H2736" s="5">
        <v>6115.1016586105579</v>
      </c>
      <c r="I2736" s="5">
        <v>102.72780532416836</v>
      </c>
    </row>
    <row r="2737" spans="1:9" x14ac:dyDescent="0.2">
      <c r="A2737" s="5" t="s">
        <v>101</v>
      </c>
      <c r="B2737" s="5" t="s">
        <v>73</v>
      </c>
      <c r="C2737" s="5" t="s">
        <v>62</v>
      </c>
      <c r="D2737" s="5">
        <v>6316906</v>
      </c>
      <c r="E2737" s="5">
        <v>104466</v>
      </c>
      <c r="F2737" s="5">
        <v>650868073</v>
      </c>
      <c r="G2737" s="5">
        <v>1.6537526440950681</v>
      </c>
      <c r="H2737" s="5">
        <v>6230.4297379051559</v>
      </c>
      <c r="I2737" s="5">
        <v>103.03589652909193</v>
      </c>
    </row>
    <row r="2738" spans="1:9" x14ac:dyDescent="0.2">
      <c r="A2738" s="5" t="s">
        <v>101</v>
      </c>
      <c r="B2738" s="5" t="s">
        <v>64</v>
      </c>
      <c r="C2738" s="5" t="s">
        <v>45</v>
      </c>
      <c r="D2738" s="5">
        <v>4611011</v>
      </c>
      <c r="E2738" s="5">
        <v>323686</v>
      </c>
      <c r="F2738" s="5">
        <v>341889113</v>
      </c>
      <c r="G2738" s="5">
        <v>7.0198487923798059</v>
      </c>
      <c r="H2738" s="5">
        <v>1056.2369487713402</v>
      </c>
      <c r="I2738" s="5">
        <v>74.146236692994222</v>
      </c>
    </row>
    <row r="2739" spans="1:9" x14ac:dyDescent="0.2">
      <c r="A2739" s="5" t="s">
        <v>101</v>
      </c>
      <c r="B2739" s="5" t="s">
        <v>64</v>
      </c>
      <c r="C2739" s="5" t="s">
        <v>46</v>
      </c>
      <c r="D2739" s="5">
        <v>4670908</v>
      </c>
      <c r="E2739" s="5">
        <v>322653</v>
      </c>
      <c r="F2739" s="5">
        <v>342446713</v>
      </c>
      <c r="G2739" s="5">
        <v>6.9077147312685243</v>
      </c>
      <c r="H2739" s="5">
        <v>1061.3467502239248</v>
      </c>
      <c r="I2739" s="5">
        <v>73.314805815057795</v>
      </c>
    </row>
    <row r="2740" spans="1:9" x14ac:dyDescent="0.2">
      <c r="A2740" s="5" t="s">
        <v>101</v>
      </c>
      <c r="B2740" s="5" t="s">
        <v>64</v>
      </c>
      <c r="C2740" s="5" t="s">
        <v>47</v>
      </c>
      <c r="D2740" s="5">
        <v>4732242</v>
      </c>
      <c r="E2740" s="5">
        <v>312286</v>
      </c>
      <c r="F2740" s="5">
        <v>342616475</v>
      </c>
      <c r="G2740" s="5">
        <v>6.5991130631104662</v>
      </c>
      <c r="H2740" s="5">
        <v>1097.1240305361111</v>
      </c>
      <c r="I2740" s="5">
        <v>72.400455217632569</v>
      </c>
    </row>
    <row r="2741" spans="1:9" x14ac:dyDescent="0.2">
      <c r="A2741" s="5" t="s">
        <v>101</v>
      </c>
      <c r="B2741" s="5" t="s">
        <v>64</v>
      </c>
      <c r="C2741" s="5" t="s">
        <v>48</v>
      </c>
      <c r="D2741" s="5">
        <v>4789011</v>
      </c>
      <c r="E2741" s="5">
        <v>313435</v>
      </c>
      <c r="F2741" s="5">
        <v>341625266</v>
      </c>
      <c r="G2741" s="5">
        <v>6.544879516877284</v>
      </c>
      <c r="H2741" s="5">
        <v>1089.939751463621</v>
      </c>
      <c r="I2741" s="5">
        <v>71.335243539845706</v>
      </c>
    </row>
    <row r="2742" spans="1:9" x14ac:dyDescent="0.2">
      <c r="A2742" s="5" t="s">
        <v>101</v>
      </c>
      <c r="B2742" s="5" t="s">
        <v>64</v>
      </c>
      <c r="C2742" s="5" t="s">
        <v>49</v>
      </c>
      <c r="D2742" s="5">
        <v>4825384</v>
      </c>
      <c r="E2742" s="5">
        <v>312180</v>
      </c>
      <c r="F2742" s="5">
        <v>329538737</v>
      </c>
      <c r="G2742" s="5">
        <v>6.4695369321902669</v>
      </c>
      <c r="H2742" s="5">
        <v>1055.6048978153628</v>
      </c>
      <c r="I2742" s="5">
        <v>68.292748722174238</v>
      </c>
    </row>
    <row r="2743" spans="1:9" x14ac:dyDescent="0.2">
      <c r="A2743" s="5" t="s">
        <v>101</v>
      </c>
      <c r="B2743" s="5" t="s">
        <v>64</v>
      </c>
      <c r="C2743" s="5" t="s">
        <v>50</v>
      </c>
      <c r="D2743" s="5">
        <v>4852690</v>
      </c>
      <c r="E2743" s="5">
        <v>318681</v>
      </c>
      <c r="F2743" s="5">
        <v>326337821</v>
      </c>
      <c r="G2743" s="5">
        <v>6.5670998971704355</v>
      </c>
      <c r="H2743" s="5">
        <v>1024.0266002679796</v>
      </c>
      <c r="I2743" s="5">
        <v>67.248849813196387</v>
      </c>
    </row>
    <row r="2744" spans="1:9" x14ac:dyDescent="0.2">
      <c r="A2744" s="5" t="s">
        <v>101</v>
      </c>
      <c r="B2744" s="5" t="s">
        <v>64</v>
      </c>
      <c r="C2744" s="5" t="s">
        <v>51</v>
      </c>
      <c r="D2744" s="5">
        <v>4881089</v>
      </c>
      <c r="E2744" s="5">
        <v>337270</v>
      </c>
      <c r="F2744" s="5">
        <v>330898498</v>
      </c>
      <c r="G2744" s="5">
        <v>6.9097285462322038</v>
      </c>
      <c r="H2744" s="5">
        <v>981.10860141726209</v>
      </c>
      <c r="I2744" s="5">
        <v>67.791941101668087</v>
      </c>
    </row>
    <row r="2745" spans="1:9" x14ac:dyDescent="0.2">
      <c r="A2745" s="5" t="s">
        <v>101</v>
      </c>
      <c r="B2745" s="5" t="s">
        <v>64</v>
      </c>
      <c r="C2745" s="5" t="s">
        <v>52</v>
      </c>
      <c r="D2745" s="5">
        <v>4914052</v>
      </c>
      <c r="E2745" s="5">
        <v>342212</v>
      </c>
      <c r="F2745" s="5">
        <v>323439947</v>
      </c>
      <c r="G2745" s="5">
        <v>6.9639474714553282</v>
      </c>
      <c r="H2745" s="5">
        <v>945.14495984945006</v>
      </c>
      <c r="I2745" s="5">
        <v>65.819398533023261</v>
      </c>
    </row>
    <row r="2746" spans="1:9" x14ac:dyDescent="0.2">
      <c r="A2746" s="5" t="s">
        <v>101</v>
      </c>
      <c r="B2746" s="5" t="s">
        <v>64</v>
      </c>
      <c r="C2746" s="5" t="s">
        <v>53</v>
      </c>
      <c r="D2746" s="5">
        <v>4958466</v>
      </c>
      <c r="E2746" s="5">
        <v>347157</v>
      </c>
      <c r="F2746" s="5">
        <v>325227768</v>
      </c>
      <c r="G2746" s="5">
        <v>7.0012983854280737</v>
      </c>
      <c r="H2746" s="5">
        <v>936.8319463528029</v>
      </c>
      <c r="I2746" s="5">
        <v>65.590399934173192</v>
      </c>
    </row>
    <row r="2747" spans="1:9" x14ac:dyDescent="0.2">
      <c r="A2747" s="5" t="s">
        <v>101</v>
      </c>
      <c r="B2747" s="5" t="s">
        <v>64</v>
      </c>
      <c r="C2747" s="5" t="s">
        <v>54</v>
      </c>
      <c r="D2747" s="5">
        <v>5008700</v>
      </c>
      <c r="E2747" s="5">
        <v>345303</v>
      </c>
      <c r="F2747" s="5">
        <v>319371714</v>
      </c>
      <c r="G2747" s="5">
        <v>6.8940643280691596</v>
      </c>
      <c r="H2747" s="5">
        <v>924.90280709985143</v>
      </c>
      <c r="I2747" s="5">
        <v>63.763394493581167</v>
      </c>
    </row>
    <row r="2748" spans="1:9" x14ac:dyDescent="0.2">
      <c r="A2748" s="5" t="s">
        <v>101</v>
      </c>
      <c r="B2748" s="5" t="s">
        <v>64</v>
      </c>
      <c r="C2748" s="5" t="s">
        <v>55</v>
      </c>
      <c r="D2748" s="5">
        <v>5054107</v>
      </c>
      <c r="E2748" s="5">
        <v>340245</v>
      </c>
      <c r="F2748" s="5">
        <v>309007776</v>
      </c>
      <c r="G2748" s="5">
        <v>6.7320497963339516</v>
      </c>
      <c r="H2748" s="5">
        <v>908.19196755279279</v>
      </c>
      <c r="I2748" s="5">
        <v>61.139935501959101</v>
      </c>
    </row>
    <row r="2749" spans="1:9" x14ac:dyDescent="0.2">
      <c r="A2749" s="5" t="s">
        <v>101</v>
      </c>
      <c r="B2749" s="5" t="s">
        <v>64</v>
      </c>
      <c r="C2749" s="5" t="s">
        <v>56</v>
      </c>
      <c r="D2749" s="5">
        <v>5093023</v>
      </c>
      <c r="E2749" s="5">
        <v>338827</v>
      </c>
      <c r="F2749" s="5">
        <v>310834510</v>
      </c>
      <c r="G2749" s="5">
        <v>6.6527679140659686</v>
      </c>
      <c r="H2749" s="5">
        <v>917.38412228069194</v>
      </c>
      <c r="I2749" s="5">
        <v>61.031436535825577</v>
      </c>
    </row>
    <row r="2750" spans="1:9" x14ac:dyDescent="0.2">
      <c r="A2750" s="5" t="s">
        <v>101</v>
      </c>
      <c r="B2750" s="5" t="s">
        <v>64</v>
      </c>
      <c r="C2750" s="5" t="s">
        <v>57</v>
      </c>
      <c r="D2750" s="5">
        <v>5120846</v>
      </c>
      <c r="E2750" s="5">
        <v>335600</v>
      </c>
      <c r="F2750" s="5">
        <v>305005725</v>
      </c>
      <c r="G2750" s="5">
        <v>6.5536046192367436</v>
      </c>
      <c r="H2750" s="5">
        <v>908.83708283671035</v>
      </c>
      <c r="I2750" s="5">
        <v>59.561589042123117</v>
      </c>
    </row>
    <row r="2751" spans="1:9" x14ac:dyDescent="0.2">
      <c r="A2751" s="5" t="s">
        <v>101</v>
      </c>
      <c r="B2751" s="5" t="s">
        <v>64</v>
      </c>
      <c r="C2751" s="5" t="s">
        <v>58</v>
      </c>
      <c r="D2751" s="5">
        <v>5138239</v>
      </c>
      <c r="E2751" s="5">
        <v>336955</v>
      </c>
      <c r="F2751" s="5">
        <v>300437763</v>
      </c>
      <c r="G2751" s="5">
        <v>6.5577914923770573</v>
      </c>
      <c r="H2751" s="5">
        <v>891.62577495511266</v>
      </c>
      <c r="I2751" s="5">
        <v>58.470959213847387</v>
      </c>
    </row>
    <row r="2752" spans="1:9" x14ac:dyDescent="0.2">
      <c r="A2752" s="5" t="s">
        <v>101</v>
      </c>
      <c r="B2752" s="5" t="s">
        <v>64</v>
      </c>
      <c r="C2752" s="5" t="s">
        <v>59</v>
      </c>
      <c r="D2752" s="5">
        <v>5153047</v>
      </c>
      <c r="E2752" s="5">
        <v>341357</v>
      </c>
      <c r="F2752" s="5">
        <v>300304445</v>
      </c>
      <c r="G2752" s="5">
        <v>6.6243719492564299</v>
      </c>
      <c r="H2752" s="5">
        <v>879.73718130871782</v>
      </c>
      <c r="I2752" s="5">
        <v>58.27706306579389</v>
      </c>
    </row>
    <row r="2753" spans="1:9" x14ac:dyDescent="0.2">
      <c r="A2753" s="5" t="s">
        <v>101</v>
      </c>
      <c r="B2753" s="5" t="s">
        <v>64</v>
      </c>
      <c r="C2753" s="5" t="s">
        <v>60</v>
      </c>
      <c r="D2753" s="5">
        <v>5166217</v>
      </c>
      <c r="E2753" s="5">
        <v>343064</v>
      </c>
      <c r="F2753" s="5">
        <v>301105103</v>
      </c>
      <c r="G2753" s="5">
        <v>6.6405263270977581</v>
      </c>
      <c r="H2753" s="5">
        <v>877.69367523260962</v>
      </c>
      <c r="I2753" s="5">
        <v>58.283479575093345</v>
      </c>
    </row>
    <row r="2754" spans="1:9" x14ac:dyDescent="0.2">
      <c r="A2754" s="5" t="s">
        <v>101</v>
      </c>
      <c r="B2754" s="5" t="s">
        <v>64</v>
      </c>
      <c r="C2754" s="5" t="s">
        <v>61</v>
      </c>
      <c r="D2754" s="5">
        <v>5183265</v>
      </c>
      <c r="E2754" s="5">
        <v>344711</v>
      </c>
      <c r="F2754" s="5">
        <v>309744587</v>
      </c>
      <c r="G2754" s="5">
        <v>6.6504606652370661</v>
      </c>
      <c r="H2754" s="5">
        <v>898.56310648630301</v>
      </c>
      <c r="I2754" s="5">
        <v>59.758585949203834</v>
      </c>
    </row>
    <row r="2755" spans="1:9" x14ac:dyDescent="0.2">
      <c r="A2755" s="5" t="s">
        <v>101</v>
      </c>
      <c r="B2755" s="5" t="s">
        <v>64</v>
      </c>
      <c r="C2755" s="5" t="s">
        <v>62</v>
      </c>
      <c r="D2755" s="5">
        <v>5205064</v>
      </c>
      <c r="E2755" s="5">
        <v>341343</v>
      </c>
      <c r="F2755" s="5">
        <v>313783657</v>
      </c>
      <c r="G2755" s="5">
        <v>6.5579020738265656</v>
      </c>
      <c r="H2755" s="5">
        <v>919.26202382940323</v>
      </c>
      <c r="I2755" s="5">
        <v>60.284303324608494</v>
      </c>
    </row>
    <row r="2756" spans="1:9" x14ac:dyDescent="0.2">
      <c r="A2756" s="5" t="s">
        <v>101</v>
      </c>
      <c r="B2756" s="5" t="s">
        <v>65</v>
      </c>
      <c r="C2756" s="5" t="s">
        <v>45</v>
      </c>
      <c r="D2756" s="5">
        <v>4024601</v>
      </c>
      <c r="E2756" s="5">
        <v>295907</v>
      </c>
      <c r="F2756" s="5">
        <v>788020089</v>
      </c>
      <c r="G2756" s="5">
        <v>7.3524555601909354</v>
      </c>
      <c r="H2756" s="5">
        <v>2663.0667371843178</v>
      </c>
      <c r="I2756" s="5">
        <v>195.80079838970371</v>
      </c>
    </row>
    <row r="2757" spans="1:9" x14ac:dyDescent="0.2">
      <c r="A2757" s="5" t="s">
        <v>101</v>
      </c>
      <c r="B2757" s="5" t="s">
        <v>65</v>
      </c>
      <c r="C2757" s="5" t="s">
        <v>46</v>
      </c>
      <c r="D2757" s="5">
        <v>4085233</v>
      </c>
      <c r="E2757" s="5">
        <v>293249</v>
      </c>
      <c r="F2757" s="5">
        <v>784284661</v>
      </c>
      <c r="G2757" s="5">
        <v>7.1782686568917855</v>
      </c>
      <c r="H2757" s="5">
        <v>2674.4666171069639</v>
      </c>
      <c r="I2757" s="5">
        <v>191.98039891482321</v>
      </c>
    </row>
    <row r="2758" spans="1:9" x14ac:dyDescent="0.2">
      <c r="A2758" s="5" t="s">
        <v>101</v>
      </c>
      <c r="B2758" s="5" t="s">
        <v>65</v>
      </c>
      <c r="C2758" s="5" t="s">
        <v>47</v>
      </c>
      <c r="D2758" s="5">
        <v>4146594</v>
      </c>
      <c r="E2758" s="5">
        <v>296326</v>
      </c>
      <c r="F2758" s="5">
        <v>802829185</v>
      </c>
      <c r="G2758" s="5">
        <v>7.1462506336525831</v>
      </c>
      <c r="H2758" s="5">
        <v>2709.2768943663395</v>
      </c>
      <c r="I2758" s="5">
        <v>193.61171723105758</v>
      </c>
    </row>
    <row r="2759" spans="1:9" x14ac:dyDescent="0.2">
      <c r="A2759" s="5" t="s">
        <v>101</v>
      </c>
      <c r="B2759" s="5" t="s">
        <v>65</v>
      </c>
      <c r="C2759" s="5" t="s">
        <v>48</v>
      </c>
      <c r="D2759" s="5">
        <v>4203901</v>
      </c>
      <c r="E2759" s="5">
        <v>299116</v>
      </c>
      <c r="F2759" s="5">
        <v>819039723</v>
      </c>
      <c r="G2759" s="5">
        <v>7.1152008574892704</v>
      </c>
      <c r="H2759" s="5">
        <v>2738.2009755412614</v>
      </c>
      <c r="I2759" s="5">
        <v>194.8284992914914</v>
      </c>
    </row>
    <row r="2760" spans="1:9" x14ac:dyDescent="0.2">
      <c r="A2760" s="5" t="s">
        <v>101</v>
      </c>
      <c r="B2760" s="5" t="s">
        <v>65</v>
      </c>
      <c r="C2760" s="5" t="s">
        <v>49</v>
      </c>
      <c r="D2760" s="5">
        <v>4244395</v>
      </c>
      <c r="E2760" s="5">
        <v>301841</v>
      </c>
      <c r="F2760" s="5">
        <v>839282834</v>
      </c>
      <c r="G2760" s="5">
        <v>7.1115200163980967</v>
      </c>
      <c r="H2760" s="5">
        <v>2780.5461617209062</v>
      </c>
      <c r="I2760" s="5">
        <v>197.73909685597124</v>
      </c>
    </row>
    <row r="2761" spans="1:9" x14ac:dyDescent="0.2">
      <c r="A2761" s="5" t="s">
        <v>101</v>
      </c>
      <c r="B2761" s="5" t="s">
        <v>65</v>
      </c>
      <c r="C2761" s="5" t="s">
        <v>50</v>
      </c>
      <c r="D2761" s="5">
        <v>4276588</v>
      </c>
      <c r="E2761" s="5">
        <v>308338</v>
      </c>
      <c r="F2761" s="5">
        <v>866697153</v>
      </c>
      <c r="G2761" s="5">
        <v>7.2099065890845697</v>
      </c>
      <c r="H2761" s="5">
        <v>2810.8671425513558</v>
      </c>
      <c r="I2761" s="5">
        <v>202.66089532122336</v>
      </c>
    </row>
    <row r="2762" spans="1:9" x14ac:dyDescent="0.2">
      <c r="A2762" s="5" t="s">
        <v>101</v>
      </c>
      <c r="B2762" s="5" t="s">
        <v>65</v>
      </c>
      <c r="C2762" s="5" t="s">
        <v>51</v>
      </c>
      <c r="D2762" s="5">
        <v>4306175</v>
      </c>
      <c r="E2762" s="5">
        <v>307837</v>
      </c>
      <c r="F2762" s="5">
        <v>864812807</v>
      </c>
      <c r="G2762" s="5">
        <v>7.1487340853541719</v>
      </c>
      <c r="H2762" s="5">
        <v>2809.320539766175</v>
      </c>
      <c r="I2762" s="5">
        <v>200.83085499312034</v>
      </c>
    </row>
    <row r="2763" spans="1:9" x14ac:dyDescent="0.2">
      <c r="A2763" s="5" t="s">
        <v>101</v>
      </c>
      <c r="B2763" s="5" t="s">
        <v>65</v>
      </c>
      <c r="C2763" s="5" t="s">
        <v>52</v>
      </c>
      <c r="D2763" s="5">
        <v>4335737</v>
      </c>
      <c r="E2763" s="5">
        <v>305209</v>
      </c>
      <c r="F2763" s="5">
        <v>859486535</v>
      </c>
      <c r="G2763" s="5">
        <v>7.0393799254890226</v>
      </c>
      <c r="H2763" s="5">
        <v>2816.0589464924037</v>
      </c>
      <c r="I2763" s="5">
        <v>198.23308816932393</v>
      </c>
    </row>
    <row r="2764" spans="1:9" x14ac:dyDescent="0.2">
      <c r="A2764" s="5" t="s">
        <v>101</v>
      </c>
      <c r="B2764" s="5" t="s">
        <v>65</v>
      </c>
      <c r="C2764" s="5" t="s">
        <v>53</v>
      </c>
      <c r="D2764" s="5">
        <v>4371596</v>
      </c>
      <c r="E2764" s="5">
        <v>301900</v>
      </c>
      <c r="F2764" s="5">
        <v>840106278</v>
      </c>
      <c r="G2764" s="5">
        <v>6.9059446481330848</v>
      </c>
      <c r="H2764" s="5">
        <v>2782.7303014243125</v>
      </c>
      <c r="I2764" s="5">
        <v>192.17381432318999</v>
      </c>
    </row>
    <row r="2765" spans="1:9" x14ac:dyDescent="0.2">
      <c r="A2765" s="5" t="s">
        <v>101</v>
      </c>
      <c r="B2765" s="5" t="s">
        <v>65</v>
      </c>
      <c r="C2765" s="5" t="s">
        <v>54</v>
      </c>
      <c r="D2765" s="5">
        <v>4410831</v>
      </c>
      <c r="E2765" s="5">
        <v>298329</v>
      </c>
      <c r="F2765" s="5">
        <v>833240407</v>
      </c>
      <c r="G2765" s="5">
        <v>6.763555438873083</v>
      </c>
      <c r="H2765" s="5">
        <v>2793.0251735500069</v>
      </c>
      <c r="I2765" s="5">
        <v>188.90780603473587</v>
      </c>
    </row>
    <row r="2766" spans="1:9" x14ac:dyDescent="0.2">
      <c r="A2766" s="5" t="s">
        <v>101</v>
      </c>
      <c r="B2766" s="5" t="s">
        <v>65</v>
      </c>
      <c r="C2766" s="5" t="s">
        <v>55</v>
      </c>
      <c r="D2766" s="5">
        <v>4451695</v>
      </c>
      <c r="E2766" s="5">
        <v>295518</v>
      </c>
      <c r="F2766" s="5">
        <v>819001552</v>
      </c>
      <c r="G2766" s="5">
        <v>6.6383254018974798</v>
      </c>
      <c r="H2766" s="5">
        <v>2771.4100393207859</v>
      </c>
      <c r="I2766" s="5">
        <v>183.97521663096865</v>
      </c>
    </row>
    <row r="2767" spans="1:9" x14ac:dyDescent="0.2">
      <c r="A2767" s="5" t="s">
        <v>101</v>
      </c>
      <c r="B2767" s="5" t="s">
        <v>65</v>
      </c>
      <c r="C2767" s="5" t="s">
        <v>56</v>
      </c>
      <c r="D2767" s="5">
        <v>4491679</v>
      </c>
      <c r="E2767" s="5">
        <v>292482</v>
      </c>
      <c r="F2767" s="5">
        <v>813864366</v>
      </c>
      <c r="G2767" s="5">
        <v>6.5116407472573172</v>
      </c>
      <c r="H2767" s="5">
        <v>2782.6135146778265</v>
      </c>
      <c r="I2767" s="5">
        <v>181.1937954604503</v>
      </c>
    </row>
    <row r="2768" spans="1:9" x14ac:dyDescent="0.2">
      <c r="A2768" s="5" t="s">
        <v>101</v>
      </c>
      <c r="B2768" s="5" t="s">
        <v>65</v>
      </c>
      <c r="C2768" s="5" t="s">
        <v>57</v>
      </c>
      <c r="D2768" s="5">
        <v>4526330</v>
      </c>
      <c r="E2768" s="5">
        <v>289326</v>
      </c>
      <c r="F2768" s="5">
        <v>813680810</v>
      </c>
      <c r="G2768" s="5">
        <v>6.3920659783975093</v>
      </c>
      <c r="H2768" s="5">
        <v>2812.3321443631062</v>
      </c>
      <c r="I2768" s="5">
        <v>179.76612619937123</v>
      </c>
    </row>
    <row r="2769" spans="1:9" x14ac:dyDescent="0.2">
      <c r="A2769" s="5" t="s">
        <v>101</v>
      </c>
      <c r="B2769" s="5" t="s">
        <v>65</v>
      </c>
      <c r="C2769" s="5" t="s">
        <v>58</v>
      </c>
      <c r="D2769" s="5">
        <v>4553626</v>
      </c>
      <c r="E2769" s="5">
        <v>287838</v>
      </c>
      <c r="F2769" s="5">
        <v>823732542</v>
      </c>
      <c r="G2769" s="5">
        <v>6.3210724815784172</v>
      </c>
      <c r="H2769" s="5">
        <v>2861.7921956100308</v>
      </c>
      <c r="I2769" s="5">
        <v>180.89595895666443</v>
      </c>
    </row>
    <row r="2770" spans="1:9" x14ac:dyDescent="0.2">
      <c r="A2770" s="5" t="s">
        <v>101</v>
      </c>
      <c r="B2770" s="5" t="s">
        <v>65</v>
      </c>
      <c r="C2770" s="5" t="s">
        <v>59</v>
      </c>
      <c r="D2770" s="5">
        <v>4577673</v>
      </c>
      <c r="E2770" s="5">
        <v>288408</v>
      </c>
      <c r="F2770" s="5">
        <v>839140671</v>
      </c>
      <c r="G2770" s="5">
        <v>6.30031896118399</v>
      </c>
      <c r="H2770" s="5">
        <v>2909.5610073229591</v>
      </c>
      <c r="I2770" s="5">
        <v>183.31162383158431</v>
      </c>
    </row>
    <row r="2771" spans="1:9" x14ac:dyDescent="0.2">
      <c r="A2771" s="5" t="s">
        <v>101</v>
      </c>
      <c r="B2771" s="5" t="s">
        <v>65</v>
      </c>
      <c r="C2771" s="5" t="s">
        <v>60</v>
      </c>
      <c r="D2771" s="5">
        <v>4601997</v>
      </c>
      <c r="E2771" s="5">
        <v>290218</v>
      </c>
      <c r="F2771" s="5">
        <v>852277457</v>
      </c>
      <c r="G2771" s="5">
        <v>6.3063491784110246</v>
      </c>
      <c r="H2771" s="5">
        <v>2936.6802093598603</v>
      </c>
      <c r="I2771" s="5">
        <v>185.19730825552472</v>
      </c>
    </row>
    <row r="2772" spans="1:9" x14ac:dyDescent="0.2">
      <c r="A2772" s="5" t="s">
        <v>101</v>
      </c>
      <c r="B2772" s="5" t="s">
        <v>65</v>
      </c>
      <c r="C2772" s="5" t="s">
        <v>61</v>
      </c>
      <c r="D2772" s="5">
        <v>4628749</v>
      </c>
      <c r="E2772" s="5">
        <v>292228</v>
      </c>
      <c r="F2772" s="5">
        <v>869278258</v>
      </c>
      <c r="G2772" s="5">
        <v>6.3133256955605068</v>
      </c>
      <c r="H2772" s="5">
        <v>2974.657657719315</v>
      </c>
      <c r="I2772" s="5">
        <v>187.79982625975182</v>
      </c>
    </row>
    <row r="2773" spans="1:9" x14ac:dyDescent="0.2">
      <c r="A2773" s="5" t="s">
        <v>101</v>
      </c>
      <c r="B2773" s="5" t="s">
        <v>65</v>
      </c>
      <c r="C2773" s="5" t="s">
        <v>62</v>
      </c>
      <c r="D2773" s="5">
        <v>4661050</v>
      </c>
      <c r="E2773" s="5">
        <v>288325</v>
      </c>
      <c r="F2773" s="5">
        <v>867086258</v>
      </c>
      <c r="G2773" s="5">
        <v>6.1858379549672282</v>
      </c>
      <c r="H2773" s="5">
        <v>3007.3224937136911</v>
      </c>
      <c r="I2773" s="5">
        <v>186.02809624440846</v>
      </c>
    </row>
    <row r="2774" spans="1:9" x14ac:dyDescent="0.2">
      <c r="A2774" s="5" t="s">
        <v>102</v>
      </c>
      <c r="B2774" s="5" t="s">
        <v>44</v>
      </c>
      <c r="C2774" s="5" t="s">
        <v>45</v>
      </c>
      <c r="D2774" s="5">
        <v>3716621</v>
      </c>
      <c r="E2774" s="5">
        <v>39420</v>
      </c>
      <c r="F2774" s="5">
        <v>337392029</v>
      </c>
      <c r="G2774" s="5">
        <v>1.0606408347797636</v>
      </c>
      <c r="H2774" s="5">
        <v>8558.9048452562147</v>
      </c>
      <c r="I2774" s="5">
        <v>90.779239798731155</v>
      </c>
    </row>
    <row r="2775" spans="1:9" x14ac:dyDescent="0.2">
      <c r="A2775" s="5" t="s">
        <v>102</v>
      </c>
      <c r="B2775" s="5" t="s">
        <v>44</v>
      </c>
      <c r="C2775" s="5" t="s">
        <v>46</v>
      </c>
      <c r="D2775" s="5">
        <v>3742354</v>
      </c>
      <c r="E2775" s="5">
        <v>38853</v>
      </c>
      <c r="F2775" s="5">
        <v>332995491</v>
      </c>
      <c r="G2775" s="5">
        <v>1.0381968140908102</v>
      </c>
      <c r="H2775" s="5">
        <v>8570.6506833449148</v>
      </c>
      <c r="I2775" s="5">
        <v>88.980222341339172</v>
      </c>
    </row>
    <row r="2776" spans="1:9" x14ac:dyDescent="0.2">
      <c r="A2776" s="5" t="s">
        <v>102</v>
      </c>
      <c r="B2776" s="5" t="s">
        <v>44</v>
      </c>
      <c r="C2776" s="5" t="s">
        <v>47</v>
      </c>
      <c r="D2776" s="5">
        <v>3769589</v>
      </c>
      <c r="E2776" s="5">
        <v>38645</v>
      </c>
      <c r="F2776" s="5">
        <v>333593892</v>
      </c>
      <c r="G2776" s="5">
        <v>1.0251780764428164</v>
      </c>
      <c r="H2776" s="5">
        <v>8632.2652865829987</v>
      </c>
      <c r="I2776" s="5">
        <v>88.496091218432568</v>
      </c>
    </row>
    <row r="2777" spans="1:9" x14ac:dyDescent="0.2">
      <c r="A2777" s="5" t="s">
        <v>102</v>
      </c>
      <c r="B2777" s="5" t="s">
        <v>44</v>
      </c>
      <c r="C2777" s="5" t="s">
        <v>48</v>
      </c>
      <c r="D2777" s="5">
        <v>3798242</v>
      </c>
      <c r="E2777" s="5">
        <v>39060</v>
      </c>
      <c r="F2777" s="5">
        <v>335893851</v>
      </c>
      <c r="G2777" s="5">
        <v>1.0283704935072595</v>
      </c>
      <c r="H2777" s="5">
        <v>8599.4329493087553</v>
      </c>
      <c r="I2777" s="5">
        <v>88.434031059632318</v>
      </c>
    </row>
    <row r="2778" spans="1:9" x14ac:dyDescent="0.2">
      <c r="A2778" s="5" t="s">
        <v>102</v>
      </c>
      <c r="B2778" s="5" t="s">
        <v>44</v>
      </c>
      <c r="C2778" s="5" t="s">
        <v>49</v>
      </c>
      <c r="D2778" s="5">
        <v>3815831</v>
      </c>
      <c r="E2778" s="5">
        <v>38437</v>
      </c>
      <c r="F2778" s="5">
        <v>331521926</v>
      </c>
      <c r="G2778" s="5">
        <v>1.0073035205175491</v>
      </c>
      <c r="H2778" s="5">
        <v>8625.0728724926503</v>
      </c>
      <c r="I2778" s="5">
        <v>86.880662691822565</v>
      </c>
    </row>
    <row r="2779" spans="1:9" x14ac:dyDescent="0.2">
      <c r="A2779" s="5" t="s">
        <v>102</v>
      </c>
      <c r="B2779" s="5" t="s">
        <v>44</v>
      </c>
      <c r="C2779" s="5" t="s">
        <v>50</v>
      </c>
      <c r="D2779" s="5">
        <v>3825068</v>
      </c>
      <c r="E2779" s="5">
        <v>38722</v>
      </c>
      <c r="F2779" s="5">
        <v>338421024</v>
      </c>
      <c r="G2779" s="5">
        <v>1.0123218724477578</v>
      </c>
      <c r="H2779" s="5">
        <v>8739.7609627601887</v>
      </c>
      <c r="I2779" s="5">
        <v>88.474511825672124</v>
      </c>
    </row>
    <row r="2780" spans="1:9" x14ac:dyDescent="0.2">
      <c r="A2780" s="5" t="s">
        <v>102</v>
      </c>
      <c r="B2780" s="5" t="s">
        <v>44</v>
      </c>
      <c r="C2780" s="5" t="s">
        <v>51</v>
      </c>
      <c r="D2780" s="5">
        <v>3834820</v>
      </c>
      <c r="E2780" s="5">
        <v>38856</v>
      </c>
      <c r="F2780" s="5">
        <v>345747932</v>
      </c>
      <c r="G2780" s="5">
        <v>1.0132418209981173</v>
      </c>
      <c r="H2780" s="5">
        <v>8898.1864319538818</v>
      </c>
      <c r="I2780" s="5">
        <v>90.160146238936903</v>
      </c>
    </row>
    <row r="2781" spans="1:9" x14ac:dyDescent="0.2">
      <c r="A2781" s="5" t="s">
        <v>102</v>
      </c>
      <c r="B2781" s="5" t="s">
        <v>44</v>
      </c>
      <c r="C2781" s="5" t="s">
        <v>52</v>
      </c>
      <c r="D2781" s="5">
        <v>3841190</v>
      </c>
      <c r="E2781" s="5">
        <v>38337</v>
      </c>
      <c r="F2781" s="5">
        <v>344613907</v>
      </c>
      <c r="G2781" s="5">
        <v>0.99805008343768464</v>
      </c>
      <c r="H2781" s="5">
        <v>8989.0681847823253</v>
      </c>
      <c r="I2781" s="5">
        <v>89.715402518490365</v>
      </c>
    </row>
    <row r="2782" spans="1:9" x14ac:dyDescent="0.2">
      <c r="A2782" s="5" t="s">
        <v>102</v>
      </c>
      <c r="B2782" s="5" t="s">
        <v>44</v>
      </c>
      <c r="C2782" s="5" t="s">
        <v>53</v>
      </c>
      <c r="D2782" s="5">
        <v>3853498</v>
      </c>
      <c r="E2782" s="5">
        <v>38404</v>
      </c>
      <c r="F2782" s="5">
        <v>345865799</v>
      </c>
      <c r="G2782" s="5">
        <v>0.99660101030284687</v>
      </c>
      <c r="H2782" s="5">
        <v>9005.9837256535775</v>
      </c>
      <c r="I2782" s="5">
        <v>89.753724797573526</v>
      </c>
    </row>
    <row r="2783" spans="1:9" x14ac:dyDescent="0.2">
      <c r="A2783" s="5" t="s">
        <v>102</v>
      </c>
      <c r="B2783" s="5" t="s">
        <v>44</v>
      </c>
      <c r="C2783" s="5" t="s">
        <v>54</v>
      </c>
      <c r="D2783" s="5">
        <v>3863677</v>
      </c>
      <c r="E2783" s="5">
        <v>38363</v>
      </c>
      <c r="F2783" s="5">
        <v>351609017</v>
      </c>
      <c r="G2783" s="5">
        <v>0.99291426276057759</v>
      </c>
      <c r="H2783" s="5">
        <v>9165.3159815447179</v>
      </c>
      <c r="I2783" s="5">
        <v>91.003729607832128</v>
      </c>
    </row>
    <row r="2784" spans="1:9" x14ac:dyDescent="0.2">
      <c r="A2784" s="5" t="s">
        <v>102</v>
      </c>
      <c r="B2784" s="5" t="s">
        <v>44</v>
      </c>
      <c r="C2784" s="5" t="s">
        <v>55</v>
      </c>
      <c r="D2784" s="5">
        <v>3877732</v>
      </c>
      <c r="E2784" s="5">
        <v>38412</v>
      </c>
      <c r="F2784" s="5">
        <v>355115419</v>
      </c>
      <c r="G2784" s="5">
        <v>0.99057902918510099</v>
      </c>
      <c r="H2784" s="5">
        <v>9244.9083359366869</v>
      </c>
      <c r="I2784" s="5">
        <v>91.578123243174105</v>
      </c>
    </row>
    <row r="2785" spans="1:9" x14ac:dyDescent="0.2">
      <c r="A2785" s="5" t="s">
        <v>102</v>
      </c>
      <c r="B2785" s="5" t="s">
        <v>44</v>
      </c>
      <c r="C2785" s="5" t="s">
        <v>56</v>
      </c>
      <c r="D2785" s="5">
        <v>3896228</v>
      </c>
      <c r="E2785" s="5">
        <v>38685</v>
      </c>
      <c r="F2785" s="5">
        <v>362590253</v>
      </c>
      <c r="G2785" s="5">
        <v>0.99288337335494736</v>
      </c>
      <c r="H2785" s="5">
        <v>9372.8900865968717</v>
      </c>
      <c r="I2785" s="5">
        <v>93.061867272654482</v>
      </c>
    </row>
    <row r="2786" spans="1:9" x14ac:dyDescent="0.2">
      <c r="A2786" s="5" t="s">
        <v>102</v>
      </c>
      <c r="B2786" s="5" t="s">
        <v>44</v>
      </c>
      <c r="C2786" s="5" t="s">
        <v>57</v>
      </c>
      <c r="D2786" s="5">
        <v>3914185</v>
      </c>
      <c r="E2786" s="5">
        <v>38737</v>
      </c>
      <c r="F2786" s="5">
        <v>364012904</v>
      </c>
      <c r="G2786" s="5">
        <v>0.98965685065984366</v>
      </c>
      <c r="H2786" s="5">
        <v>9397.0339468724997</v>
      </c>
      <c r="I2786" s="5">
        <v>92.99839021405478</v>
      </c>
    </row>
    <row r="2787" spans="1:9" x14ac:dyDescent="0.2">
      <c r="A2787" s="5" t="s">
        <v>102</v>
      </c>
      <c r="B2787" s="5" t="s">
        <v>44</v>
      </c>
      <c r="C2787" s="5" t="s">
        <v>58</v>
      </c>
      <c r="D2787" s="5">
        <v>3936868</v>
      </c>
      <c r="E2787" s="5">
        <v>38812</v>
      </c>
      <c r="F2787" s="5">
        <v>361601481</v>
      </c>
      <c r="G2787" s="5">
        <v>0.98585982562788488</v>
      </c>
      <c r="H2787" s="5">
        <v>9316.7443316500048</v>
      </c>
      <c r="I2787" s="5">
        <v>91.850039422200595</v>
      </c>
    </row>
    <row r="2788" spans="1:9" x14ac:dyDescent="0.2">
      <c r="A2788" s="5" t="s">
        <v>102</v>
      </c>
      <c r="B2788" s="5" t="s">
        <v>44</v>
      </c>
      <c r="C2788" s="5" t="s">
        <v>59</v>
      </c>
      <c r="D2788" s="5">
        <v>3960916</v>
      </c>
      <c r="E2788" s="5">
        <v>38695</v>
      </c>
      <c r="F2788" s="5">
        <v>355837941</v>
      </c>
      <c r="G2788" s="5">
        <v>0.97692049010885362</v>
      </c>
      <c r="H2788" s="5">
        <v>9195.9669466339328</v>
      </c>
      <c r="I2788" s="5">
        <v>89.837285365304396</v>
      </c>
    </row>
    <row r="2789" spans="1:9" x14ac:dyDescent="0.2">
      <c r="A2789" s="5" t="s">
        <v>102</v>
      </c>
      <c r="B2789" s="5" t="s">
        <v>44</v>
      </c>
      <c r="C2789" s="5" t="s">
        <v>60</v>
      </c>
      <c r="D2789" s="5">
        <v>3984947</v>
      </c>
      <c r="E2789" s="5">
        <v>38378</v>
      </c>
      <c r="F2789" s="5">
        <v>353541348</v>
      </c>
      <c r="G2789" s="5">
        <v>0.96307428931928074</v>
      </c>
      <c r="H2789" s="5">
        <v>9212.0836937828972</v>
      </c>
      <c r="I2789" s="5">
        <v>88.71920956539698</v>
      </c>
    </row>
    <row r="2790" spans="1:9" x14ac:dyDescent="0.2">
      <c r="A2790" s="5" t="s">
        <v>102</v>
      </c>
      <c r="B2790" s="5" t="s">
        <v>44</v>
      </c>
      <c r="C2790" s="5" t="s">
        <v>61</v>
      </c>
      <c r="D2790" s="5">
        <v>4013541</v>
      </c>
      <c r="E2790" s="5">
        <v>38107</v>
      </c>
      <c r="F2790" s="5">
        <v>357592901</v>
      </c>
      <c r="G2790" s="5">
        <v>0.94946083769917888</v>
      </c>
      <c r="H2790" s="5">
        <v>9383.9163670716662</v>
      </c>
      <c r="I2790" s="5">
        <v>89.096610947789003</v>
      </c>
    </row>
    <row r="2791" spans="1:9" x14ac:dyDescent="0.2">
      <c r="A2791" s="5" t="s">
        <v>102</v>
      </c>
      <c r="B2791" s="5" t="s">
        <v>44</v>
      </c>
      <c r="C2791" s="5" t="s">
        <v>62</v>
      </c>
      <c r="D2791" s="5">
        <v>4031805</v>
      </c>
      <c r="E2791" s="5">
        <v>37786</v>
      </c>
      <c r="F2791" s="5">
        <v>363971812</v>
      </c>
      <c r="G2791" s="5">
        <v>0.93719810357891808</v>
      </c>
      <c r="H2791" s="5">
        <v>9632.4514899698297</v>
      </c>
      <c r="I2791" s="5">
        <v>90.275152692156496</v>
      </c>
    </row>
    <row r="2792" spans="1:9" x14ac:dyDescent="0.2">
      <c r="A2792" s="5" t="s">
        <v>102</v>
      </c>
      <c r="B2792" s="5" t="s">
        <v>63</v>
      </c>
      <c r="C2792" s="5" t="s">
        <v>45</v>
      </c>
      <c r="D2792" s="5">
        <v>3716621</v>
      </c>
      <c r="E2792" s="5">
        <v>147115</v>
      </c>
      <c r="F2792" s="5">
        <v>313439374</v>
      </c>
      <c r="G2792" s="5">
        <v>3.9582997566875933</v>
      </c>
      <c r="H2792" s="5">
        <v>2130.5738639839583</v>
      </c>
      <c r="I2792" s="5">
        <v>84.334500074126467</v>
      </c>
    </row>
    <row r="2793" spans="1:9" x14ac:dyDescent="0.2">
      <c r="A2793" s="5" t="s">
        <v>102</v>
      </c>
      <c r="B2793" s="5" t="s">
        <v>63</v>
      </c>
      <c r="C2793" s="5" t="s">
        <v>46</v>
      </c>
      <c r="D2793" s="5">
        <v>3742354</v>
      </c>
      <c r="E2793" s="5">
        <v>143339</v>
      </c>
      <c r="F2793" s="5">
        <v>307371590</v>
      </c>
      <c r="G2793" s="5">
        <v>3.8301828207593402</v>
      </c>
      <c r="H2793" s="5">
        <v>2144.3681761418734</v>
      </c>
      <c r="I2793" s="5">
        <v>82.133221496416425</v>
      </c>
    </row>
    <row r="2794" spans="1:9" x14ac:dyDescent="0.2">
      <c r="A2794" s="5" t="s">
        <v>102</v>
      </c>
      <c r="B2794" s="5" t="s">
        <v>63</v>
      </c>
      <c r="C2794" s="5" t="s">
        <v>47</v>
      </c>
      <c r="D2794" s="5">
        <v>3769589</v>
      </c>
      <c r="E2794" s="5">
        <v>143375</v>
      </c>
      <c r="F2794" s="5">
        <v>309007320</v>
      </c>
      <c r="G2794" s="5">
        <v>3.8034650461893857</v>
      </c>
      <c r="H2794" s="5">
        <v>2155.2385004359198</v>
      </c>
      <c r="I2794" s="5">
        <v>81.973743026096486</v>
      </c>
    </row>
    <row r="2795" spans="1:9" x14ac:dyDescent="0.2">
      <c r="A2795" s="5" t="s">
        <v>102</v>
      </c>
      <c r="B2795" s="5" t="s">
        <v>63</v>
      </c>
      <c r="C2795" s="5" t="s">
        <v>48</v>
      </c>
      <c r="D2795" s="5">
        <v>3798242</v>
      </c>
      <c r="E2795" s="5">
        <v>145317</v>
      </c>
      <c r="F2795" s="5">
        <v>315971439</v>
      </c>
      <c r="G2795" s="5">
        <v>3.825901561827814</v>
      </c>
      <c r="H2795" s="5">
        <v>2174.3597720844773</v>
      </c>
      <c r="I2795" s="5">
        <v>83.188864479935717</v>
      </c>
    </row>
    <row r="2796" spans="1:9" x14ac:dyDescent="0.2">
      <c r="A2796" s="5" t="s">
        <v>102</v>
      </c>
      <c r="B2796" s="5" t="s">
        <v>63</v>
      </c>
      <c r="C2796" s="5" t="s">
        <v>49</v>
      </c>
      <c r="D2796" s="5">
        <v>3815831</v>
      </c>
      <c r="E2796" s="5">
        <v>144849</v>
      </c>
      <c r="F2796" s="5">
        <v>317653185</v>
      </c>
      <c r="G2796" s="5">
        <v>3.7960014476532109</v>
      </c>
      <c r="H2796" s="5">
        <v>2192.9953606859558</v>
      </c>
      <c r="I2796" s="5">
        <v>83.246135638606631</v>
      </c>
    </row>
    <row r="2797" spans="1:9" x14ac:dyDescent="0.2">
      <c r="A2797" s="5" t="s">
        <v>102</v>
      </c>
      <c r="B2797" s="5" t="s">
        <v>63</v>
      </c>
      <c r="C2797" s="5" t="s">
        <v>50</v>
      </c>
      <c r="D2797" s="5">
        <v>3825068</v>
      </c>
      <c r="E2797" s="5">
        <v>146887</v>
      </c>
      <c r="F2797" s="5">
        <v>325552694</v>
      </c>
      <c r="G2797" s="5">
        <v>3.8401147378294973</v>
      </c>
      <c r="H2797" s="5">
        <v>2216.3479000864609</v>
      </c>
      <c r="I2797" s="5">
        <v>85.110302352794776</v>
      </c>
    </row>
    <row r="2798" spans="1:9" x14ac:dyDescent="0.2">
      <c r="A2798" s="5" t="s">
        <v>102</v>
      </c>
      <c r="B2798" s="5" t="s">
        <v>63</v>
      </c>
      <c r="C2798" s="5" t="s">
        <v>51</v>
      </c>
      <c r="D2798" s="5">
        <v>3834820</v>
      </c>
      <c r="E2798" s="5">
        <v>146569</v>
      </c>
      <c r="F2798" s="5">
        <v>327760381</v>
      </c>
      <c r="G2798" s="5">
        <v>3.8220568370875294</v>
      </c>
      <c r="H2798" s="5">
        <v>2236.2189890085897</v>
      </c>
      <c r="I2798" s="5">
        <v>85.469560761652431</v>
      </c>
    </row>
    <row r="2799" spans="1:9" x14ac:dyDescent="0.2">
      <c r="A2799" s="5" t="s">
        <v>102</v>
      </c>
      <c r="B2799" s="5" t="s">
        <v>63</v>
      </c>
      <c r="C2799" s="5" t="s">
        <v>52</v>
      </c>
      <c r="D2799" s="5">
        <v>3841190</v>
      </c>
      <c r="E2799" s="5">
        <v>145237</v>
      </c>
      <c r="F2799" s="5">
        <v>325962885</v>
      </c>
      <c r="G2799" s="5">
        <v>3.7810418125632941</v>
      </c>
      <c r="H2799" s="5">
        <v>2244.3515426509775</v>
      </c>
      <c r="I2799" s="5">
        <v>84.859870248542762</v>
      </c>
    </row>
    <row r="2800" spans="1:9" x14ac:dyDescent="0.2">
      <c r="A2800" s="5" t="s">
        <v>102</v>
      </c>
      <c r="B2800" s="5" t="s">
        <v>63</v>
      </c>
      <c r="C2800" s="5" t="s">
        <v>53</v>
      </c>
      <c r="D2800" s="5">
        <v>3853498</v>
      </c>
      <c r="E2800" s="5">
        <v>144904</v>
      </c>
      <c r="F2800" s="5">
        <v>326922408</v>
      </c>
      <c r="G2800" s="5">
        <v>3.7603237370306148</v>
      </c>
      <c r="H2800" s="5">
        <v>2256.1310108761663</v>
      </c>
      <c r="I2800" s="5">
        <v>84.837829940485236</v>
      </c>
    </row>
    <row r="2801" spans="1:9" x14ac:dyDescent="0.2">
      <c r="A2801" s="5" t="s">
        <v>102</v>
      </c>
      <c r="B2801" s="5" t="s">
        <v>63</v>
      </c>
      <c r="C2801" s="5" t="s">
        <v>54</v>
      </c>
      <c r="D2801" s="5">
        <v>3863677</v>
      </c>
      <c r="E2801" s="5">
        <v>143675</v>
      </c>
      <c r="F2801" s="5">
        <v>325075647</v>
      </c>
      <c r="G2801" s="5">
        <v>3.718607947817584</v>
      </c>
      <c r="H2801" s="5">
        <v>2262.5762797981556</v>
      </c>
      <c r="I2801" s="5">
        <v>84.136341366009631</v>
      </c>
    </row>
    <row r="2802" spans="1:9" x14ac:dyDescent="0.2">
      <c r="A2802" s="5" t="s">
        <v>102</v>
      </c>
      <c r="B2802" s="5" t="s">
        <v>63</v>
      </c>
      <c r="C2802" s="5" t="s">
        <v>55</v>
      </c>
      <c r="D2802" s="5">
        <v>3877732</v>
      </c>
      <c r="E2802" s="5">
        <v>143106</v>
      </c>
      <c r="F2802" s="5">
        <v>324798685</v>
      </c>
      <c r="G2802" s="5">
        <v>3.6904561738665795</v>
      </c>
      <c r="H2802" s="5">
        <v>2269.6370871941081</v>
      </c>
      <c r="I2802" s="5">
        <v>83.759962008720564</v>
      </c>
    </row>
    <row r="2803" spans="1:9" x14ac:dyDescent="0.2">
      <c r="A2803" s="5" t="s">
        <v>102</v>
      </c>
      <c r="B2803" s="5" t="s">
        <v>63</v>
      </c>
      <c r="C2803" s="5" t="s">
        <v>56</v>
      </c>
      <c r="D2803" s="5">
        <v>3896228</v>
      </c>
      <c r="E2803" s="5">
        <v>142984</v>
      </c>
      <c r="F2803" s="5">
        <v>325829701</v>
      </c>
      <c r="G2803" s="5">
        <v>3.6698057711201706</v>
      </c>
      <c r="H2803" s="5">
        <v>2278.7843465003079</v>
      </c>
      <c r="I2803" s="5">
        <v>83.626959459251353</v>
      </c>
    </row>
    <row r="2804" spans="1:9" x14ac:dyDescent="0.2">
      <c r="A2804" s="5" t="s">
        <v>102</v>
      </c>
      <c r="B2804" s="5" t="s">
        <v>63</v>
      </c>
      <c r="C2804" s="5" t="s">
        <v>57</v>
      </c>
      <c r="D2804" s="5">
        <v>3914185</v>
      </c>
      <c r="E2804" s="5">
        <v>142307</v>
      </c>
      <c r="F2804" s="5">
        <v>326103557</v>
      </c>
      <c r="G2804" s="5">
        <v>3.6356738375932665</v>
      </c>
      <c r="H2804" s="5">
        <v>2291.5496567280597</v>
      </c>
      <c r="I2804" s="5">
        <v>83.31327134512037</v>
      </c>
    </row>
    <row r="2805" spans="1:9" x14ac:dyDescent="0.2">
      <c r="A2805" s="5" t="s">
        <v>102</v>
      </c>
      <c r="B2805" s="5" t="s">
        <v>63</v>
      </c>
      <c r="C2805" s="5" t="s">
        <v>58</v>
      </c>
      <c r="D2805" s="5">
        <v>3936868</v>
      </c>
      <c r="E2805" s="5">
        <v>144860</v>
      </c>
      <c r="F2805" s="5">
        <v>333105184</v>
      </c>
      <c r="G2805" s="5">
        <v>3.6795747279309339</v>
      </c>
      <c r="H2805" s="5">
        <v>2299.4973353582768</v>
      </c>
      <c r="I2805" s="5">
        <v>84.611722821288396</v>
      </c>
    </row>
    <row r="2806" spans="1:9" x14ac:dyDescent="0.2">
      <c r="A2806" s="5" t="s">
        <v>102</v>
      </c>
      <c r="B2806" s="5" t="s">
        <v>63</v>
      </c>
      <c r="C2806" s="5" t="s">
        <v>59</v>
      </c>
      <c r="D2806" s="5">
        <v>3960916</v>
      </c>
      <c r="E2806" s="5">
        <v>146118</v>
      </c>
      <c r="F2806" s="5">
        <v>336717932</v>
      </c>
      <c r="G2806" s="5">
        <v>3.6889951718238914</v>
      </c>
      <c r="H2806" s="5">
        <v>2304.4247252220807</v>
      </c>
      <c r="I2806" s="5">
        <v>85.010116851758539</v>
      </c>
    </row>
    <row r="2807" spans="1:9" x14ac:dyDescent="0.2">
      <c r="A2807" s="5" t="s">
        <v>102</v>
      </c>
      <c r="B2807" s="5" t="s">
        <v>63</v>
      </c>
      <c r="C2807" s="5" t="s">
        <v>60</v>
      </c>
      <c r="D2807" s="5">
        <v>3984947</v>
      </c>
      <c r="E2807" s="5">
        <v>146371</v>
      </c>
      <c r="F2807" s="5">
        <v>337916874</v>
      </c>
      <c r="G2807" s="5">
        <v>3.6730977852403055</v>
      </c>
      <c r="H2807" s="5">
        <v>2308.6326799707595</v>
      </c>
      <c r="I2807" s="5">
        <v>84.798335837339863</v>
      </c>
    </row>
    <row r="2808" spans="1:9" x14ac:dyDescent="0.2">
      <c r="A2808" s="5" t="s">
        <v>102</v>
      </c>
      <c r="B2808" s="5" t="s">
        <v>63</v>
      </c>
      <c r="C2808" s="5" t="s">
        <v>61</v>
      </c>
      <c r="D2808" s="5">
        <v>4013541</v>
      </c>
      <c r="E2808" s="5">
        <v>145677</v>
      </c>
      <c r="F2808" s="5">
        <v>337581693</v>
      </c>
      <c r="G2808" s="5">
        <v>3.6296377687433616</v>
      </c>
      <c r="H2808" s="5">
        <v>2317.330072695072</v>
      </c>
      <c r="I2808" s="5">
        <v>84.110687544988323</v>
      </c>
    </row>
    <row r="2809" spans="1:9" x14ac:dyDescent="0.2">
      <c r="A2809" s="5" t="s">
        <v>102</v>
      </c>
      <c r="B2809" s="5" t="s">
        <v>63</v>
      </c>
      <c r="C2809" s="5" t="s">
        <v>62</v>
      </c>
      <c r="D2809" s="5">
        <v>4031805</v>
      </c>
      <c r="E2809" s="5">
        <v>141659</v>
      </c>
      <c r="F2809" s="5">
        <v>329408189</v>
      </c>
      <c r="G2809" s="5">
        <v>3.5135379811275596</v>
      </c>
      <c r="H2809" s="5">
        <v>2325.3601183122851</v>
      </c>
      <c r="I2809" s="5">
        <v>81.702410954894887</v>
      </c>
    </row>
    <row r="2810" spans="1:9" x14ac:dyDescent="0.2">
      <c r="A2810" s="5" t="s">
        <v>102</v>
      </c>
      <c r="B2810" s="5" t="s">
        <v>64</v>
      </c>
      <c r="C2810" s="5" t="s">
        <v>45</v>
      </c>
      <c r="D2810" s="5">
        <v>3446893</v>
      </c>
      <c r="E2810" s="5">
        <v>214017</v>
      </c>
      <c r="F2810" s="5">
        <v>203841833</v>
      </c>
      <c r="G2810" s="5">
        <v>6.2089829884478576</v>
      </c>
      <c r="H2810" s="5">
        <v>952.45626749276926</v>
      </c>
      <c r="I2810" s="5">
        <v>59.137847621031462</v>
      </c>
    </row>
    <row r="2811" spans="1:9" x14ac:dyDescent="0.2">
      <c r="A2811" s="5" t="s">
        <v>102</v>
      </c>
      <c r="B2811" s="5" t="s">
        <v>64</v>
      </c>
      <c r="C2811" s="5" t="s">
        <v>46</v>
      </c>
      <c r="D2811" s="5">
        <v>3465948</v>
      </c>
      <c r="E2811" s="5">
        <v>211832</v>
      </c>
      <c r="F2811" s="5">
        <v>206179011</v>
      </c>
      <c r="G2811" s="5">
        <v>6.1118054858295627</v>
      </c>
      <c r="H2811" s="5">
        <v>973.31381000037766</v>
      </c>
      <c r="I2811" s="5">
        <v>59.487046833939807</v>
      </c>
    </row>
    <row r="2812" spans="1:9" x14ac:dyDescent="0.2">
      <c r="A2812" s="5" t="s">
        <v>102</v>
      </c>
      <c r="B2812" s="5" t="s">
        <v>64</v>
      </c>
      <c r="C2812" s="5" t="s">
        <v>47</v>
      </c>
      <c r="D2812" s="5">
        <v>3486213</v>
      </c>
      <c r="E2812" s="5">
        <v>207162</v>
      </c>
      <c r="F2812" s="5">
        <v>202708848</v>
      </c>
      <c r="G2812" s="5">
        <v>5.9423219407420032</v>
      </c>
      <c r="H2812" s="5">
        <v>978.5040113534335</v>
      </c>
      <c r="I2812" s="5">
        <v>58.145858557695703</v>
      </c>
    </row>
    <row r="2813" spans="1:9" x14ac:dyDescent="0.2">
      <c r="A2813" s="5" t="s">
        <v>102</v>
      </c>
      <c r="B2813" s="5" t="s">
        <v>64</v>
      </c>
      <c r="C2813" s="5" t="s">
        <v>48</v>
      </c>
      <c r="D2813" s="5">
        <v>3506374</v>
      </c>
      <c r="E2813" s="5">
        <v>203765</v>
      </c>
      <c r="F2813" s="5">
        <v>200100752</v>
      </c>
      <c r="G2813" s="5">
        <v>5.811273982752553</v>
      </c>
      <c r="H2813" s="5">
        <v>982.01728461708342</v>
      </c>
      <c r="I2813" s="5">
        <v>57.067714967085656</v>
      </c>
    </row>
    <row r="2814" spans="1:9" x14ac:dyDescent="0.2">
      <c r="A2814" s="5" t="s">
        <v>102</v>
      </c>
      <c r="B2814" s="5" t="s">
        <v>64</v>
      </c>
      <c r="C2814" s="5" t="s">
        <v>49</v>
      </c>
      <c r="D2814" s="5">
        <v>3517418</v>
      </c>
      <c r="E2814" s="5">
        <v>202208</v>
      </c>
      <c r="F2814" s="5">
        <v>203121148</v>
      </c>
      <c r="G2814" s="5">
        <v>5.7487623023479157</v>
      </c>
      <c r="H2814" s="5">
        <v>1004.5158846336445</v>
      </c>
      <c r="I2814" s="5">
        <v>57.747230496915634</v>
      </c>
    </row>
    <row r="2815" spans="1:9" x14ac:dyDescent="0.2">
      <c r="A2815" s="5" t="s">
        <v>102</v>
      </c>
      <c r="B2815" s="5" t="s">
        <v>64</v>
      </c>
      <c r="C2815" s="5" t="s">
        <v>50</v>
      </c>
      <c r="D2815" s="5">
        <v>3522863</v>
      </c>
      <c r="E2815" s="5">
        <v>200554</v>
      </c>
      <c r="F2815" s="5">
        <v>201291491</v>
      </c>
      <c r="G2815" s="5">
        <v>5.692926463504258</v>
      </c>
      <c r="H2815" s="5">
        <v>1003.6772689649671</v>
      </c>
      <c r="I2815" s="5">
        <v>57.138608853083419</v>
      </c>
    </row>
    <row r="2816" spans="1:9" x14ac:dyDescent="0.2">
      <c r="A2816" s="5" t="s">
        <v>102</v>
      </c>
      <c r="B2816" s="5" t="s">
        <v>64</v>
      </c>
      <c r="C2816" s="5" t="s">
        <v>51</v>
      </c>
      <c r="D2816" s="5">
        <v>3525921</v>
      </c>
      <c r="E2816" s="5">
        <v>198200</v>
      </c>
      <c r="F2816" s="5">
        <v>196185390</v>
      </c>
      <c r="G2816" s="5">
        <v>5.6212263405788159</v>
      </c>
      <c r="H2816" s="5">
        <v>989.83546922300707</v>
      </c>
      <c r="I2816" s="5">
        <v>55.640892124355595</v>
      </c>
    </row>
    <row r="2817" spans="1:9" x14ac:dyDescent="0.2">
      <c r="A2817" s="5" t="s">
        <v>102</v>
      </c>
      <c r="B2817" s="5" t="s">
        <v>64</v>
      </c>
      <c r="C2817" s="5" t="s">
        <v>52</v>
      </c>
      <c r="D2817" s="5">
        <v>3525370</v>
      </c>
      <c r="E2817" s="5">
        <v>198926</v>
      </c>
      <c r="F2817" s="5">
        <v>202327144</v>
      </c>
      <c r="G2817" s="5">
        <v>5.6426984968953615</v>
      </c>
      <c r="H2817" s="5">
        <v>1017.0975337562712</v>
      </c>
      <c r="I2817" s="5">
        <v>57.391747249224906</v>
      </c>
    </row>
    <row r="2818" spans="1:9" x14ac:dyDescent="0.2">
      <c r="A2818" s="5" t="s">
        <v>102</v>
      </c>
      <c r="B2818" s="5" t="s">
        <v>64</v>
      </c>
      <c r="C2818" s="5" t="s">
        <v>53</v>
      </c>
      <c r="D2818" s="5">
        <v>3529566</v>
      </c>
      <c r="E2818" s="5">
        <v>194164</v>
      </c>
      <c r="F2818" s="5">
        <v>195694427</v>
      </c>
      <c r="G2818" s="5">
        <v>5.5010729364460103</v>
      </c>
      <c r="H2818" s="5">
        <v>1007.882135720319</v>
      </c>
      <c r="I2818" s="5">
        <v>55.444331399384517</v>
      </c>
    </row>
    <row r="2819" spans="1:9" x14ac:dyDescent="0.2">
      <c r="A2819" s="5" t="s">
        <v>102</v>
      </c>
      <c r="B2819" s="5" t="s">
        <v>64</v>
      </c>
      <c r="C2819" s="5" t="s">
        <v>54</v>
      </c>
      <c r="D2819" s="5">
        <v>3531020</v>
      </c>
      <c r="E2819" s="5">
        <v>191437</v>
      </c>
      <c r="F2819" s="5">
        <v>192196842</v>
      </c>
      <c r="G2819" s="5">
        <v>5.4215779010031095</v>
      </c>
      <c r="H2819" s="5">
        <v>1003.9691491195537</v>
      </c>
      <c r="I2819" s="5">
        <v>54.43096952155468</v>
      </c>
    </row>
    <row r="2820" spans="1:9" x14ac:dyDescent="0.2">
      <c r="A2820" s="5" t="s">
        <v>102</v>
      </c>
      <c r="B2820" s="5" t="s">
        <v>64</v>
      </c>
      <c r="C2820" s="5" t="s">
        <v>55</v>
      </c>
      <c r="D2820" s="5">
        <v>3536068</v>
      </c>
      <c r="E2820" s="5">
        <v>190096</v>
      </c>
      <c r="F2820" s="5">
        <v>194796978</v>
      </c>
      <c r="G2820" s="5">
        <v>5.3759147165721926</v>
      </c>
      <c r="H2820" s="5">
        <v>1024.729494571164</v>
      </c>
      <c r="I2820" s="5">
        <v>55.088583703707059</v>
      </c>
    </row>
    <row r="2821" spans="1:9" x14ac:dyDescent="0.2">
      <c r="A2821" s="5" t="s">
        <v>102</v>
      </c>
      <c r="B2821" s="5" t="s">
        <v>64</v>
      </c>
      <c r="C2821" s="5" t="s">
        <v>56</v>
      </c>
      <c r="D2821" s="5">
        <v>3545501</v>
      </c>
      <c r="E2821" s="5">
        <v>185102</v>
      </c>
      <c r="F2821" s="5">
        <v>186782138</v>
      </c>
      <c r="G2821" s="5">
        <v>5.2207572357192964</v>
      </c>
      <c r="H2821" s="5">
        <v>1009.0768225086709</v>
      </c>
      <c r="I2821" s="5">
        <v>52.681451225087791</v>
      </c>
    </row>
    <row r="2822" spans="1:9" x14ac:dyDescent="0.2">
      <c r="A2822" s="5" t="s">
        <v>102</v>
      </c>
      <c r="B2822" s="5" t="s">
        <v>64</v>
      </c>
      <c r="C2822" s="5" t="s">
        <v>57</v>
      </c>
      <c r="D2822" s="5">
        <v>3555044</v>
      </c>
      <c r="E2822" s="5">
        <v>182140</v>
      </c>
      <c r="F2822" s="5">
        <v>185731978</v>
      </c>
      <c r="G2822" s="5">
        <v>5.1234246327190327</v>
      </c>
      <c r="H2822" s="5">
        <v>1019.7209728780059</v>
      </c>
      <c r="I2822" s="5">
        <v>52.24463550943392</v>
      </c>
    </row>
    <row r="2823" spans="1:9" x14ac:dyDescent="0.2">
      <c r="A2823" s="5" t="s">
        <v>102</v>
      </c>
      <c r="B2823" s="5" t="s">
        <v>64</v>
      </c>
      <c r="C2823" s="5" t="s">
        <v>58</v>
      </c>
      <c r="D2823" s="5">
        <v>3569910</v>
      </c>
      <c r="E2823" s="5">
        <v>186399</v>
      </c>
      <c r="F2823" s="5">
        <v>191310329</v>
      </c>
      <c r="G2823" s="5">
        <v>5.2213921359361999</v>
      </c>
      <c r="H2823" s="5">
        <v>1026.3484728995327</v>
      </c>
      <c r="I2823" s="5">
        <v>53.589678451277486</v>
      </c>
    </row>
    <row r="2824" spans="1:9" x14ac:dyDescent="0.2">
      <c r="A2824" s="5" t="s">
        <v>102</v>
      </c>
      <c r="B2824" s="5" t="s">
        <v>64</v>
      </c>
      <c r="C2824" s="5" t="s">
        <v>59</v>
      </c>
      <c r="D2824" s="5">
        <v>3585309</v>
      </c>
      <c r="E2824" s="5">
        <v>179413</v>
      </c>
      <c r="F2824" s="5">
        <v>176438552</v>
      </c>
      <c r="G2824" s="5">
        <v>5.004115405394626</v>
      </c>
      <c r="H2824" s="5">
        <v>983.42122365714863</v>
      </c>
      <c r="I2824" s="5">
        <v>49.211532952947707</v>
      </c>
    </row>
    <row r="2825" spans="1:9" x14ac:dyDescent="0.2">
      <c r="A2825" s="5" t="s">
        <v>102</v>
      </c>
      <c r="B2825" s="5" t="s">
        <v>64</v>
      </c>
      <c r="C2825" s="5" t="s">
        <v>60</v>
      </c>
      <c r="D2825" s="5">
        <v>3601742</v>
      </c>
      <c r="E2825" s="5">
        <v>175407</v>
      </c>
      <c r="F2825" s="5">
        <v>171603053</v>
      </c>
      <c r="G2825" s="5">
        <v>4.870060098696686</v>
      </c>
      <c r="H2825" s="5">
        <v>978.31359637870776</v>
      </c>
      <c r="I2825" s="5">
        <v>47.644460097363996</v>
      </c>
    </row>
    <row r="2826" spans="1:9" x14ac:dyDescent="0.2">
      <c r="A2826" s="5" t="s">
        <v>102</v>
      </c>
      <c r="B2826" s="5" t="s">
        <v>64</v>
      </c>
      <c r="C2826" s="5" t="s">
        <v>61</v>
      </c>
      <c r="D2826" s="5">
        <v>3619763</v>
      </c>
      <c r="E2826" s="5">
        <v>173402</v>
      </c>
      <c r="F2826" s="5">
        <v>170376858</v>
      </c>
      <c r="G2826" s="5">
        <v>4.7904241244523469</v>
      </c>
      <c r="H2826" s="5">
        <v>982.55416892538722</v>
      </c>
      <c r="I2826" s="5">
        <v>47.068511944014013</v>
      </c>
    </row>
    <row r="2827" spans="1:9" x14ac:dyDescent="0.2">
      <c r="A2827" s="5" t="s">
        <v>102</v>
      </c>
      <c r="B2827" s="5" t="s">
        <v>64</v>
      </c>
      <c r="C2827" s="5" t="s">
        <v>62</v>
      </c>
      <c r="D2827" s="5">
        <v>3632200</v>
      </c>
      <c r="E2827" s="5">
        <v>164987</v>
      </c>
      <c r="F2827" s="5">
        <v>165735010</v>
      </c>
      <c r="G2827" s="5">
        <v>4.5423434832883656</v>
      </c>
      <c r="H2827" s="5">
        <v>1004.5337511440296</v>
      </c>
      <c r="I2827" s="5">
        <v>45.629373382522992</v>
      </c>
    </row>
    <row r="2828" spans="1:9" x14ac:dyDescent="0.2">
      <c r="A2828" s="5" t="s">
        <v>102</v>
      </c>
      <c r="B2828" s="5" t="s">
        <v>65</v>
      </c>
      <c r="C2828" s="5" t="s">
        <v>45</v>
      </c>
      <c r="D2828" s="5">
        <v>3158114</v>
      </c>
      <c r="E2828" s="5">
        <v>200155</v>
      </c>
      <c r="F2828" s="5">
        <v>459218177</v>
      </c>
      <c r="G2828" s="5">
        <v>6.3378016119747418</v>
      </c>
      <c r="H2828" s="5">
        <v>2294.3127925857461</v>
      </c>
      <c r="I2828" s="5">
        <v>145.40899315224212</v>
      </c>
    </row>
    <row r="2829" spans="1:9" x14ac:dyDescent="0.2">
      <c r="A2829" s="5" t="s">
        <v>102</v>
      </c>
      <c r="B2829" s="5" t="s">
        <v>65</v>
      </c>
      <c r="C2829" s="5" t="s">
        <v>46</v>
      </c>
      <c r="D2829" s="5">
        <v>3179063</v>
      </c>
      <c r="E2829" s="5">
        <v>193943</v>
      </c>
      <c r="F2829" s="5">
        <v>441035565</v>
      </c>
      <c r="G2829" s="5">
        <v>6.1006340547513531</v>
      </c>
      <c r="H2829" s="5">
        <v>2274.047348963355</v>
      </c>
      <c r="I2829" s="5">
        <v>138.73130699202878</v>
      </c>
    </row>
    <row r="2830" spans="1:9" x14ac:dyDescent="0.2">
      <c r="A2830" s="5" t="s">
        <v>102</v>
      </c>
      <c r="B2830" s="5" t="s">
        <v>65</v>
      </c>
      <c r="C2830" s="5" t="s">
        <v>47</v>
      </c>
      <c r="D2830" s="5">
        <v>3201314</v>
      </c>
      <c r="E2830" s="5">
        <v>193513</v>
      </c>
      <c r="F2830" s="5">
        <v>447274130</v>
      </c>
      <c r="G2830" s="5">
        <v>6.0447991043677689</v>
      </c>
      <c r="H2830" s="5">
        <v>2311.3389281340274</v>
      </c>
      <c r="I2830" s="5">
        <v>139.71579482674926</v>
      </c>
    </row>
    <row r="2831" spans="1:9" x14ac:dyDescent="0.2">
      <c r="A2831" s="5" t="s">
        <v>102</v>
      </c>
      <c r="B2831" s="5" t="s">
        <v>65</v>
      </c>
      <c r="C2831" s="5" t="s">
        <v>48</v>
      </c>
      <c r="D2831" s="5">
        <v>3223035</v>
      </c>
      <c r="E2831" s="5">
        <v>194786</v>
      </c>
      <c r="F2831" s="5">
        <v>454874330</v>
      </c>
      <c r="G2831" s="5">
        <v>6.0435583231333201</v>
      </c>
      <c r="H2831" s="5">
        <v>2335.2516607969774</v>
      </c>
      <c r="I2831" s="5">
        <v>141.13229611220481</v>
      </c>
    </row>
    <row r="2832" spans="1:9" x14ac:dyDescent="0.2">
      <c r="A2832" s="5" t="s">
        <v>102</v>
      </c>
      <c r="B2832" s="5" t="s">
        <v>65</v>
      </c>
      <c r="C2832" s="5" t="s">
        <v>49</v>
      </c>
      <c r="D2832" s="5">
        <v>3235034</v>
      </c>
      <c r="E2832" s="5">
        <v>192957</v>
      </c>
      <c r="F2832" s="5">
        <v>460159167</v>
      </c>
      <c r="G2832" s="5">
        <v>5.964605008788161</v>
      </c>
      <c r="H2832" s="5">
        <v>2384.7757116870598</v>
      </c>
      <c r="I2832" s="5">
        <v>142.24245154764989</v>
      </c>
    </row>
    <row r="2833" spans="1:9" x14ac:dyDescent="0.2">
      <c r="A2833" s="5" t="s">
        <v>102</v>
      </c>
      <c r="B2833" s="5" t="s">
        <v>65</v>
      </c>
      <c r="C2833" s="5" t="s">
        <v>50</v>
      </c>
      <c r="D2833" s="5">
        <v>3240986</v>
      </c>
      <c r="E2833" s="5">
        <v>197510</v>
      </c>
      <c r="F2833" s="5">
        <v>490360995</v>
      </c>
      <c r="G2833" s="5">
        <v>6.0941330817226609</v>
      </c>
      <c r="H2833" s="5">
        <v>2482.7147739354969</v>
      </c>
      <c r="I2833" s="5">
        <v>151.29994236321909</v>
      </c>
    </row>
    <row r="2834" spans="1:9" x14ac:dyDescent="0.2">
      <c r="A2834" s="5" t="s">
        <v>102</v>
      </c>
      <c r="B2834" s="5" t="s">
        <v>65</v>
      </c>
      <c r="C2834" s="5" t="s">
        <v>51</v>
      </c>
      <c r="D2834" s="5">
        <v>3255471</v>
      </c>
      <c r="E2834" s="5">
        <v>194922</v>
      </c>
      <c r="F2834" s="5">
        <v>485903066</v>
      </c>
      <c r="G2834" s="5">
        <v>5.9875206997697106</v>
      </c>
      <c r="H2834" s="5">
        <v>2492.8077179589786</v>
      </c>
      <c r="I2834" s="5">
        <v>149.25737811825078</v>
      </c>
    </row>
    <row r="2835" spans="1:9" x14ac:dyDescent="0.2">
      <c r="A2835" s="5" t="s">
        <v>102</v>
      </c>
      <c r="B2835" s="5" t="s">
        <v>65</v>
      </c>
      <c r="C2835" s="5" t="s">
        <v>52</v>
      </c>
      <c r="D2835" s="5">
        <v>3254468</v>
      </c>
      <c r="E2835" s="5">
        <v>191260</v>
      </c>
      <c r="F2835" s="5">
        <v>482435847</v>
      </c>
      <c r="G2835" s="5">
        <v>5.8768437729300151</v>
      </c>
      <c r="H2835" s="5">
        <v>2522.4084858308061</v>
      </c>
      <c r="I2835" s="5">
        <v>148.23800602740602</v>
      </c>
    </row>
    <row r="2836" spans="1:9" x14ac:dyDescent="0.2">
      <c r="A2836" s="5" t="s">
        <v>102</v>
      </c>
      <c r="B2836" s="5" t="s">
        <v>65</v>
      </c>
      <c r="C2836" s="5" t="s">
        <v>53</v>
      </c>
      <c r="D2836" s="5">
        <v>3257333</v>
      </c>
      <c r="E2836" s="5">
        <v>188819</v>
      </c>
      <c r="F2836" s="5">
        <v>479048230</v>
      </c>
      <c r="G2836" s="5">
        <v>5.7967361642177817</v>
      </c>
      <c r="H2836" s="5">
        <v>2537.076406505701</v>
      </c>
      <c r="I2836" s="5">
        <v>147.06762556975292</v>
      </c>
    </row>
    <row r="2837" spans="1:9" x14ac:dyDescent="0.2">
      <c r="A2837" s="5" t="s">
        <v>102</v>
      </c>
      <c r="B2837" s="5" t="s">
        <v>65</v>
      </c>
      <c r="C2837" s="5" t="s">
        <v>54</v>
      </c>
      <c r="D2837" s="5">
        <v>3257684</v>
      </c>
      <c r="E2837" s="5">
        <v>184090</v>
      </c>
      <c r="F2837" s="5">
        <v>468892830</v>
      </c>
      <c r="G2837" s="5">
        <v>5.6509471145758763</v>
      </c>
      <c r="H2837" s="5">
        <v>2547.0847411592158</v>
      </c>
      <c r="I2837" s="5">
        <v>143.93441168633913</v>
      </c>
    </row>
    <row r="2838" spans="1:9" x14ac:dyDescent="0.2">
      <c r="A2838" s="5" t="s">
        <v>102</v>
      </c>
      <c r="B2838" s="5" t="s">
        <v>65</v>
      </c>
      <c r="C2838" s="5" t="s">
        <v>55</v>
      </c>
      <c r="D2838" s="5">
        <v>3250845</v>
      </c>
      <c r="E2838" s="5">
        <v>181654</v>
      </c>
      <c r="F2838" s="5">
        <v>469882242</v>
      </c>
      <c r="G2838" s="5">
        <v>5.5879009918959532</v>
      </c>
      <c r="H2838" s="5">
        <v>2586.6881103636583</v>
      </c>
      <c r="I2838" s="5">
        <v>144.54157057626554</v>
      </c>
    </row>
    <row r="2839" spans="1:9" x14ac:dyDescent="0.2">
      <c r="A2839" s="5" t="s">
        <v>102</v>
      </c>
      <c r="B2839" s="5" t="s">
        <v>65</v>
      </c>
      <c r="C2839" s="5" t="s">
        <v>56</v>
      </c>
      <c r="D2839" s="5">
        <v>3259092</v>
      </c>
      <c r="E2839" s="5">
        <v>179741</v>
      </c>
      <c r="F2839" s="5">
        <v>467129713</v>
      </c>
      <c r="G2839" s="5">
        <v>5.5150637048601263</v>
      </c>
      <c r="H2839" s="5">
        <v>2598.9046071847824</v>
      </c>
      <c r="I2839" s="5">
        <v>143.33124471478558</v>
      </c>
    </row>
    <row r="2840" spans="1:9" x14ac:dyDescent="0.2">
      <c r="A2840" s="5" t="s">
        <v>102</v>
      </c>
      <c r="B2840" s="5" t="s">
        <v>65</v>
      </c>
      <c r="C2840" s="5" t="s">
        <v>57</v>
      </c>
      <c r="D2840" s="5">
        <v>3267725</v>
      </c>
      <c r="E2840" s="5">
        <v>177214</v>
      </c>
      <c r="F2840" s="5">
        <v>462859726</v>
      </c>
      <c r="G2840" s="5">
        <v>5.4231613737386102</v>
      </c>
      <c r="H2840" s="5">
        <v>2611.8688478336926</v>
      </c>
      <c r="I2840" s="5">
        <v>141.64586248842849</v>
      </c>
    </row>
    <row r="2841" spans="1:9" x14ac:dyDescent="0.2">
      <c r="A2841" s="5" t="s">
        <v>102</v>
      </c>
      <c r="B2841" s="5" t="s">
        <v>65</v>
      </c>
      <c r="C2841" s="5" t="s">
        <v>58</v>
      </c>
      <c r="D2841" s="5">
        <v>3280855</v>
      </c>
      <c r="E2841" s="5">
        <v>180672</v>
      </c>
      <c r="F2841" s="5">
        <v>471816374</v>
      </c>
      <c r="G2841" s="5">
        <v>5.5068572064294212</v>
      </c>
      <c r="H2841" s="5">
        <v>2611.4526545341837</v>
      </c>
      <c r="I2841" s="5">
        <v>143.8089686987081</v>
      </c>
    </row>
    <row r="2842" spans="1:9" x14ac:dyDescent="0.2">
      <c r="A2842" s="5" t="s">
        <v>102</v>
      </c>
      <c r="B2842" s="5" t="s">
        <v>65</v>
      </c>
      <c r="C2842" s="5" t="s">
        <v>59</v>
      </c>
      <c r="D2842" s="5">
        <v>3295157</v>
      </c>
      <c r="E2842" s="5">
        <v>182155</v>
      </c>
      <c r="F2842" s="5">
        <v>476446851</v>
      </c>
      <c r="G2842" s="5">
        <v>5.5279611866748688</v>
      </c>
      <c r="H2842" s="5">
        <v>2615.6122587905907</v>
      </c>
      <c r="I2842" s="5">
        <v>144.59003045985366</v>
      </c>
    </row>
    <row r="2843" spans="1:9" x14ac:dyDescent="0.2">
      <c r="A2843" s="5" t="s">
        <v>102</v>
      </c>
      <c r="B2843" s="5" t="s">
        <v>65</v>
      </c>
      <c r="C2843" s="5" t="s">
        <v>60</v>
      </c>
      <c r="D2843" s="5">
        <v>3310406</v>
      </c>
      <c r="E2843" s="5">
        <v>181884</v>
      </c>
      <c r="F2843" s="5">
        <v>473924230</v>
      </c>
      <c r="G2843" s="5">
        <v>5.4943109697118722</v>
      </c>
      <c r="H2843" s="5">
        <v>2605.6400233115614</v>
      </c>
      <c r="I2843" s="5">
        <v>143.16196563201009</v>
      </c>
    </row>
    <row r="2844" spans="1:9" x14ac:dyDescent="0.2">
      <c r="A2844" s="5" t="s">
        <v>102</v>
      </c>
      <c r="B2844" s="5" t="s">
        <v>65</v>
      </c>
      <c r="C2844" s="5" t="s">
        <v>61</v>
      </c>
      <c r="D2844" s="5">
        <v>3329883</v>
      </c>
      <c r="E2844" s="5">
        <v>182642</v>
      </c>
      <c r="F2844" s="5">
        <v>478592329</v>
      </c>
      <c r="G2844" s="5">
        <v>5.4849374587635662</v>
      </c>
      <c r="H2844" s="5">
        <v>2620.3848457638442</v>
      </c>
      <c r="I2844" s="5">
        <v>143.72646996906496</v>
      </c>
    </row>
    <row r="2845" spans="1:9" x14ac:dyDescent="0.2">
      <c r="A2845" s="5" t="s">
        <v>102</v>
      </c>
      <c r="B2845" s="5" t="s">
        <v>65</v>
      </c>
      <c r="C2845" s="5" t="s">
        <v>62</v>
      </c>
      <c r="D2845" s="5">
        <v>3341865</v>
      </c>
      <c r="E2845" s="5">
        <v>174523</v>
      </c>
      <c r="F2845" s="5">
        <v>452891435</v>
      </c>
      <c r="G2845" s="5">
        <v>5.2223234630962052</v>
      </c>
      <c r="H2845" s="5">
        <v>2595.0243520911285</v>
      </c>
      <c r="I2845" s="5">
        <v>135.52056561231527</v>
      </c>
    </row>
    <row r="2846" spans="1:9" x14ac:dyDescent="0.2">
      <c r="A2846" s="5" t="s">
        <v>103</v>
      </c>
      <c r="B2846" s="5" t="s">
        <v>44</v>
      </c>
      <c r="C2846" s="5" t="s">
        <v>45</v>
      </c>
      <c r="D2846" s="5">
        <v>1490067</v>
      </c>
      <c r="E2846" s="5">
        <v>19587</v>
      </c>
      <c r="F2846" s="5">
        <v>131695725</v>
      </c>
      <c r="G2846" s="5">
        <v>1.3145046497909154</v>
      </c>
      <c r="H2846" s="5">
        <v>6723.6291928319806</v>
      </c>
      <c r="I2846" s="5">
        <v>88.382418374475776</v>
      </c>
    </row>
    <row r="2847" spans="1:9" x14ac:dyDescent="0.2">
      <c r="A2847" s="5" t="s">
        <v>103</v>
      </c>
      <c r="B2847" s="5" t="s">
        <v>44</v>
      </c>
      <c r="C2847" s="5" t="s">
        <v>46</v>
      </c>
      <c r="D2847" s="5">
        <v>1495791</v>
      </c>
      <c r="E2847" s="5">
        <v>19386</v>
      </c>
      <c r="F2847" s="5">
        <v>130699131</v>
      </c>
      <c r="G2847" s="5">
        <v>1.2960366789210525</v>
      </c>
      <c r="H2847" s="5">
        <v>6741.9339213865678</v>
      </c>
      <c r="I2847" s="5">
        <v>87.377936489790358</v>
      </c>
    </row>
    <row r="2848" spans="1:9" x14ac:dyDescent="0.2">
      <c r="A2848" s="5" t="s">
        <v>103</v>
      </c>
      <c r="B2848" s="5" t="s">
        <v>44</v>
      </c>
      <c r="C2848" s="5" t="s">
        <v>47</v>
      </c>
      <c r="D2848" s="5">
        <v>1501859</v>
      </c>
      <c r="E2848" s="5">
        <v>19406</v>
      </c>
      <c r="F2848" s="5">
        <v>126817836</v>
      </c>
      <c r="G2848" s="5">
        <v>1.2921319511352265</v>
      </c>
      <c r="H2848" s="5">
        <v>6534.9807276100173</v>
      </c>
      <c r="I2848" s="5">
        <v>84.440573981978332</v>
      </c>
    </row>
    <row r="2849" spans="1:9" x14ac:dyDescent="0.2">
      <c r="A2849" s="5" t="s">
        <v>103</v>
      </c>
      <c r="B2849" s="5" t="s">
        <v>44</v>
      </c>
      <c r="C2849" s="5" t="s">
        <v>48</v>
      </c>
      <c r="D2849" s="5">
        <v>1505746</v>
      </c>
      <c r="E2849" s="5">
        <v>19366</v>
      </c>
      <c r="F2849" s="5">
        <v>127389860</v>
      </c>
      <c r="G2849" s="5">
        <v>1.2861398934481645</v>
      </c>
      <c r="H2849" s="5">
        <v>6578.0161107094909</v>
      </c>
      <c r="I2849" s="5">
        <v>84.602489397282142</v>
      </c>
    </row>
    <row r="2850" spans="1:9" x14ac:dyDescent="0.2">
      <c r="A2850" s="5" t="s">
        <v>103</v>
      </c>
      <c r="B2850" s="5" t="s">
        <v>44</v>
      </c>
      <c r="C2850" s="5" t="s">
        <v>49</v>
      </c>
      <c r="D2850" s="5">
        <v>1506422</v>
      </c>
      <c r="E2850" s="5">
        <v>18811</v>
      </c>
      <c r="F2850" s="5">
        <v>125160008</v>
      </c>
      <c r="G2850" s="5">
        <v>1.2487204780599328</v>
      </c>
      <c r="H2850" s="5">
        <v>6653.5541970123868</v>
      </c>
      <c r="I2850" s="5">
        <v>83.084293776909789</v>
      </c>
    </row>
    <row r="2851" spans="1:9" x14ac:dyDescent="0.2">
      <c r="A2851" s="5" t="s">
        <v>103</v>
      </c>
      <c r="B2851" s="5" t="s">
        <v>44</v>
      </c>
      <c r="C2851" s="5" t="s">
        <v>50</v>
      </c>
      <c r="D2851" s="5">
        <v>1504050</v>
      </c>
      <c r="E2851" s="5">
        <v>18621</v>
      </c>
      <c r="F2851" s="5">
        <v>127201926</v>
      </c>
      <c r="G2851" s="5">
        <v>1.2380572454373193</v>
      </c>
      <c r="H2851" s="5">
        <v>6831.100692766232</v>
      </c>
      <c r="I2851" s="5">
        <v>84.572937069911234</v>
      </c>
    </row>
    <row r="2852" spans="1:9" x14ac:dyDescent="0.2">
      <c r="A2852" s="5" t="s">
        <v>103</v>
      </c>
      <c r="B2852" s="5" t="s">
        <v>44</v>
      </c>
      <c r="C2852" s="5" t="s">
        <v>51</v>
      </c>
      <c r="D2852" s="5">
        <v>1500656</v>
      </c>
      <c r="E2852" s="5">
        <v>18513</v>
      </c>
      <c r="F2852" s="5">
        <v>130221690</v>
      </c>
      <c r="G2852" s="5">
        <v>1.2336604791504515</v>
      </c>
      <c r="H2852" s="5">
        <v>7034.0674120888025</v>
      </c>
      <c r="I2852" s="5">
        <v>86.77650973974049</v>
      </c>
    </row>
    <row r="2853" spans="1:9" x14ac:dyDescent="0.2">
      <c r="A2853" s="5" t="s">
        <v>103</v>
      </c>
      <c r="B2853" s="5" t="s">
        <v>44</v>
      </c>
      <c r="C2853" s="5" t="s">
        <v>52</v>
      </c>
      <c r="D2853" s="5">
        <v>1497896</v>
      </c>
      <c r="E2853" s="5">
        <v>18488</v>
      </c>
      <c r="F2853" s="5">
        <v>131266374</v>
      </c>
      <c r="G2853" s="5">
        <v>1.2342645951387814</v>
      </c>
      <c r="H2853" s="5">
        <v>7100.0851363046304</v>
      </c>
      <c r="I2853" s="5">
        <v>87.633837062119127</v>
      </c>
    </row>
    <row r="2854" spans="1:9" x14ac:dyDescent="0.2">
      <c r="A2854" s="5" t="s">
        <v>103</v>
      </c>
      <c r="B2854" s="5" t="s">
        <v>44</v>
      </c>
      <c r="C2854" s="5" t="s">
        <v>53</v>
      </c>
      <c r="D2854" s="5">
        <v>1497311</v>
      </c>
      <c r="E2854" s="5">
        <v>18887</v>
      </c>
      <c r="F2854" s="5">
        <v>136915832</v>
      </c>
      <c r="G2854" s="5">
        <v>1.2613945933743891</v>
      </c>
      <c r="H2854" s="5">
        <v>7249.2101445438666</v>
      </c>
      <c r="I2854" s="5">
        <v>91.441144825624065</v>
      </c>
    </row>
    <row r="2855" spans="1:9" x14ac:dyDescent="0.2">
      <c r="A2855" s="5" t="s">
        <v>103</v>
      </c>
      <c r="B2855" s="5" t="s">
        <v>44</v>
      </c>
      <c r="C2855" s="5" t="s">
        <v>54</v>
      </c>
      <c r="D2855" s="5">
        <v>1498995</v>
      </c>
      <c r="E2855" s="5">
        <v>19181</v>
      </c>
      <c r="F2855" s="5">
        <v>138365057</v>
      </c>
      <c r="G2855" s="5">
        <v>1.2795906590749135</v>
      </c>
      <c r="H2855" s="5">
        <v>7213.6518951045309</v>
      </c>
      <c r="I2855" s="5">
        <v>92.305215827938056</v>
      </c>
    </row>
    <row r="2856" spans="1:9" x14ac:dyDescent="0.2">
      <c r="A2856" s="5" t="s">
        <v>103</v>
      </c>
      <c r="B2856" s="5" t="s">
        <v>44</v>
      </c>
      <c r="C2856" s="5" t="s">
        <v>55</v>
      </c>
      <c r="D2856" s="5">
        <v>1502050</v>
      </c>
      <c r="E2856" s="5">
        <v>19137</v>
      </c>
      <c r="F2856" s="5">
        <v>138622117</v>
      </c>
      <c r="G2856" s="5">
        <v>1.2740587863253554</v>
      </c>
      <c r="H2856" s="5">
        <v>7243.670219992684</v>
      </c>
      <c r="I2856" s="5">
        <v>92.288616890249997</v>
      </c>
    </row>
    <row r="2857" spans="1:9" x14ac:dyDescent="0.2">
      <c r="A2857" s="5" t="s">
        <v>103</v>
      </c>
      <c r="B2857" s="5" t="s">
        <v>44</v>
      </c>
      <c r="C2857" s="5" t="s">
        <v>56</v>
      </c>
      <c r="D2857" s="5">
        <v>1505392</v>
      </c>
      <c r="E2857" s="5">
        <v>19053</v>
      </c>
      <c r="F2857" s="5">
        <v>140581702</v>
      </c>
      <c r="G2857" s="5">
        <v>1.2656504086643212</v>
      </c>
      <c r="H2857" s="5">
        <v>7378.4549414790317</v>
      </c>
      <c r="I2857" s="5">
        <v>93.385445119942176</v>
      </c>
    </row>
    <row r="2858" spans="1:9" x14ac:dyDescent="0.2">
      <c r="A2858" s="5" t="s">
        <v>103</v>
      </c>
      <c r="B2858" s="5" t="s">
        <v>44</v>
      </c>
      <c r="C2858" s="5" t="s">
        <v>57</v>
      </c>
      <c r="D2858" s="5">
        <v>1509210</v>
      </c>
      <c r="E2858" s="5">
        <v>18828</v>
      </c>
      <c r="F2858" s="5">
        <v>136647223</v>
      </c>
      <c r="G2858" s="5">
        <v>1.2475401037628959</v>
      </c>
      <c r="H2858" s="5">
        <v>7257.6600276184408</v>
      </c>
      <c r="I2858" s="5">
        <v>90.542219439309306</v>
      </c>
    </row>
    <row r="2859" spans="1:9" x14ac:dyDescent="0.2">
      <c r="A2859" s="5" t="s">
        <v>103</v>
      </c>
      <c r="B2859" s="5" t="s">
        <v>44</v>
      </c>
      <c r="C2859" s="5" t="s">
        <v>58</v>
      </c>
      <c r="D2859" s="5">
        <v>1513978</v>
      </c>
      <c r="E2859" s="5">
        <v>18727</v>
      </c>
      <c r="F2859" s="5">
        <v>137094744</v>
      </c>
      <c r="G2859" s="5">
        <v>1.23694003479575</v>
      </c>
      <c r="H2859" s="5">
        <v>7320.6997383457037</v>
      </c>
      <c r="I2859" s="5">
        <v>90.552665890785732</v>
      </c>
    </row>
    <row r="2860" spans="1:9" x14ac:dyDescent="0.2">
      <c r="A2860" s="5" t="s">
        <v>103</v>
      </c>
      <c r="B2860" s="5" t="s">
        <v>44</v>
      </c>
      <c r="C2860" s="5" t="s">
        <v>59</v>
      </c>
      <c r="D2860" s="5">
        <v>1519043</v>
      </c>
      <c r="E2860" s="5">
        <v>18777</v>
      </c>
      <c r="F2860" s="5">
        <v>136896841</v>
      </c>
      <c r="G2860" s="5">
        <v>1.2361072069717578</v>
      </c>
      <c r="H2860" s="5">
        <v>7290.6662938701602</v>
      </c>
      <c r="I2860" s="5">
        <v>90.120451494789805</v>
      </c>
    </row>
    <row r="2861" spans="1:9" x14ac:dyDescent="0.2">
      <c r="A2861" s="5" t="s">
        <v>103</v>
      </c>
      <c r="B2861" s="5" t="s">
        <v>44</v>
      </c>
      <c r="C2861" s="5" t="s">
        <v>60</v>
      </c>
      <c r="D2861" s="5">
        <v>1524380</v>
      </c>
      <c r="E2861" s="5">
        <v>18727</v>
      </c>
      <c r="F2861" s="5">
        <v>138586527</v>
      </c>
      <c r="G2861" s="5">
        <v>1.2284994555163411</v>
      </c>
      <c r="H2861" s="5">
        <v>7400.3592139691355</v>
      </c>
      <c r="I2861" s="5">
        <v>90.913372649864201</v>
      </c>
    </row>
    <row r="2862" spans="1:9" x14ac:dyDescent="0.2">
      <c r="A2862" s="5" t="s">
        <v>103</v>
      </c>
      <c r="B2862" s="5" t="s">
        <v>44</v>
      </c>
      <c r="C2862" s="5" t="s">
        <v>61</v>
      </c>
      <c r="D2862" s="5">
        <v>1529574</v>
      </c>
      <c r="E2862" s="5">
        <v>18196</v>
      </c>
      <c r="F2862" s="5">
        <v>141294035</v>
      </c>
      <c r="G2862" s="5">
        <v>1.1896122711290855</v>
      </c>
      <c r="H2862" s="5">
        <v>7765.1151351945482</v>
      </c>
      <c r="I2862" s="5">
        <v>92.374762515576236</v>
      </c>
    </row>
    <row r="2863" spans="1:9" x14ac:dyDescent="0.2">
      <c r="A2863" s="5" t="s">
        <v>103</v>
      </c>
      <c r="B2863" s="5" t="s">
        <v>44</v>
      </c>
      <c r="C2863" s="5" t="s">
        <v>62</v>
      </c>
      <c r="D2863" s="5">
        <v>1532551</v>
      </c>
      <c r="E2863" s="5">
        <v>17673</v>
      </c>
      <c r="F2863" s="5">
        <v>139468052</v>
      </c>
      <c r="G2863" s="5">
        <v>1.1531753266286082</v>
      </c>
      <c r="H2863" s="5">
        <v>7891.5889775363548</v>
      </c>
      <c r="I2863" s="5">
        <v>91.003856967892091</v>
      </c>
    </row>
    <row r="2864" spans="1:9" x14ac:dyDescent="0.2">
      <c r="A2864" s="5" t="s">
        <v>103</v>
      </c>
      <c r="B2864" s="5" t="s">
        <v>63</v>
      </c>
      <c r="C2864" s="5" t="s">
        <v>45</v>
      </c>
      <c r="D2864" s="5">
        <v>1490067</v>
      </c>
      <c r="E2864" s="5">
        <v>59419</v>
      </c>
      <c r="F2864" s="5">
        <v>142120859</v>
      </c>
      <c r="G2864" s="5">
        <v>3.9876730375211316</v>
      </c>
      <c r="H2864" s="5">
        <v>2391.8419865699525</v>
      </c>
      <c r="I2864" s="5">
        <v>95.378837998559803</v>
      </c>
    </row>
    <row r="2865" spans="1:9" x14ac:dyDescent="0.2">
      <c r="A2865" s="5" t="s">
        <v>103</v>
      </c>
      <c r="B2865" s="5" t="s">
        <v>63</v>
      </c>
      <c r="C2865" s="5" t="s">
        <v>46</v>
      </c>
      <c r="D2865" s="5">
        <v>1495791</v>
      </c>
      <c r="E2865" s="5">
        <v>57878</v>
      </c>
      <c r="F2865" s="5">
        <v>140491470</v>
      </c>
      <c r="G2865" s="5">
        <v>3.8693908440417144</v>
      </c>
      <c r="H2865" s="5">
        <v>2427.3725767994747</v>
      </c>
      <c r="I2865" s="5">
        <v>93.924532237458308</v>
      </c>
    </row>
    <row r="2866" spans="1:9" x14ac:dyDescent="0.2">
      <c r="A2866" s="5" t="s">
        <v>103</v>
      </c>
      <c r="B2866" s="5" t="s">
        <v>63</v>
      </c>
      <c r="C2866" s="5" t="s">
        <v>47</v>
      </c>
      <c r="D2866" s="5">
        <v>1501859</v>
      </c>
      <c r="E2866" s="5">
        <v>57306</v>
      </c>
      <c r="F2866" s="5">
        <v>141187251</v>
      </c>
      <c r="G2866" s="5">
        <v>3.8156711116023541</v>
      </c>
      <c r="H2866" s="5">
        <v>2463.7429065019369</v>
      </c>
      <c r="I2866" s="5">
        <v>94.008326347546614</v>
      </c>
    </row>
    <row r="2867" spans="1:9" x14ac:dyDescent="0.2">
      <c r="A2867" s="5" t="s">
        <v>103</v>
      </c>
      <c r="B2867" s="5" t="s">
        <v>63</v>
      </c>
      <c r="C2867" s="5" t="s">
        <v>48</v>
      </c>
      <c r="D2867" s="5">
        <v>1505746</v>
      </c>
      <c r="E2867" s="5">
        <v>57193</v>
      </c>
      <c r="F2867" s="5">
        <v>143708885</v>
      </c>
      <c r="G2867" s="5">
        <v>3.7983165819467559</v>
      </c>
      <c r="H2867" s="5">
        <v>2512.7005927298796</v>
      </c>
      <c r="I2867" s="5">
        <v>95.440323268333444</v>
      </c>
    </row>
    <row r="2868" spans="1:9" x14ac:dyDescent="0.2">
      <c r="A2868" s="5" t="s">
        <v>103</v>
      </c>
      <c r="B2868" s="5" t="s">
        <v>63</v>
      </c>
      <c r="C2868" s="5" t="s">
        <v>49</v>
      </c>
      <c r="D2868" s="5">
        <v>1506422</v>
      </c>
      <c r="E2868" s="5">
        <v>55633</v>
      </c>
      <c r="F2868" s="5">
        <v>142526445</v>
      </c>
      <c r="G2868" s="5">
        <v>3.6930554652016498</v>
      </c>
      <c r="H2868" s="5">
        <v>2561.9047148275304</v>
      </c>
      <c r="I2868" s="5">
        <v>94.612562084196853</v>
      </c>
    </row>
    <row r="2869" spans="1:9" x14ac:dyDescent="0.2">
      <c r="A2869" s="5" t="s">
        <v>103</v>
      </c>
      <c r="B2869" s="5" t="s">
        <v>63</v>
      </c>
      <c r="C2869" s="5" t="s">
        <v>50</v>
      </c>
      <c r="D2869" s="5">
        <v>1504050</v>
      </c>
      <c r="E2869" s="5">
        <v>54560</v>
      </c>
      <c r="F2869" s="5">
        <v>141144641</v>
      </c>
      <c r="G2869" s="5">
        <v>3.6275389780924838</v>
      </c>
      <c r="H2869" s="5">
        <v>2586.9618951612902</v>
      </c>
      <c r="I2869" s="5">
        <v>93.843051095375813</v>
      </c>
    </row>
    <row r="2870" spans="1:9" x14ac:dyDescent="0.2">
      <c r="A2870" s="5" t="s">
        <v>103</v>
      </c>
      <c r="B2870" s="5" t="s">
        <v>63</v>
      </c>
      <c r="C2870" s="5" t="s">
        <v>51</v>
      </c>
      <c r="D2870" s="5">
        <v>1500656</v>
      </c>
      <c r="E2870" s="5">
        <v>53980</v>
      </c>
      <c r="F2870" s="5">
        <v>139438921</v>
      </c>
      <c r="G2870" s="5">
        <v>3.5970935377594864</v>
      </c>
      <c r="H2870" s="5">
        <v>2583.1589662838087</v>
      </c>
      <c r="I2870" s="5">
        <v>92.918644246249642</v>
      </c>
    </row>
    <row r="2871" spans="1:9" x14ac:dyDescent="0.2">
      <c r="A2871" s="5" t="s">
        <v>103</v>
      </c>
      <c r="B2871" s="5" t="s">
        <v>63</v>
      </c>
      <c r="C2871" s="5" t="s">
        <v>52</v>
      </c>
      <c r="D2871" s="5">
        <v>1497896</v>
      </c>
      <c r="E2871" s="5">
        <v>53361</v>
      </c>
      <c r="F2871" s="5">
        <v>137391360</v>
      </c>
      <c r="G2871" s="5">
        <v>3.5623968553223988</v>
      </c>
      <c r="H2871" s="5">
        <v>2574.7523472198795</v>
      </c>
      <c r="I2871" s="5">
        <v>91.722896649700644</v>
      </c>
    </row>
    <row r="2872" spans="1:9" x14ac:dyDescent="0.2">
      <c r="A2872" s="5" t="s">
        <v>103</v>
      </c>
      <c r="B2872" s="5" t="s">
        <v>63</v>
      </c>
      <c r="C2872" s="5" t="s">
        <v>53</v>
      </c>
      <c r="D2872" s="5">
        <v>1497311</v>
      </c>
      <c r="E2872" s="5">
        <v>53220</v>
      </c>
      <c r="F2872" s="5">
        <v>134836486</v>
      </c>
      <c r="G2872" s="5">
        <v>3.5543718038537082</v>
      </c>
      <c r="H2872" s="5">
        <v>2533.5679443818112</v>
      </c>
      <c r="I2872" s="5">
        <v>90.052424646583106</v>
      </c>
    </row>
    <row r="2873" spans="1:9" x14ac:dyDescent="0.2">
      <c r="A2873" s="5" t="s">
        <v>103</v>
      </c>
      <c r="B2873" s="5" t="s">
        <v>63</v>
      </c>
      <c r="C2873" s="5" t="s">
        <v>54</v>
      </c>
      <c r="D2873" s="5">
        <v>1498995</v>
      </c>
      <c r="E2873" s="5">
        <v>53362</v>
      </c>
      <c r="F2873" s="5">
        <v>133997632</v>
      </c>
      <c r="G2873" s="5">
        <v>3.5598517673507919</v>
      </c>
      <c r="H2873" s="5">
        <v>2511.1058805891835</v>
      </c>
      <c r="I2873" s="5">
        <v>89.391647070203703</v>
      </c>
    </row>
    <row r="2874" spans="1:9" x14ac:dyDescent="0.2">
      <c r="A2874" s="5" t="s">
        <v>103</v>
      </c>
      <c r="B2874" s="5" t="s">
        <v>63</v>
      </c>
      <c r="C2874" s="5" t="s">
        <v>55</v>
      </c>
      <c r="D2874" s="5">
        <v>1502050</v>
      </c>
      <c r="E2874" s="5">
        <v>53178</v>
      </c>
      <c r="F2874" s="5">
        <v>133616766</v>
      </c>
      <c r="G2874" s="5">
        <v>3.5403615059418794</v>
      </c>
      <c r="H2874" s="5">
        <v>2512.6324043777504</v>
      </c>
      <c r="I2874" s="5">
        <v>88.956270430411777</v>
      </c>
    </row>
    <row r="2875" spans="1:9" x14ac:dyDescent="0.2">
      <c r="A2875" s="5" t="s">
        <v>103</v>
      </c>
      <c r="B2875" s="5" t="s">
        <v>63</v>
      </c>
      <c r="C2875" s="5" t="s">
        <v>56</v>
      </c>
      <c r="D2875" s="5">
        <v>1505392</v>
      </c>
      <c r="E2875" s="5">
        <v>53170</v>
      </c>
      <c r="F2875" s="5">
        <v>132493372</v>
      </c>
      <c r="G2875" s="5">
        <v>3.5319704103648752</v>
      </c>
      <c r="H2875" s="5">
        <v>2491.8821139740453</v>
      </c>
      <c r="I2875" s="5">
        <v>88.012538926738017</v>
      </c>
    </row>
    <row r="2876" spans="1:9" x14ac:dyDescent="0.2">
      <c r="A2876" s="5" t="s">
        <v>103</v>
      </c>
      <c r="B2876" s="5" t="s">
        <v>63</v>
      </c>
      <c r="C2876" s="5" t="s">
        <v>57</v>
      </c>
      <c r="D2876" s="5">
        <v>1509210</v>
      </c>
      <c r="E2876" s="5">
        <v>53574</v>
      </c>
      <c r="F2876" s="5">
        <v>133632835</v>
      </c>
      <c r="G2876" s="5">
        <v>3.549804202198501</v>
      </c>
      <c r="H2876" s="5">
        <v>2494.3598573935119</v>
      </c>
      <c r="I2876" s="5">
        <v>88.544891035707423</v>
      </c>
    </row>
    <row r="2877" spans="1:9" x14ac:dyDescent="0.2">
      <c r="A2877" s="5" t="s">
        <v>103</v>
      </c>
      <c r="B2877" s="5" t="s">
        <v>63</v>
      </c>
      <c r="C2877" s="5" t="s">
        <v>58</v>
      </c>
      <c r="D2877" s="5">
        <v>1513978</v>
      </c>
      <c r="E2877" s="5">
        <v>53489</v>
      </c>
      <c r="F2877" s="5">
        <v>134354626</v>
      </c>
      <c r="G2877" s="5">
        <v>3.5330103872050982</v>
      </c>
      <c r="H2877" s="5">
        <v>2511.8178690945801</v>
      </c>
      <c r="I2877" s="5">
        <v>88.74278622278527</v>
      </c>
    </row>
    <row r="2878" spans="1:9" x14ac:dyDescent="0.2">
      <c r="A2878" s="5" t="s">
        <v>103</v>
      </c>
      <c r="B2878" s="5" t="s">
        <v>63</v>
      </c>
      <c r="C2878" s="5" t="s">
        <v>59</v>
      </c>
      <c r="D2878" s="5">
        <v>1519043</v>
      </c>
      <c r="E2878" s="5">
        <v>53433</v>
      </c>
      <c r="F2878" s="5">
        <v>134608489</v>
      </c>
      <c r="G2878" s="5">
        <v>3.5175436113395078</v>
      </c>
      <c r="H2878" s="5">
        <v>2519.2014111129824</v>
      </c>
      <c r="I2878" s="5">
        <v>88.614008293379456</v>
      </c>
    </row>
    <row r="2879" spans="1:9" x14ac:dyDescent="0.2">
      <c r="A2879" s="5" t="s">
        <v>103</v>
      </c>
      <c r="B2879" s="5" t="s">
        <v>63</v>
      </c>
      <c r="C2879" s="5" t="s">
        <v>60</v>
      </c>
      <c r="D2879" s="5">
        <v>1524380</v>
      </c>
      <c r="E2879" s="5">
        <v>53617</v>
      </c>
      <c r="F2879" s="5">
        <v>135197961</v>
      </c>
      <c r="G2879" s="5">
        <v>3.5172988362481794</v>
      </c>
      <c r="H2879" s="5">
        <v>2521.5502732342352</v>
      </c>
      <c r="I2879" s="5">
        <v>88.690458415880556</v>
      </c>
    </row>
    <row r="2880" spans="1:9" x14ac:dyDescent="0.2">
      <c r="A2880" s="5" t="s">
        <v>103</v>
      </c>
      <c r="B2880" s="5" t="s">
        <v>63</v>
      </c>
      <c r="C2880" s="5" t="s">
        <v>61</v>
      </c>
      <c r="D2880" s="5">
        <v>1529574</v>
      </c>
      <c r="E2880" s="5">
        <v>52794</v>
      </c>
      <c r="F2880" s="5">
        <v>133697315</v>
      </c>
      <c r="G2880" s="5">
        <v>3.4515492548905775</v>
      </c>
      <c r="H2880" s="5">
        <v>2532.4338940031066</v>
      </c>
      <c r="I2880" s="5">
        <v>87.408203199060651</v>
      </c>
    </row>
    <row r="2881" spans="1:9" x14ac:dyDescent="0.2">
      <c r="A2881" s="5" t="s">
        <v>103</v>
      </c>
      <c r="B2881" s="5" t="s">
        <v>63</v>
      </c>
      <c r="C2881" s="5" t="s">
        <v>62</v>
      </c>
      <c r="D2881" s="5">
        <v>1532551</v>
      </c>
      <c r="E2881" s="5">
        <v>52531</v>
      </c>
      <c r="F2881" s="5">
        <v>134252591</v>
      </c>
      <c r="G2881" s="5">
        <v>3.4276836464169871</v>
      </c>
      <c r="H2881" s="5">
        <v>2555.6831394795454</v>
      </c>
      <c r="I2881" s="5">
        <v>87.600733026176613</v>
      </c>
    </row>
    <row r="2882" spans="1:9" x14ac:dyDescent="0.2">
      <c r="A2882" s="5" t="s">
        <v>103</v>
      </c>
      <c r="B2882" s="5" t="s">
        <v>64</v>
      </c>
      <c r="C2882" s="5" t="s">
        <v>45</v>
      </c>
      <c r="D2882" s="5">
        <v>1061090</v>
      </c>
      <c r="E2882" s="5">
        <v>58580</v>
      </c>
      <c r="F2882" s="5">
        <v>75920054</v>
      </c>
      <c r="G2882" s="5">
        <v>5.5207381089257277</v>
      </c>
      <c r="H2882" s="5">
        <v>1296.0063844315466</v>
      </c>
      <c r="I2882" s="5">
        <v>71.549118359422863</v>
      </c>
    </row>
    <row r="2883" spans="1:9" x14ac:dyDescent="0.2">
      <c r="A2883" s="5" t="s">
        <v>103</v>
      </c>
      <c r="B2883" s="5" t="s">
        <v>64</v>
      </c>
      <c r="C2883" s="5" t="s">
        <v>46</v>
      </c>
      <c r="D2883" s="5">
        <v>1065462</v>
      </c>
      <c r="E2883" s="5">
        <v>57039</v>
      </c>
      <c r="F2883" s="5">
        <v>76316456</v>
      </c>
      <c r="G2883" s="5">
        <v>5.3534523051971821</v>
      </c>
      <c r="H2883" s="5">
        <v>1337.9697400024545</v>
      </c>
      <c r="I2883" s="5">
        <v>71.627571889002141</v>
      </c>
    </row>
    <row r="2884" spans="1:9" x14ac:dyDescent="0.2">
      <c r="A2884" s="5" t="s">
        <v>103</v>
      </c>
      <c r="B2884" s="5" t="s">
        <v>64</v>
      </c>
      <c r="C2884" s="5" t="s">
        <v>47</v>
      </c>
      <c r="D2884" s="5">
        <v>1069135</v>
      </c>
      <c r="E2884" s="5">
        <v>54426</v>
      </c>
      <c r="F2884" s="5">
        <v>73140132</v>
      </c>
      <c r="G2884" s="5">
        <v>5.0906574006089036</v>
      </c>
      <c r="H2884" s="5">
        <v>1343.8454415169222</v>
      </c>
      <c r="I2884" s="5">
        <v>68.41056742132659</v>
      </c>
    </row>
    <row r="2885" spans="1:9" x14ac:dyDescent="0.2">
      <c r="A2885" s="5" t="s">
        <v>103</v>
      </c>
      <c r="B2885" s="5" t="s">
        <v>64</v>
      </c>
      <c r="C2885" s="5" t="s">
        <v>48</v>
      </c>
      <c r="D2885" s="5">
        <v>1070612</v>
      </c>
      <c r="E2885" s="5">
        <v>52681</v>
      </c>
      <c r="F2885" s="5">
        <v>70865532</v>
      </c>
      <c r="G2885" s="5">
        <v>4.9206435197812093</v>
      </c>
      <c r="H2885" s="5">
        <v>1345.1819821187905</v>
      </c>
      <c r="I2885" s="5">
        <v>66.191610032392688</v>
      </c>
    </row>
    <row r="2886" spans="1:9" x14ac:dyDescent="0.2">
      <c r="A2886" s="5" t="s">
        <v>103</v>
      </c>
      <c r="B2886" s="5" t="s">
        <v>64</v>
      </c>
      <c r="C2886" s="5" t="s">
        <v>49</v>
      </c>
      <c r="D2886" s="5">
        <v>1068916</v>
      </c>
      <c r="E2886" s="5">
        <v>51552</v>
      </c>
      <c r="F2886" s="5">
        <v>68912567</v>
      </c>
      <c r="G2886" s="5">
        <v>4.8228298575379167</v>
      </c>
      <c r="H2886" s="5">
        <v>1336.7583604903787</v>
      </c>
      <c r="I2886" s="5">
        <v>64.469581332864323</v>
      </c>
    </row>
    <row r="2887" spans="1:9" x14ac:dyDescent="0.2">
      <c r="A2887" s="5" t="s">
        <v>103</v>
      </c>
      <c r="B2887" s="5" t="s">
        <v>64</v>
      </c>
      <c r="C2887" s="5" t="s">
        <v>50</v>
      </c>
      <c r="D2887" s="5">
        <v>1064456</v>
      </c>
      <c r="E2887" s="5">
        <v>50316</v>
      </c>
      <c r="F2887" s="5">
        <v>68144554</v>
      </c>
      <c r="G2887" s="5">
        <v>4.7269215449018089</v>
      </c>
      <c r="H2887" s="5">
        <v>1354.3317036330393</v>
      </c>
      <c r="I2887" s="5">
        <v>64.01819708846584</v>
      </c>
    </row>
    <row r="2888" spans="1:9" x14ac:dyDescent="0.2">
      <c r="A2888" s="5" t="s">
        <v>103</v>
      </c>
      <c r="B2888" s="5" t="s">
        <v>64</v>
      </c>
      <c r="C2888" s="5" t="s">
        <v>51</v>
      </c>
      <c r="D2888" s="5">
        <v>1058180</v>
      </c>
      <c r="E2888" s="5">
        <v>56464</v>
      </c>
      <c r="F2888" s="5">
        <v>88733487</v>
      </c>
      <c r="G2888" s="5">
        <v>5.3359541854882915</v>
      </c>
      <c r="H2888" s="5">
        <v>1571.505507934259</v>
      </c>
      <c r="I2888" s="5">
        <v>83.854813925797117</v>
      </c>
    </row>
    <row r="2889" spans="1:9" x14ac:dyDescent="0.2">
      <c r="A2889" s="5" t="s">
        <v>103</v>
      </c>
      <c r="B2889" s="5" t="s">
        <v>64</v>
      </c>
      <c r="C2889" s="5" t="s">
        <v>52</v>
      </c>
      <c r="D2889" s="5">
        <v>1051336</v>
      </c>
      <c r="E2889" s="5">
        <v>57460</v>
      </c>
      <c r="F2889" s="5">
        <v>92214766</v>
      </c>
      <c r="G2889" s="5">
        <v>5.4654268473637355</v>
      </c>
      <c r="H2889" s="5">
        <v>1604.8514792899409</v>
      </c>
      <c r="I2889" s="5">
        <v>87.711983609426483</v>
      </c>
    </row>
    <row r="2890" spans="1:9" x14ac:dyDescent="0.2">
      <c r="A2890" s="5" t="s">
        <v>103</v>
      </c>
      <c r="B2890" s="5" t="s">
        <v>64</v>
      </c>
      <c r="C2890" s="5" t="s">
        <v>53</v>
      </c>
      <c r="D2890" s="5">
        <v>1045487</v>
      </c>
      <c r="E2890" s="5">
        <v>63419</v>
      </c>
      <c r="F2890" s="5">
        <v>109574034</v>
      </c>
      <c r="G2890" s="5">
        <v>6.0659769083690183</v>
      </c>
      <c r="H2890" s="5">
        <v>1727.7792775035873</v>
      </c>
      <c r="I2890" s="5">
        <v>104.80669200095267</v>
      </c>
    </row>
    <row r="2891" spans="1:9" x14ac:dyDescent="0.2">
      <c r="A2891" s="5" t="s">
        <v>103</v>
      </c>
      <c r="B2891" s="5" t="s">
        <v>64</v>
      </c>
      <c r="C2891" s="5" t="s">
        <v>54</v>
      </c>
      <c r="D2891" s="5">
        <v>1041030</v>
      </c>
      <c r="E2891" s="5">
        <v>63513</v>
      </c>
      <c r="F2891" s="5">
        <v>110974110</v>
      </c>
      <c r="G2891" s="5">
        <v>6.1009769170917263</v>
      </c>
      <c r="H2891" s="5">
        <v>1747.2660715129186</v>
      </c>
      <c r="I2891" s="5">
        <v>106.60029970317858</v>
      </c>
    </row>
    <row r="2892" spans="1:9" x14ac:dyDescent="0.2">
      <c r="A2892" s="5" t="s">
        <v>103</v>
      </c>
      <c r="B2892" s="5" t="s">
        <v>64</v>
      </c>
      <c r="C2892" s="5" t="s">
        <v>55</v>
      </c>
      <c r="D2892" s="5">
        <v>1037486</v>
      </c>
      <c r="E2892" s="5">
        <v>69662</v>
      </c>
      <c r="F2892" s="5">
        <v>130075869</v>
      </c>
      <c r="G2892" s="5">
        <v>6.714500243858712</v>
      </c>
      <c r="H2892" s="5">
        <v>1867.2428153082024</v>
      </c>
      <c r="I2892" s="5">
        <v>125.37602338730353</v>
      </c>
    </row>
    <row r="2893" spans="1:9" x14ac:dyDescent="0.2">
      <c r="A2893" s="5" t="s">
        <v>103</v>
      </c>
      <c r="B2893" s="5" t="s">
        <v>64</v>
      </c>
      <c r="C2893" s="5" t="s">
        <v>56</v>
      </c>
      <c r="D2893" s="5">
        <v>1034758</v>
      </c>
      <c r="E2893" s="5">
        <v>68619</v>
      </c>
      <c r="F2893" s="5">
        <v>130487816</v>
      </c>
      <c r="G2893" s="5">
        <v>6.6314056040156251</v>
      </c>
      <c r="H2893" s="5">
        <v>1901.6280621985165</v>
      </c>
      <c r="I2893" s="5">
        <v>126.10466988416616</v>
      </c>
    </row>
    <row r="2894" spans="1:9" x14ac:dyDescent="0.2">
      <c r="A2894" s="5" t="s">
        <v>103</v>
      </c>
      <c r="B2894" s="5" t="s">
        <v>64</v>
      </c>
      <c r="C2894" s="5" t="s">
        <v>57</v>
      </c>
      <c r="D2894" s="5">
        <v>1033248</v>
      </c>
      <c r="E2894" s="5">
        <v>60818</v>
      </c>
      <c r="F2894" s="5">
        <v>111631908</v>
      </c>
      <c r="G2894" s="5">
        <v>5.8860989810771471</v>
      </c>
      <c r="H2894" s="5">
        <v>1835.5077115327699</v>
      </c>
      <c r="I2894" s="5">
        <v>108.03980070612283</v>
      </c>
    </row>
    <row r="2895" spans="1:9" x14ac:dyDescent="0.2">
      <c r="A2895" s="5" t="s">
        <v>103</v>
      </c>
      <c r="B2895" s="5" t="s">
        <v>64</v>
      </c>
      <c r="C2895" s="5" t="s">
        <v>58</v>
      </c>
      <c r="D2895" s="5">
        <v>1033464</v>
      </c>
      <c r="E2895" s="5">
        <v>59127</v>
      </c>
      <c r="F2895" s="5">
        <v>108172372</v>
      </c>
      <c r="G2895" s="5">
        <v>5.7212442813682918</v>
      </c>
      <c r="H2895" s="5">
        <v>1829.4919749014832</v>
      </c>
      <c r="I2895" s="5">
        <v>104.66970499214293</v>
      </c>
    </row>
    <row r="2896" spans="1:9" x14ac:dyDescent="0.2">
      <c r="A2896" s="5" t="s">
        <v>103</v>
      </c>
      <c r="B2896" s="5" t="s">
        <v>64</v>
      </c>
      <c r="C2896" s="5" t="s">
        <v>59</v>
      </c>
      <c r="D2896" s="5">
        <v>1034876</v>
      </c>
      <c r="E2896" s="5">
        <v>56077</v>
      </c>
      <c r="F2896" s="5">
        <v>93620140</v>
      </c>
      <c r="G2896" s="5">
        <v>5.418716831775015</v>
      </c>
      <c r="H2896" s="5">
        <v>1669.4926618756353</v>
      </c>
      <c r="I2896" s="5">
        <v>90.465079874303783</v>
      </c>
    </row>
    <row r="2897" spans="1:9" x14ac:dyDescent="0.2">
      <c r="A2897" s="5" t="s">
        <v>103</v>
      </c>
      <c r="B2897" s="5" t="s">
        <v>64</v>
      </c>
      <c r="C2897" s="5" t="s">
        <v>60</v>
      </c>
      <c r="D2897" s="5">
        <v>1037418</v>
      </c>
      <c r="E2897" s="5">
        <v>53782</v>
      </c>
      <c r="F2897" s="5">
        <v>89063162</v>
      </c>
      <c r="G2897" s="5">
        <v>5.1842169694375846</v>
      </c>
      <c r="H2897" s="5">
        <v>1656.0031609088542</v>
      </c>
      <c r="I2897" s="5">
        <v>85.850796882259615</v>
      </c>
    </row>
    <row r="2898" spans="1:9" x14ac:dyDescent="0.2">
      <c r="A2898" s="5" t="s">
        <v>103</v>
      </c>
      <c r="B2898" s="5" t="s">
        <v>64</v>
      </c>
      <c r="C2898" s="5" t="s">
        <v>61</v>
      </c>
      <c r="D2898" s="5">
        <v>1040574</v>
      </c>
      <c r="E2898" s="5">
        <v>52994</v>
      </c>
      <c r="F2898" s="5">
        <v>90177789</v>
      </c>
      <c r="G2898" s="5">
        <v>5.0927661079365816</v>
      </c>
      <c r="H2898" s="5">
        <v>1701.6603577763519</v>
      </c>
      <c r="I2898" s="5">
        <v>86.661581973026429</v>
      </c>
    </row>
    <row r="2899" spans="1:9" x14ac:dyDescent="0.2">
      <c r="A2899" s="5" t="s">
        <v>103</v>
      </c>
      <c r="B2899" s="5" t="s">
        <v>64</v>
      </c>
      <c r="C2899" s="5" t="s">
        <v>62</v>
      </c>
      <c r="D2899" s="5">
        <v>1042904</v>
      </c>
      <c r="E2899" s="5">
        <v>52393</v>
      </c>
      <c r="F2899" s="5">
        <v>92612754</v>
      </c>
      <c r="G2899" s="5">
        <v>5.0237605762371222</v>
      </c>
      <c r="H2899" s="5">
        <v>1767.6551065982096</v>
      </c>
      <c r="I2899" s="5">
        <v>88.802760369123135</v>
      </c>
    </row>
    <row r="2900" spans="1:9" x14ac:dyDescent="0.2">
      <c r="A2900" s="5" t="s">
        <v>103</v>
      </c>
      <c r="B2900" s="5" t="s">
        <v>65</v>
      </c>
      <c r="C2900" s="5" t="s">
        <v>45</v>
      </c>
      <c r="D2900" s="5">
        <v>1042854</v>
      </c>
      <c r="E2900" s="5">
        <v>59207</v>
      </c>
      <c r="F2900" s="5">
        <v>176817877</v>
      </c>
      <c r="G2900" s="5">
        <v>5.6774006716184626</v>
      </c>
      <c r="H2900" s="5">
        <v>2986.4353370378503</v>
      </c>
      <c r="I2900" s="5">
        <v>169.55189988243799</v>
      </c>
    </row>
    <row r="2901" spans="1:9" x14ac:dyDescent="0.2">
      <c r="A2901" s="5" t="s">
        <v>103</v>
      </c>
      <c r="B2901" s="5" t="s">
        <v>65</v>
      </c>
      <c r="C2901" s="5" t="s">
        <v>46</v>
      </c>
      <c r="D2901" s="5">
        <v>1047286</v>
      </c>
      <c r="E2901" s="5">
        <v>56600</v>
      </c>
      <c r="F2901" s="5">
        <v>168821742</v>
      </c>
      <c r="G2901" s="5">
        <v>5.4044453950496809</v>
      </c>
      <c r="H2901" s="5">
        <v>2982.71628975265</v>
      </c>
      <c r="I2901" s="5">
        <v>161.19927316893379</v>
      </c>
    </row>
    <row r="2902" spans="1:9" x14ac:dyDescent="0.2">
      <c r="A2902" s="5" t="s">
        <v>103</v>
      </c>
      <c r="B2902" s="5" t="s">
        <v>65</v>
      </c>
      <c r="C2902" s="5" t="s">
        <v>47</v>
      </c>
      <c r="D2902" s="5">
        <v>1051009</v>
      </c>
      <c r="E2902" s="5">
        <v>56586</v>
      </c>
      <c r="F2902" s="5">
        <v>170198201</v>
      </c>
      <c r="G2902" s="5">
        <v>5.3839691191987891</v>
      </c>
      <c r="H2902" s="5">
        <v>3007.7793270420243</v>
      </c>
      <c r="I2902" s="5">
        <v>161.93791014158776</v>
      </c>
    </row>
    <row r="2903" spans="1:9" x14ac:dyDescent="0.2">
      <c r="A2903" s="5" t="s">
        <v>103</v>
      </c>
      <c r="B2903" s="5" t="s">
        <v>65</v>
      </c>
      <c r="C2903" s="5" t="s">
        <v>48</v>
      </c>
      <c r="D2903" s="5">
        <v>1052534</v>
      </c>
      <c r="E2903" s="5">
        <v>56423</v>
      </c>
      <c r="F2903" s="5">
        <v>171977894</v>
      </c>
      <c r="G2903" s="5">
        <v>5.3606819352153945</v>
      </c>
      <c r="H2903" s="5">
        <v>3048.0104567286389</v>
      </c>
      <c r="I2903" s="5">
        <v>163.3941459373284</v>
      </c>
    </row>
    <row r="2904" spans="1:9" x14ac:dyDescent="0.2">
      <c r="A2904" s="5" t="s">
        <v>103</v>
      </c>
      <c r="B2904" s="5" t="s">
        <v>65</v>
      </c>
      <c r="C2904" s="5" t="s">
        <v>49</v>
      </c>
      <c r="D2904" s="5">
        <v>1050930</v>
      </c>
      <c r="E2904" s="5">
        <v>54568</v>
      </c>
      <c r="F2904" s="5">
        <v>168692312</v>
      </c>
      <c r="G2904" s="5">
        <v>5.1923534393346849</v>
      </c>
      <c r="H2904" s="5">
        <v>3091.4146019645214</v>
      </c>
      <c r="I2904" s="5">
        <v>160.51717240919947</v>
      </c>
    </row>
    <row r="2905" spans="1:9" x14ac:dyDescent="0.2">
      <c r="A2905" s="5" t="s">
        <v>103</v>
      </c>
      <c r="B2905" s="5" t="s">
        <v>65</v>
      </c>
      <c r="C2905" s="5" t="s">
        <v>50</v>
      </c>
      <c r="D2905" s="5">
        <v>1046517</v>
      </c>
      <c r="E2905" s="5">
        <v>53046</v>
      </c>
      <c r="F2905" s="5">
        <v>165456667</v>
      </c>
      <c r="G2905" s="5">
        <v>5.0688139800882359</v>
      </c>
      <c r="H2905" s="5">
        <v>3119.1167477283866</v>
      </c>
      <c r="I2905" s="5">
        <v>158.10222576412997</v>
      </c>
    </row>
    <row r="2906" spans="1:9" x14ac:dyDescent="0.2">
      <c r="A2906" s="5" t="s">
        <v>103</v>
      </c>
      <c r="B2906" s="5" t="s">
        <v>65</v>
      </c>
      <c r="C2906" s="5" t="s">
        <v>51</v>
      </c>
      <c r="D2906" s="5">
        <v>1040170</v>
      </c>
      <c r="E2906" s="5">
        <v>51282</v>
      </c>
      <c r="F2906" s="5">
        <v>160073954</v>
      </c>
      <c r="G2906" s="5">
        <v>4.9301556476345212</v>
      </c>
      <c r="H2906" s="5">
        <v>3121.4452244452245</v>
      </c>
      <c r="I2906" s="5">
        <v>153.8921080208043</v>
      </c>
    </row>
    <row r="2907" spans="1:9" x14ac:dyDescent="0.2">
      <c r="A2907" s="5" t="s">
        <v>103</v>
      </c>
      <c r="B2907" s="5" t="s">
        <v>65</v>
      </c>
      <c r="C2907" s="5" t="s">
        <v>52</v>
      </c>
      <c r="D2907" s="5">
        <v>1033270</v>
      </c>
      <c r="E2907" s="5">
        <v>49840</v>
      </c>
      <c r="F2907" s="5">
        <v>155731297</v>
      </c>
      <c r="G2907" s="5">
        <v>4.8235214416367453</v>
      </c>
      <c r="H2907" s="5">
        <v>3124.6247391653292</v>
      </c>
      <c r="I2907" s="5">
        <v>150.71694426432589</v>
      </c>
    </row>
    <row r="2908" spans="1:9" x14ac:dyDescent="0.2">
      <c r="A2908" s="5" t="s">
        <v>103</v>
      </c>
      <c r="B2908" s="5" t="s">
        <v>65</v>
      </c>
      <c r="C2908" s="5" t="s">
        <v>53</v>
      </c>
      <c r="D2908" s="5">
        <v>1027378</v>
      </c>
      <c r="E2908" s="5">
        <v>48760</v>
      </c>
      <c r="F2908" s="5">
        <v>153110958</v>
      </c>
      <c r="G2908" s="5">
        <v>4.7460623061813667</v>
      </c>
      <c r="H2908" s="5">
        <v>3140.0934782608697</v>
      </c>
      <c r="I2908" s="5">
        <v>149.03079295059851</v>
      </c>
    </row>
    <row r="2909" spans="1:9" x14ac:dyDescent="0.2">
      <c r="A2909" s="5" t="s">
        <v>103</v>
      </c>
      <c r="B2909" s="5" t="s">
        <v>65</v>
      </c>
      <c r="C2909" s="5" t="s">
        <v>54</v>
      </c>
      <c r="D2909" s="5">
        <v>1022933</v>
      </c>
      <c r="E2909" s="5">
        <v>48030</v>
      </c>
      <c r="F2909" s="5">
        <v>151926148</v>
      </c>
      <c r="G2909" s="5">
        <v>4.6953221765257354</v>
      </c>
      <c r="H2909" s="5">
        <v>3163.1511138871538</v>
      </c>
      <c r="I2909" s="5">
        <v>148.52013572736436</v>
      </c>
    </row>
    <row r="2910" spans="1:9" x14ac:dyDescent="0.2">
      <c r="A2910" s="5" t="s">
        <v>103</v>
      </c>
      <c r="B2910" s="5" t="s">
        <v>65</v>
      </c>
      <c r="C2910" s="5" t="s">
        <v>55</v>
      </c>
      <c r="D2910" s="5">
        <v>1019534</v>
      </c>
      <c r="E2910" s="5">
        <v>47359</v>
      </c>
      <c r="F2910" s="5">
        <v>151937057</v>
      </c>
      <c r="G2910" s="5">
        <v>4.6451614168826154</v>
      </c>
      <c r="H2910" s="5">
        <v>3208.1981671910303</v>
      </c>
      <c r="I2910" s="5">
        <v>149.02598343949293</v>
      </c>
    </row>
    <row r="2911" spans="1:9" x14ac:dyDescent="0.2">
      <c r="A2911" s="5" t="s">
        <v>103</v>
      </c>
      <c r="B2911" s="5" t="s">
        <v>65</v>
      </c>
      <c r="C2911" s="5" t="s">
        <v>56</v>
      </c>
      <c r="D2911" s="5">
        <v>1016967</v>
      </c>
      <c r="E2911" s="5">
        <v>46898</v>
      </c>
      <c r="F2911" s="5">
        <v>152409814</v>
      </c>
      <c r="G2911" s="5">
        <v>4.6115557338635371</v>
      </c>
      <c r="H2911" s="5">
        <v>3249.8147895432639</v>
      </c>
      <c r="I2911" s="5">
        <v>149.86702026712766</v>
      </c>
    </row>
    <row r="2912" spans="1:9" x14ac:dyDescent="0.2">
      <c r="A2912" s="5" t="s">
        <v>103</v>
      </c>
      <c r="B2912" s="5" t="s">
        <v>65</v>
      </c>
      <c r="C2912" s="5" t="s">
        <v>57</v>
      </c>
      <c r="D2912" s="5">
        <v>1015569</v>
      </c>
      <c r="E2912" s="5">
        <v>46681</v>
      </c>
      <c r="F2912" s="5">
        <v>152136747</v>
      </c>
      <c r="G2912" s="5">
        <v>4.5965365228753532</v>
      </c>
      <c r="H2912" s="5">
        <v>3259.0721492684388</v>
      </c>
      <c r="I2912" s="5">
        <v>149.80444164798257</v>
      </c>
    </row>
    <row r="2913" spans="1:9" x14ac:dyDescent="0.2">
      <c r="A2913" s="5" t="s">
        <v>103</v>
      </c>
      <c r="B2913" s="5" t="s">
        <v>65</v>
      </c>
      <c r="C2913" s="5" t="s">
        <v>58</v>
      </c>
      <c r="D2913" s="5">
        <v>1015918</v>
      </c>
      <c r="E2913" s="5">
        <v>46347</v>
      </c>
      <c r="F2913" s="5">
        <v>151561949</v>
      </c>
      <c r="G2913" s="5">
        <v>4.5620807978596698</v>
      </c>
      <c r="H2913" s="5">
        <v>3270.1566228666366</v>
      </c>
      <c r="I2913" s="5">
        <v>149.18718735173508</v>
      </c>
    </row>
    <row r="2914" spans="1:9" x14ac:dyDescent="0.2">
      <c r="A2914" s="5" t="s">
        <v>103</v>
      </c>
      <c r="B2914" s="5" t="s">
        <v>65</v>
      </c>
      <c r="C2914" s="5" t="s">
        <v>59</v>
      </c>
      <c r="D2914" s="5">
        <v>1017459</v>
      </c>
      <c r="E2914" s="5">
        <v>46256</v>
      </c>
      <c r="F2914" s="5">
        <v>151734425</v>
      </c>
      <c r="G2914" s="5">
        <v>4.54622741555188</v>
      </c>
      <c r="H2914" s="5">
        <v>3280.3187694569351</v>
      </c>
      <c r="I2914" s="5">
        <v>149.13075121454526</v>
      </c>
    </row>
    <row r="2915" spans="1:9" x14ac:dyDescent="0.2">
      <c r="A2915" s="5" t="s">
        <v>103</v>
      </c>
      <c r="B2915" s="5" t="s">
        <v>65</v>
      </c>
      <c r="C2915" s="5" t="s">
        <v>60</v>
      </c>
      <c r="D2915" s="5">
        <v>1020067</v>
      </c>
      <c r="E2915" s="5">
        <v>46219</v>
      </c>
      <c r="F2915" s="5">
        <v>152089263</v>
      </c>
      <c r="G2915" s="5">
        <v>4.5309768868123372</v>
      </c>
      <c r="H2915" s="5">
        <v>3290.6221034639434</v>
      </c>
      <c r="I2915" s="5">
        <v>149.09732694028921</v>
      </c>
    </row>
    <row r="2916" spans="1:9" x14ac:dyDescent="0.2">
      <c r="A2916" s="5" t="s">
        <v>103</v>
      </c>
      <c r="B2916" s="5" t="s">
        <v>65</v>
      </c>
      <c r="C2916" s="5" t="s">
        <v>61</v>
      </c>
      <c r="D2916" s="5">
        <v>1023275</v>
      </c>
      <c r="E2916" s="5">
        <v>45845</v>
      </c>
      <c r="F2916" s="5">
        <v>151407420</v>
      </c>
      <c r="G2916" s="5">
        <v>4.4802228140040556</v>
      </c>
      <c r="H2916" s="5">
        <v>3302.5939579016249</v>
      </c>
      <c r="I2916" s="5">
        <v>147.9635679558281</v>
      </c>
    </row>
    <row r="2917" spans="1:9" x14ac:dyDescent="0.2">
      <c r="A2917" s="5" t="s">
        <v>103</v>
      </c>
      <c r="B2917" s="5" t="s">
        <v>65</v>
      </c>
      <c r="C2917" s="5" t="s">
        <v>62</v>
      </c>
      <c r="D2917" s="5">
        <v>1025612</v>
      </c>
      <c r="E2917" s="5">
        <v>45871</v>
      </c>
      <c r="F2917" s="5">
        <v>152886376</v>
      </c>
      <c r="G2917" s="5">
        <v>4.4725490731387696</v>
      </c>
      <c r="H2917" s="5">
        <v>3332.9636589566394</v>
      </c>
      <c r="I2917" s="5">
        <v>149.06843523671719</v>
      </c>
    </row>
    <row r="2918" spans="1:9" x14ac:dyDescent="0.2">
      <c r="A2918" s="5" t="s">
        <v>104</v>
      </c>
      <c r="B2918" s="5" t="s">
        <v>44</v>
      </c>
      <c r="C2918" s="5" t="s">
        <v>45</v>
      </c>
      <c r="D2918" s="5">
        <v>1613643</v>
      </c>
      <c r="E2918" s="5">
        <v>19425</v>
      </c>
      <c r="F2918" s="5">
        <v>153492207</v>
      </c>
      <c r="G2918" s="5">
        <v>1.203797866070748</v>
      </c>
      <c r="H2918" s="5">
        <v>7901.7867181467182</v>
      </c>
      <c r="I2918" s="5">
        <v>95.121539894511983</v>
      </c>
    </row>
    <row r="2919" spans="1:9" x14ac:dyDescent="0.2">
      <c r="A2919" s="5" t="s">
        <v>104</v>
      </c>
      <c r="B2919" s="5" t="s">
        <v>44</v>
      </c>
      <c r="C2919" s="5" t="s">
        <v>46</v>
      </c>
      <c r="D2919" s="5">
        <v>1623440</v>
      </c>
      <c r="E2919" s="5">
        <v>19407</v>
      </c>
      <c r="F2919" s="5">
        <v>153444345</v>
      </c>
      <c r="G2919" s="5">
        <v>1.1954245306263243</v>
      </c>
      <c r="H2919" s="5">
        <v>7906.6494048539189</v>
      </c>
      <c r="I2919" s="5">
        <v>94.518026536244022</v>
      </c>
    </row>
    <row r="2920" spans="1:9" x14ac:dyDescent="0.2">
      <c r="A2920" s="5" t="s">
        <v>104</v>
      </c>
      <c r="B2920" s="5" t="s">
        <v>44</v>
      </c>
      <c r="C2920" s="5" t="s">
        <v>47</v>
      </c>
      <c r="D2920" s="5">
        <v>1633250</v>
      </c>
      <c r="E2920" s="5">
        <v>19584</v>
      </c>
      <c r="F2920" s="5">
        <v>154660547</v>
      </c>
      <c r="G2920" s="5">
        <v>1.1990815857951935</v>
      </c>
      <c r="H2920" s="5">
        <v>7897.291002859477</v>
      </c>
      <c r="I2920" s="5">
        <v>94.694962191948562</v>
      </c>
    </row>
    <row r="2921" spans="1:9" x14ac:dyDescent="0.2">
      <c r="A2921" s="5" t="s">
        <v>104</v>
      </c>
      <c r="B2921" s="5" t="s">
        <v>44</v>
      </c>
      <c r="C2921" s="5" t="s">
        <v>48</v>
      </c>
      <c r="D2921" s="5">
        <v>1642564</v>
      </c>
      <c r="E2921" s="5">
        <v>19694</v>
      </c>
      <c r="F2921" s="5">
        <v>158078654</v>
      </c>
      <c r="G2921" s="5">
        <v>1.1989791569765318</v>
      </c>
      <c r="H2921" s="5">
        <v>8026.7418503097388</v>
      </c>
      <c r="I2921" s="5">
        <v>96.238961769526185</v>
      </c>
    </row>
    <row r="2922" spans="1:9" x14ac:dyDescent="0.2">
      <c r="A2922" s="5" t="s">
        <v>104</v>
      </c>
      <c r="B2922" s="5" t="s">
        <v>44</v>
      </c>
      <c r="C2922" s="5" t="s">
        <v>49</v>
      </c>
      <c r="D2922" s="5">
        <v>1650405</v>
      </c>
      <c r="E2922" s="5">
        <v>20011</v>
      </c>
      <c r="F2922" s="5">
        <v>159883595</v>
      </c>
      <c r="G2922" s="5">
        <v>1.2124902675403917</v>
      </c>
      <c r="H2922" s="5">
        <v>7989.7853680475737</v>
      </c>
      <c r="I2922" s="5">
        <v>96.875369984943092</v>
      </c>
    </row>
    <row r="2923" spans="1:9" x14ac:dyDescent="0.2">
      <c r="A2923" s="5" t="s">
        <v>104</v>
      </c>
      <c r="B2923" s="5" t="s">
        <v>44</v>
      </c>
      <c r="C2923" s="5" t="s">
        <v>50</v>
      </c>
      <c r="D2923" s="5">
        <v>1656132</v>
      </c>
      <c r="E2923" s="5">
        <v>20230</v>
      </c>
      <c r="F2923" s="5">
        <v>160040905</v>
      </c>
      <c r="G2923" s="5">
        <v>1.2215209898727879</v>
      </c>
      <c r="H2923" s="5">
        <v>7911.0679683638164</v>
      </c>
      <c r="I2923" s="5">
        <v>96.63535575666674</v>
      </c>
    </row>
    <row r="2924" spans="1:9" x14ac:dyDescent="0.2">
      <c r="A2924" s="5" t="s">
        <v>104</v>
      </c>
      <c r="B2924" s="5" t="s">
        <v>44</v>
      </c>
      <c r="C2924" s="5" t="s">
        <v>51</v>
      </c>
      <c r="D2924" s="5">
        <v>1659734</v>
      </c>
      <c r="E2924" s="5">
        <v>20787</v>
      </c>
      <c r="F2924" s="5">
        <v>162441617</v>
      </c>
      <c r="G2924" s="5">
        <v>1.2524296061899076</v>
      </c>
      <c r="H2924" s="5">
        <v>7814.5772357723581</v>
      </c>
      <c r="I2924" s="5">
        <v>97.872078899389905</v>
      </c>
    </row>
    <row r="2925" spans="1:9" x14ac:dyDescent="0.2">
      <c r="A2925" s="5" t="s">
        <v>104</v>
      </c>
      <c r="B2925" s="5" t="s">
        <v>44</v>
      </c>
      <c r="C2925" s="5" t="s">
        <v>52</v>
      </c>
      <c r="D2925" s="5">
        <v>1661500</v>
      </c>
      <c r="E2925" s="5">
        <v>21586</v>
      </c>
      <c r="F2925" s="5">
        <v>166931015</v>
      </c>
      <c r="G2925" s="5">
        <v>1.2991874811916944</v>
      </c>
      <c r="H2925" s="5">
        <v>7733.3000555915869</v>
      </c>
      <c r="I2925" s="5">
        <v>100.47006620523624</v>
      </c>
    </row>
    <row r="2926" spans="1:9" x14ac:dyDescent="0.2">
      <c r="A2926" s="5" t="s">
        <v>104</v>
      </c>
      <c r="B2926" s="5" t="s">
        <v>44</v>
      </c>
      <c r="C2926" s="5" t="s">
        <v>53</v>
      </c>
      <c r="D2926" s="5">
        <v>1663303</v>
      </c>
      <c r="E2926" s="5">
        <v>22196</v>
      </c>
      <c r="F2926" s="5">
        <v>174139219</v>
      </c>
      <c r="G2926" s="5">
        <v>1.3344531934349906</v>
      </c>
      <c r="H2926" s="5">
        <v>7845.5225716345285</v>
      </c>
      <c r="I2926" s="5">
        <v>104.69482649883996</v>
      </c>
    </row>
    <row r="2927" spans="1:9" x14ac:dyDescent="0.2">
      <c r="A2927" s="5" t="s">
        <v>104</v>
      </c>
      <c r="B2927" s="5" t="s">
        <v>44</v>
      </c>
      <c r="C2927" s="5" t="s">
        <v>54</v>
      </c>
      <c r="D2927" s="5">
        <v>1664948</v>
      </c>
      <c r="E2927" s="5">
        <v>23284</v>
      </c>
      <c r="F2927" s="5">
        <v>180359587</v>
      </c>
      <c r="G2927" s="5">
        <v>1.3984821147567372</v>
      </c>
      <c r="H2927" s="5">
        <v>7746.0739993128327</v>
      </c>
      <c r="I2927" s="5">
        <v>108.32745947621187</v>
      </c>
    </row>
    <row r="2928" spans="1:9" x14ac:dyDescent="0.2">
      <c r="A2928" s="5" t="s">
        <v>104</v>
      </c>
      <c r="B2928" s="5" t="s">
        <v>44</v>
      </c>
      <c r="C2928" s="5" t="s">
        <v>55</v>
      </c>
      <c r="D2928" s="5">
        <v>1668584</v>
      </c>
      <c r="E2928" s="5">
        <v>23554</v>
      </c>
      <c r="F2928" s="5">
        <v>184875166</v>
      </c>
      <c r="G2928" s="5">
        <v>1.4116160768651742</v>
      </c>
      <c r="H2928" s="5">
        <v>7848.9923579859051</v>
      </c>
      <c r="I2928" s="5">
        <v>110.79763799724796</v>
      </c>
    </row>
    <row r="2929" spans="1:9" x14ac:dyDescent="0.2">
      <c r="A2929" s="5" t="s">
        <v>104</v>
      </c>
      <c r="B2929" s="5" t="s">
        <v>44</v>
      </c>
      <c r="C2929" s="5" t="s">
        <v>56</v>
      </c>
      <c r="D2929" s="5">
        <v>1674007</v>
      </c>
      <c r="E2929" s="5">
        <v>23812</v>
      </c>
      <c r="F2929" s="5">
        <v>186910649</v>
      </c>
      <c r="G2929" s="5">
        <v>1.4224552227081488</v>
      </c>
      <c r="H2929" s="5">
        <v>7849.4309171846126</v>
      </c>
      <c r="I2929" s="5">
        <v>111.65464003436067</v>
      </c>
    </row>
    <row r="2930" spans="1:9" x14ac:dyDescent="0.2">
      <c r="A2930" s="5" t="s">
        <v>104</v>
      </c>
      <c r="B2930" s="5" t="s">
        <v>44</v>
      </c>
      <c r="C2930" s="5" t="s">
        <v>57</v>
      </c>
      <c r="D2930" s="5">
        <v>1680793</v>
      </c>
      <c r="E2930" s="5">
        <v>23832</v>
      </c>
      <c r="F2930" s="5">
        <v>188351260</v>
      </c>
      <c r="G2930" s="5">
        <v>1.417902144999414</v>
      </c>
      <c r="H2930" s="5">
        <v>7903.2922121517286</v>
      </c>
      <c r="I2930" s="5">
        <v>112.060949801671</v>
      </c>
    </row>
    <row r="2931" spans="1:9" x14ac:dyDescent="0.2">
      <c r="A2931" s="5" t="s">
        <v>104</v>
      </c>
      <c r="B2931" s="5" t="s">
        <v>44</v>
      </c>
      <c r="C2931" s="5" t="s">
        <v>58</v>
      </c>
      <c r="D2931" s="5">
        <v>1689313</v>
      </c>
      <c r="E2931" s="5">
        <v>23164</v>
      </c>
      <c r="F2931" s="5">
        <v>188457959</v>
      </c>
      <c r="G2931" s="5">
        <v>1.3712082959167424</v>
      </c>
      <c r="H2931" s="5">
        <v>8135.8124244517358</v>
      </c>
      <c r="I2931" s="5">
        <v>111.55893490430725</v>
      </c>
    </row>
    <row r="2932" spans="1:9" x14ac:dyDescent="0.2">
      <c r="A2932" s="5" t="s">
        <v>104</v>
      </c>
      <c r="B2932" s="5" t="s">
        <v>44</v>
      </c>
      <c r="C2932" s="5" t="s">
        <v>59</v>
      </c>
      <c r="D2932" s="5">
        <v>1698348</v>
      </c>
      <c r="E2932" s="5">
        <v>22821</v>
      </c>
      <c r="F2932" s="5">
        <v>186166956</v>
      </c>
      <c r="G2932" s="5">
        <v>1.3437175419878611</v>
      </c>
      <c r="H2932" s="5">
        <v>8157.7036939660838</v>
      </c>
      <c r="I2932" s="5">
        <v>109.61649555921402</v>
      </c>
    </row>
    <row r="2933" spans="1:9" x14ac:dyDescent="0.2">
      <c r="A2933" s="5" t="s">
        <v>104</v>
      </c>
      <c r="B2933" s="5" t="s">
        <v>44</v>
      </c>
      <c r="C2933" s="5" t="s">
        <v>60</v>
      </c>
      <c r="D2933" s="5">
        <v>1707322</v>
      </c>
      <c r="E2933" s="5">
        <v>22469</v>
      </c>
      <c r="F2933" s="5">
        <v>186451998</v>
      </c>
      <c r="G2933" s="5">
        <v>1.3160376308628368</v>
      </c>
      <c r="H2933" s="5">
        <v>8298.1885264141711</v>
      </c>
      <c r="I2933" s="5">
        <v>109.20728368755279</v>
      </c>
    </row>
    <row r="2934" spans="1:9" x14ac:dyDescent="0.2">
      <c r="A2934" s="5" t="s">
        <v>104</v>
      </c>
      <c r="B2934" s="5" t="s">
        <v>44</v>
      </c>
      <c r="C2934" s="5" t="s">
        <v>61</v>
      </c>
      <c r="D2934" s="5">
        <v>1716971</v>
      </c>
      <c r="E2934" s="5">
        <v>21986</v>
      </c>
      <c r="F2934" s="5">
        <v>180723018</v>
      </c>
      <c r="G2934" s="5">
        <v>1.2805108531244849</v>
      </c>
      <c r="H2934" s="5">
        <v>8219.9134904029834</v>
      </c>
      <c r="I2934" s="5">
        <v>105.25688436205387</v>
      </c>
    </row>
    <row r="2935" spans="1:9" x14ac:dyDescent="0.2">
      <c r="A2935" s="5" t="s">
        <v>104</v>
      </c>
      <c r="B2935" s="5" t="s">
        <v>44</v>
      </c>
      <c r="C2935" s="5" t="s">
        <v>62</v>
      </c>
      <c r="D2935" s="5">
        <v>1726438</v>
      </c>
      <c r="E2935" s="5">
        <v>21719</v>
      </c>
      <c r="F2935" s="5">
        <v>184335381</v>
      </c>
      <c r="G2935" s="5">
        <v>1.2580237460018837</v>
      </c>
      <c r="H2935" s="5">
        <v>8487.2867535337718</v>
      </c>
      <c r="I2935" s="5">
        <v>106.77208275072722</v>
      </c>
    </row>
    <row r="2936" spans="1:9" x14ac:dyDescent="0.2">
      <c r="A2936" s="5" t="s">
        <v>104</v>
      </c>
      <c r="B2936" s="5" t="s">
        <v>63</v>
      </c>
      <c r="C2936" s="5" t="s">
        <v>45</v>
      </c>
      <c r="D2936" s="5">
        <v>1613643</v>
      </c>
      <c r="E2936" s="5">
        <v>59447</v>
      </c>
      <c r="F2936" s="5">
        <v>133581101</v>
      </c>
      <c r="G2936" s="5">
        <v>3.6840242854212488</v>
      </c>
      <c r="H2936" s="5">
        <v>2247.0621057412486</v>
      </c>
      <c r="I2936" s="5">
        <v>82.7823136840057</v>
      </c>
    </row>
    <row r="2937" spans="1:9" x14ac:dyDescent="0.2">
      <c r="A2937" s="5" t="s">
        <v>104</v>
      </c>
      <c r="B2937" s="5" t="s">
        <v>63</v>
      </c>
      <c r="C2937" s="5" t="s">
        <v>46</v>
      </c>
      <c r="D2937" s="5">
        <v>1623440</v>
      </c>
      <c r="E2937" s="5">
        <v>59674</v>
      </c>
      <c r="F2937" s="5">
        <v>138119586</v>
      </c>
      <c r="G2937" s="5">
        <v>3.675774897747992</v>
      </c>
      <c r="H2937" s="5">
        <v>2314.5689244897276</v>
      </c>
      <c r="I2937" s="5">
        <v>85.078343517469079</v>
      </c>
    </row>
    <row r="2938" spans="1:9" x14ac:dyDescent="0.2">
      <c r="A2938" s="5" t="s">
        <v>104</v>
      </c>
      <c r="B2938" s="5" t="s">
        <v>63</v>
      </c>
      <c r="C2938" s="5" t="s">
        <v>47</v>
      </c>
      <c r="D2938" s="5">
        <v>1633250</v>
      </c>
      <c r="E2938" s="5">
        <v>60148</v>
      </c>
      <c r="F2938" s="5">
        <v>140428789</v>
      </c>
      <c r="G2938" s="5">
        <v>3.6827185060462266</v>
      </c>
      <c r="H2938" s="5">
        <v>2334.7208385981248</v>
      </c>
      <c r="I2938" s="5">
        <v>85.98119638757079</v>
      </c>
    </row>
    <row r="2939" spans="1:9" x14ac:dyDescent="0.2">
      <c r="A2939" s="5" t="s">
        <v>104</v>
      </c>
      <c r="B2939" s="5" t="s">
        <v>63</v>
      </c>
      <c r="C2939" s="5" t="s">
        <v>48</v>
      </c>
      <c r="D2939" s="5">
        <v>1642564</v>
      </c>
      <c r="E2939" s="5">
        <v>61186</v>
      </c>
      <c r="F2939" s="5">
        <v>142719720</v>
      </c>
      <c r="G2939" s="5">
        <v>3.7250298922903462</v>
      </c>
      <c r="H2939" s="5">
        <v>2332.5551596770501</v>
      </c>
      <c r="I2939" s="5">
        <v>86.88837695213094</v>
      </c>
    </row>
    <row r="2940" spans="1:9" x14ac:dyDescent="0.2">
      <c r="A2940" s="5" t="s">
        <v>104</v>
      </c>
      <c r="B2940" s="5" t="s">
        <v>63</v>
      </c>
      <c r="C2940" s="5" t="s">
        <v>49</v>
      </c>
      <c r="D2940" s="5">
        <v>1650405</v>
      </c>
      <c r="E2940" s="5">
        <v>62140</v>
      </c>
      <c r="F2940" s="5">
        <v>143773611</v>
      </c>
      <c r="G2940" s="5">
        <v>3.7651364362080821</v>
      </c>
      <c r="H2940" s="5">
        <v>2313.7047151593179</v>
      </c>
      <c r="I2940" s="5">
        <v>87.114139256727896</v>
      </c>
    </row>
    <row r="2941" spans="1:9" x14ac:dyDescent="0.2">
      <c r="A2941" s="5" t="s">
        <v>104</v>
      </c>
      <c r="B2941" s="5" t="s">
        <v>63</v>
      </c>
      <c r="C2941" s="5" t="s">
        <v>50</v>
      </c>
      <c r="D2941" s="5">
        <v>1656132</v>
      </c>
      <c r="E2941" s="5">
        <v>62421</v>
      </c>
      <c r="F2941" s="5">
        <v>143102597</v>
      </c>
      <c r="G2941" s="5">
        <v>3.7690836237691197</v>
      </c>
      <c r="H2941" s="5">
        <v>2292.5393217026322</v>
      </c>
      <c r="I2941" s="5">
        <v>86.407724142761566</v>
      </c>
    </row>
    <row r="2942" spans="1:9" x14ac:dyDescent="0.2">
      <c r="A2942" s="5" t="s">
        <v>104</v>
      </c>
      <c r="B2942" s="5" t="s">
        <v>63</v>
      </c>
      <c r="C2942" s="5" t="s">
        <v>51</v>
      </c>
      <c r="D2942" s="5">
        <v>1659734</v>
      </c>
      <c r="E2942" s="5">
        <v>61285</v>
      </c>
      <c r="F2942" s="5">
        <v>141336498</v>
      </c>
      <c r="G2942" s="5">
        <v>3.6924591530932065</v>
      </c>
      <c r="H2942" s="5">
        <v>2306.2168230398956</v>
      </c>
      <c r="I2942" s="5">
        <v>85.156114172511977</v>
      </c>
    </row>
    <row r="2943" spans="1:9" x14ac:dyDescent="0.2">
      <c r="A2943" s="5" t="s">
        <v>104</v>
      </c>
      <c r="B2943" s="5" t="s">
        <v>63</v>
      </c>
      <c r="C2943" s="5" t="s">
        <v>52</v>
      </c>
      <c r="D2943" s="5">
        <v>1661500</v>
      </c>
      <c r="E2943" s="5">
        <v>60237</v>
      </c>
      <c r="F2943" s="5">
        <v>139497277</v>
      </c>
      <c r="G2943" s="5">
        <v>3.6254589226602469</v>
      </c>
      <c r="H2943" s="5">
        <v>2315.8071783123328</v>
      </c>
      <c r="I2943" s="5">
        <v>83.958637977730973</v>
      </c>
    </row>
    <row r="2944" spans="1:9" x14ac:dyDescent="0.2">
      <c r="A2944" s="5" t="s">
        <v>104</v>
      </c>
      <c r="B2944" s="5" t="s">
        <v>63</v>
      </c>
      <c r="C2944" s="5" t="s">
        <v>53</v>
      </c>
      <c r="D2944" s="5">
        <v>1663303</v>
      </c>
      <c r="E2944" s="5">
        <v>59421</v>
      </c>
      <c r="F2944" s="5">
        <v>137703096</v>
      </c>
      <c r="G2944" s="5">
        <v>3.5724699588709936</v>
      </c>
      <c r="H2944" s="5">
        <v>2317.4146513858736</v>
      </c>
      <c r="I2944" s="5">
        <v>82.788942243235297</v>
      </c>
    </row>
    <row r="2945" spans="1:9" x14ac:dyDescent="0.2">
      <c r="A2945" s="5" t="s">
        <v>104</v>
      </c>
      <c r="B2945" s="5" t="s">
        <v>63</v>
      </c>
      <c r="C2945" s="5" t="s">
        <v>54</v>
      </c>
      <c r="D2945" s="5">
        <v>1664948</v>
      </c>
      <c r="E2945" s="5">
        <v>58906</v>
      </c>
      <c r="F2945" s="5">
        <v>136536104</v>
      </c>
      <c r="G2945" s="5">
        <v>3.5380083942561571</v>
      </c>
      <c r="H2945" s="5">
        <v>2317.8641225002548</v>
      </c>
      <c r="I2945" s="5">
        <v>82.006227221510827</v>
      </c>
    </row>
    <row r="2946" spans="1:9" x14ac:dyDescent="0.2">
      <c r="A2946" s="5" t="s">
        <v>104</v>
      </c>
      <c r="B2946" s="5" t="s">
        <v>63</v>
      </c>
      <c r="C2946" s="5" t="s">
        <v>55</v>
      </c>
      <c r="D2946" s="5">
        <v>1668584</v>
      </c>
      <c r="E2946" s="5">
        <v>58796</v>
      </c>
      <c r="F2946" s="5">
        <v>136771067</v>
      </c>
      <c r="G2946" s="5">
        <v>3.5237063282399927</v>
      </c>
      <c r="H2946" s="5">
        <v>2326.1967991019797</v>
      </c>
      <c r="I2946" s="5">
        <v>81.968343817272611</v>
      </c>
    </row>
    <row r="2947" spans="1:9" x14ac:dyDescent="0.2">
      <c r="A2947" s="5" t="s">
        <v>104</v>
      </c>
      <c r="B2947" s="5" t="s">
        <v>63</v>
      </c>
      <c r="C2947" s="5" t="s">
        <v>56</v>
      </c>
      <c r="D2947" s="5">
        <v>1674007</v>
      </c>
      <c r="E2947" s="5">
        <v>58778</v>
      </c>
      <c r="F2947" s="5">
        <v>137380076</v>
      </c>
      <c r="G2947" s="5">
        <v>3.511215902920358</v>
      </c>
      <c r="H2947" s="5">
        <v>2337.2703392425738</v>
      </c>
      <c r="I2947" s="5">
        <v>82.066607845725855</v>
      </c>
    </row>
    <row r="2948" spans="1:9" x14ac:dyDescent="0.2">
      <c r="A2948" s="5" t="s">
        <v>104</v>
      </c>
      <c r="B2948" s="5" t="s">
        <v>63</v>
      </c>
      <c r="C2948" s="5" t="s">
        <v>57</v>
      </c>
      <c r="D2948" s="5">
        <v>1680793</v>
      </c>
      <c r="E2948" s="5">
        <v>58515</v>
      </c>
      <c r="F2948" s="5">
        <v>137877231</v>
      </c>
      <c r="G2948" s="5">
        <v>3.4813924141759278</v>
      </c>
      <c r="H2948" s="5">
        <v>2356.2715713919506</v>
      </c>
      <c r="I2948" s="5">
        <v>82.031059743823306</v>
      </c>
    </row>
    <row r="2949" spans="1:9" x14ac:dyDescent="0.2">
      <c r="A2949" s="5" t="s">
        <v>104</v>
      </c>
      <c r="B2949" s="5" t="s">
        <v>63</v>
      </c>
      <c r="C2949" s="5" t="s">
        <v>58</v>
      </c>
      <c r="D2949" s="5">
        <v>1689313</v>
      </c>
      <c r="E2949" s="5">
        <v>57782</v>
      </c>
      <c r="F2949" s="5">
        <v>135951990</v>
      </c>
      <c r="G2949" s="5">
        <v>3.4204436951589194</v>
      </c>
      <c r="H2949" s="5">
        <v>2352.8432729915889</v>
      </c>
      <c r="I2949" s="5">
        <v>80.47767938801158</v>
      </c>
    </row>
    <row r="2950" spans="1:9" x14ac:dyDescent="0.2">
      <c r="A2950" s="5" t="s">
        <v>104</v>
      </c>
      <c r="B2950" s="5" t="s">
        <v>63</v>
      </c>
      <c r="C2950" s="5" t="s">
        <v>59</v>
      </c>
      <c r="D2950" s="5">
        <v>1698348</v>
      </c>
      <c r="E2950" s="5">
        <v>57580</v>
      </c>
      <c r="F2950" s="5">
        <v>136094938</v>
      </c>
      <c r="G2950" s="5">
        <v>3.3903534493519585</v>
      </c>
      <c r="H2950" s="5">
        <v>2363.5800277874264</v>
      </c>
      <c r="I2950" s="5">
        <v>80.133717000284989</v>
      </c>
    </row>
    <row r="2951" spans="1:9" x14ac:dyDescent="0.2">
      <c r="A2951" s="5" t="s">
        <v>104</v>
      </c>
      <c r="B2951" s="5" t="s">
        <v>63</v>
      </c>
      <c r="C2951" s="5" t="s">
        <v>60</v>
      </c>
      <c r="D2951" s="5">
        <v>1707322</v>
      </c>
      <c r="E2951" s="5">
        <v>57729</v>
      </c>
      <c r="F2951" s="5">
        <v>137656017</v>
      </c>
      <c r="G2951" s="5">
        <v>3.3812602426490139</v>
      </c>
      <c r="H2951" s="5">
        <v>2384.5210725978277</v>
      </c>
      <c r="I2951" s="5">
        <v>80.62686300533818</v>
      </c>
    </row>
    <row r="2952" spans="1:9" x14ac:dyDescent="0.2">
      <c r="A2952" s="5" t="s">
        <v>104</v>
      </c>
      <c r="B2952" s="5" t="s">
        <v>63</v>
      </c>
      <c r="C2952" s="5" t="s">
        <v>61</v>
      </c>
      <c r="D2952" s="5">
        <v>1716971</v>
      </c>
      <c r="E2952" s="5">
        <v>57496</v>
      </c>
      <c r="F2952" s="5">
        <v>137227468</v>
      </c>
      <c r="G2952" s="5">
        <v>3.3486878928065762</v>
      </c>
      <c r="H2952" s="5">
        <v>2386.7306943091694</v>
      </c>
      <c r="I2952" s="5">
        <v>79.924161794229491</v>
      </c>
    </row>
    <row r="2953" spans="1:9" x14ac:dyDescent="0.2">
      <c r="A2953" s="5" t="s">
        <v>104</v>
      </c>
      <c r="B2953" s="5" t="s">
        <v>63</v>
      </c>
      <c r="C2953" s="5" t="s">
        <v>62</v>
      </c>
      <c r="D2953" s="5">
        <v>1726438</v>
      </c>
      <c r="E2953" s="5">
        <v>58463</v>
      </c>
      <c r="F2953" s="5">
        <v>140880160</v>
      </c>
      <c r="G2953" s="5">
        <v>3.3863364916666572</v>
      </c>
      <c r="H2953" s="5">
        <v>2409.7319672271351</v>
      </c>
      <c r="I2953" s="5">
        <v>81.601632957569279</v>
      </c>
    </row>
    <row r="2954" spans="1:9" x14ac:dyDescent="0.2">
      <c r="A2954" s="5" t="s">
        <v>104</v>
      </c>
      <c r="B2954" s="5" t="s">
        <v>73</v>
      </c>
      <c r="C2954" s="5" t="s">
        <v>45</v>
      </c>
      <c r="D2954" s="5">
        <v>1613643</v>
      </c>
      <c r="E2954" s="5">
        <v>32658</v>
      </c>
      <c r="F2954" s="5">
        <v>74047065</v>
      </c>
      <c r="G2954" s="5">
        <v>2.023867732825662</v>
      </c>
      <c r="H2954" s="5">
        <v>2267.3484291750874</v>
      </c>
      <c r="I2954" s="5">
        <v>45.888133248804102</v>
      </c>
    </row>
    <row r="2955" spans="1:9" x14ac:dyDescent="0.2">
      <c r="A2955" s="5" t="s">
        <v>104</v>
      </c>
      <c r="B2955" s="5" t="s">
        <v>73</v>
      </c>
      <c r="C2955" s="5" t="s">
        <v>46</v>
      </c>
      <c r="D2955" s="5">
        <v>1623440</v>
      </c>
      <c r="E2955" s="5">
        <v>31617</v>
      </c>
      <c r="F2955" s="5">
        <v>78644261</v>
      </c>
      <c r="G2955" s="5">
        <v>1.9475311683831864</v>
      </c>
      <c r="H2955" s="5">
        <v>2487.4042761805358</v>
      </c>
      <c r="I2955" s="5">
        <v>48.442973562312126</v>
      </c>
    </row>
    <row r="2956" spans="1:9" x14ac:dyDescent="0.2">
      <c r="A2956" s="5" t="s">
        <v>104</v>
      </c>
      <c r="B2956" s="5" t="s">
        <v>73</v>
      </c>
      <c r="C2956" s="5" t="s">
        <v>47</v>
      </c>
      <c r="D2956" s="5">
        <v>1633250</v>
      </c>
      <c r="E2956" s="5">
        <v>32243</v>
      </c>
      <c r="F2956" s="5">
        <v>82301045</v>
      </c>
      <c r="G2956" s="5">
        <v>1.9741619470381142</v>
      </c>
      <c r="H2956" s="5">
        <v>2552.5244239059639</v>
      </c>
      <c r="I2956" s="5">
        <v>50.390965865605388</v>
      </c>
    </row>
    <row r="2957" spans="1:9" x14ac:dyDescent="0.2">
      <c r="A2957" s="5" t="s">
        <v>104</v>
      </c>
      <c r="B2957" s="5" t="s">
        <v>73</v>
      </c>
      <c r="C2957" s="5" t="s">
        <v>48</v>
      </c>
      <c r="D2957" s="5">
        <v>1642564</v>
      </c>
      <c r="E2957" s="5">
        <v>33160</v>
      </c>
      <c r="F2957" s="5">
        <v>85810221</v>
      </c>
      <c r="G2957" s="5">
        <v>2.0187950058566972</v>
      </c>
      <c r="H2957" s="5">
        <v>2587.7629975874547</v>
      </c>
      <c r="I2957" s="5">
        <v>52.241630158703103</v>
      </c>
    </row>
    <row r="2958" spans="1:9" x14ac:dyDescent="0.2">
      <c r="A2958" s="5" t="s">
        <v>104</v>
      </c>
      <c r="B2958" s="5" t="s">
        <v>73</v>
      </c>
      <c r="C2958" s="5" t="s">
        <v>49</v>
      </c>
      <c r="D2958" s="5">
        <v>1650405</v>
      </c>
      <c r="E2958" s="5">
        <v>34441</v>
      </c>
      <c r="F2958" s="5">
        <v>86446823</v>
      </c>
      <c r="G2958" s="5">
        <v>2.0868211136054482</v>
      </c>
      <c r="H2958" s="5">
        <v>2509.9974739409427</v>
      </c>
      <c r="I2958" s="5">
        <v>52.379157237163</v>
      </c>
    </row>
    <row r="2959" spans="1:9" x14ac:dyDescent="0.2">
      <c r="A2959" s="5" t="s">
        <v>104</v>
      </c>
      <c r="B2959" s="5" t="s">
        <v>73</v>
      </c>
      <c r="C2959" s="5" t="s">
        <v>50</v>
      </c>
      <c r="D2959" s="5">
        <v>1656132</v>
      </c>
      <c r="E2959" s="5">
        <v>36121</v>
      </c>
      <c r="F2959" s="5">
        <v>83875372</v>
      </c>
      <c r="G2959" s="5">
        <v>2.1810459552740964</v>
      </c>
      <c r="H2959" s="5">
        <v>2322.0667201904707</v>
      </c>
      <c r="I2959" s="5">
        <v>50.64534227948014</v>
      </c>
    </row>
    <row r="2960" spans="1:9" x14ac:dyDescent="0.2">
      <c r="A2960" s="5" t="s">
        <v>104</v>
      </c>
      <c r="B2960" s="5" t="s">
        <v>73</v>
      </c>
      <c r="C2960" s="5" t="s">
        <v>51</v>
      </c>
      <c r="D2960" s="5">
        <v>1659734</v>
      </c>
      <c r="E2960" s="5">
        <v>36317</v>
      </c>
      <c r="F2960" s="5">
        <v>82769604</v>
      </c>
      <c r="G2960" s="5">
        <v>2.188121711069364</v>
      </c>
      <c r="H2960" s="5">
        <v>2279.0870391276812</v>
      </c>
      <c r="I2960" s="5">
        <v>49.86919831732073</v>
      </c>
    </row>
    <row r="2961" spans="1:9" x14ac:dyDescent="0.2">
      <c r="A2961" s="5" t="s">
        <v>104</v>
      </c>
      <c r="B2961" s="5" t="s">
        <v>73</v>
      </c>
      <c r="C2961" s="5" t="s">
        <v>52</v>
      </c>
      <c r="D2961" s="5">
        <v>1661500</v>
      </c>
      <c r="E2961" s="5">
        <v>35631</v>
      </c>
      <c r="F2961" s="5">
        <v>80422106</v>
      </c>
      <c r="G2961" s="5">
        <v>2.1445079747216371</v>
      </c>
      <c r="H2961" s="5">
        <v>2257.0824843535124</v>
      </c>
      <c r="I2961" s="5">
        <v>48.403313873006319</v>
      </c>
    </row>
    <row r="2962" spans="1:9" x14ac:dyDescent="0.2">
      <c r="A2962" s="5" t="s">
        <v>104</v>
      </c>
      <c r="B2962" s="5" t="s">
        <v>73</v>
      </c>
      <c r="C2962" s="5" t="s">
        <v>53</v>
      </c>
      <c r="D2962" s="5">
        <v>1663303</v>
      </c>
      <c r="E2962" s="5">
        <v>35872</v>
      </c>
      <c r="F2962" s="5">
        <v>83830310</v>
      </c>
      <c r="G2962" s="5">
        <v>2.1566725966345279</v>
      </c>
      <c r="H2962" s="5">
        <v>2336.9288024085636</v>
      </c>
      <c r="I2962" s="5">
        <v>50.399903084404947</v>
      </c>
    </row>
    <row r="2963" spans="1:9" x14ac:dyDescent="0.2">
      <c r="A2963" s="5" t="s">
        <v>104</v>
      </c>
      <c r="B2963" s="5" t="s">
        <v>73</v>
      </c>
      <c r="C2963" s="5" t="s">
        <v>54</v>
      </c>
      <c r="D2963" s="5">
        <v>1664948</v>
      </c>
      <c r="E2963" s="5">
        <v>35462</v>
      </c>
      <c r="F2963" s="5">
        <v>84537431</v>
      </c>
      <c r="G2963" s="5">
        <v>2.129916369760497</v>
      </c>
      <c r="H2963" s="5">
        <v>2383.8878517850094</v>
      </c>
      <c r="I2963" s="5">
        <v>50.774817591900771</v>
      </c>
    </row>
    <row r="2964" spans="1:9" x14ac:dyDescent="0.2">
      <c r="A2964" s="5" t="s">
        <v>104</v>
      </c>
      <c r="B2964" s="5" t="s">
        <v>73</v>
      </c>
      <c r="C2964" s="5" t="s">
        <v>55</v>
      </c>
      <c r="D2964" s="5">
        <v>1668584</v>
      </c>
      <c r="E2964" s="5">
        <v>34584</v>
      </c>
      <c r="F2964" s="5">
        <v>82820368</v>
      </c>
      <c r="G2964" s="5">
        <v>2.0726556169782282</v>
      </c>
      <c r="H2964" s="5">
        <v>2394.7596576451538</v>
      </c>
      <c r="I2964" s="5">
        <v>49.63512055731087</v>
      </c>
    </row>
    <row r="2965" spans="1:9" x14ac:dyDescent="0.2">
      <c r="A2965" s="5" t="s">
        <v>104</v>
      </c>
      <c r="B2965" s="5" t="s">
        <v>73</v>
      </c>
      <c r="C2965" s="5" t="s">
        <v>56</v>
      </c>
      <c r="D2965" s="5">
        <v>1674007</v>
      </c>
      <c r="E2965" s="5">
        <v>34596</v>
      </c>
      <c r="F2965" s="5">
        <v>83166634</v>
      </c>
      <c r="G2965" s="5">
        <v>2.066658024727495</v>
      </c>
      <c r="H2965" s="5">
        <v>2403.9378540871776</v>
      </c>
      <c r="I2965" s="5">
        <v>49.681174570954603</v>
      </c>
    </row>
    <row r="2966" spans="1:9" x14ac:dyDescent="0.2">
      <c r="A2966" s="5" t="s">
        <v>104</v>
      </c>
      <c r="B2966" s="5" t="s">
        <v>73</v>
      </c>
      <c r="C2966" s="5" t="s">
        <v>57</v>
      </c>
      <c r="D2966" s="5">
        <v>1680793</v>
      </c>
      <c r="E2966" s="5">
        <v>33655</v>
      </c>
      <c r="F2966" s="5">
        <v>79586289</v>
      </c>
      <c r="G2966" s="5">
        <v>2.0023286627205135</v>
      </c>
      <c r="H2966" s="5">
        <v>2364.7686525033428</v>
      </c>
      <c r="I2966" s="5">
        <v>47.350440536104088</v>
      </c>
    </row>
    <row r="2967" spans="1:9" x14ac:dyDescent="0.2">
      <c r="A2967" s="5" t="s">
        <v>104</v>
      </c>
      <c r="B2967" s="5" t="s">
        <v>73</v>
      </c>
      <c r="C2967" s="5" t="s">
        <v>58</v>
      </c>
      <c r="D2967" s="5">
        <v>1689313</v>
      </c>
      <c r="E2967" s="5">
        <v>33418</v>
      </c>
      <c r="F2967" s="5">
        <v>78491667</v>
      </c>
      <c r="G2967" s="5">
        <v>1.9782006058083967</v>
      </c>
      <c r="H2967" s="5">
        <v>2348.7840983900892</v>
      </c>
      <c r="I2967" s="5">
        <v>46.463661263484035</v>
      </c>
    </row>
    <row r="2968" spans="1:9" x14ac:dyDescent="0.2">
      <c r="A2968" s="5" t="s">
        <v>104</v>
      </c>
      <c r="B2968" s="5" t="s">
        <v>73</v>
      </c>
      <c r="C2968" s="5" t="s">
        <v>59</v>
      </c>
      <c r="D2968" s="5">
        <v>1698348</v>
      </c>
      <c r="E2968" s="5">
        <v>33283</v>
      </c>
      <c r="F2968" s="5">
        <v>81159432</v>
      </c>
      <c r="G2968" s="5">
        <v>1.9597279238412857</v>
      </c>
      <c r="H2968" s="5">
        <v>2438.4650422137429</v>
      </c>
      <c r="I2968" s="5">
        <v>47.787280345370917</v>
      </c>
    </row>
    <row r="2969" spans="1:9" x14ac:dyDescent="0.2">
      <c r="A2969" s="5" t="s">
        <v>104</v>
      </c>
      <c r="B2969" s="5" t="s">
        <v>73</v>
      </c>
      <c r="C2969" s="5" t="s">
        <v>60</v>
      </c>
      <c r="D2969" s="5">
        <v>1707322</v>
      </c>
      <c r="E2969" s="5">
        <v>32458</v>
      </c>
      <c r="F2969" s="5">
        <v>83162674</v>
      </c>
      <c r="G2969" s="5">
        <v>1.9011059425228516</v>
      </c>
      <c r="H2969" s="5">
        <v>2562.1626101423376</v>
      </c>
      <c r="I2969" s="5">
        <v>48.709425638514588</v>
      </c>
    </row>
    <row r="2970" spans="1:9" x14ac:dyDescent="0.2">
      <c r="A2970" s="5" t="s">
        <v>104</v>
      </c>
      <c r="B2970" s="5" t="s">
        <v>73</v>
      </c>
      <c r="C2970" s="5" t="s">
        <v>61</v>
      </c>
      <c r="D2970" s="5">
        <v>1716971</v>
      </c>
      <c r="E2970" s="5">
        <v>32290</v>
      </c>
      <c r="F2970" s="5">
        <v>86055487</v>
      </c>
      <c r="G2970" s="5">
        <v>1.8806374714540899</v>
      </c>
      <c r="H2970" s="5">
        <v>2665.081666150511</v>
      </c>
      <c r="I2970" s="5">
        <v>50.120524458479494</v>
      </c>
    </row>
    <row r="2971" spans="1:9" x14ac:dyDescent="0.2">
      <c r="A2971" s="5" t="s">
        <v>104</v>
      </c>
      <c r="B2971" s="5" t="s">
        <v>73</v>
      </c>
      <c r="C2971" s="5" t="s">
        <v>62</v>
      </c>
      <c r="D2971" s="5">
        <v>1726438</v>
      </c>
      <c r="E2971" s="5">
        <v>31262</v>
      </c>
      <c r="F2971" s="5">
        <v>88552055</v>
      </c>
      <c r="G2971" s="5">
        <v>1.8107803465864398</v>
      </c>
      <c r="H2971" s="5">
        <v>2832.5780500287888</v>
      </c>
      <c r="I2971" s="5">
        <v>51.291766631642723</v>
      </c>
    </row>
    <row r="2972" spans="1:9" x14ac:dyDescent="0.2">
      <c r="A2972" s="5" t="s">
        <v>104</v>
      </c>
      <c r="B2972" s="5" t="s">
        <v>64</v>
      </c>
      <c r="C2972" s="5" t="s">
        <v>45</v>
      </c>
      <c r="D2972" s="5">
        <v>1374108</v>
      </c>
      <c r="E2972" s="5">
        <v>108416</v>
      </c>
      <c r="F2972" s="5">
        <v>76435197</v>
      </c>
      <c r="G2972" s="5">
        <v>7.8899184052490776</v>
      </c>
      <c r="H2972" s="5">
        <v>705.01768189197162</v>
      </c>
      <c r="I2972" s="5">
        <v>55.625319843855067</v>
      </c>
    </row>
    <row r="2973" spans="1:9" x14ac:dyDescent="0.2">
      <c r="A2973" s="5" t="s">
        <v>104</v>
      </c>
      <c r="B2973" s="5" t="s">
        <v>64</v>
      </c>
      <c r="C2973" s="5" t="s">
        <v>46</v>
      </c>
      <c r="D2973" s="5">
        <v>1380932</v>
      </c>
      <c r="E2973" s="5">
        <v>107603</v>
      </c>
      <c r="F2973" s="5">
        <v>78693535</v>
      </c>
      <c r="G2973" s="5">
        <v>7.7920563793148396</v>
      </c>
      <c r="H2973" s="5">
        <v>731.33216546007077</v>
      </c>
      <c r="I2973" s="5">
        <v>56.985814652712804</v>
      </c>
    </row>
    <row r="2974" spans="1:9" x14ac:dyDescent="0.2">
      <c r="A2974" s="5" t="s">
        <v>104</v>
      </c>
      <c r="B2974" s="5" t="s">
        <v>64</v>
      </c>
      <c r="C2974" s="5" t="s">
        <v>47</v>
      </c>
      <c r="D2974" s="5">
        <v>1387606</v>
      </c>
      <c r="E2974" s="5">
        <v>108920</v>
      </c>
      <c r="F2974" s="5">
        <v>81734872</v>
      </c>
      <c r="G2974" s="5">
        <v>7.8494904173086599</v>
      </c>
      <c r="H2974" s="5">
        <v>750.41197208960705</v>
      </c>
      <c r="I2974" s="5">
        <v>58.903515839510639</v>
      </c>
    </row>
    <row r="2975" spans="1:9" x14ac:dyDescent="0.2">
      <c r="A2975" s="5" t="s">
        <v>104</v>
      </c>
      <c r="B2975" s="5" t="s">
        <v>64</v>
      </c>
      <c r="C2975" s="5" t="s">
        <v>48</v>
      </c>
      <c r="D2975" s="5">
        <v>1393799</v>
      </c>
      <c r="E2975" s="5">
        <v>109312</v>
      </c>
      <c r="F2975" s="5">
        <v>83317014</v>
      </c>
      <c r="G2975" s="5">
        <v>7.8427377261714204</v>
      </c>
      <c r="H2975" s="5">
        <v>762.19458064988294</v>
      </c>
      <c r="I2975" s="5">
        <v>59.776921923462425</v>
      </c>
    </row>
    <row r="2976" spans="1:9" x14ac:dyDescent="0.2">
      <c r="A2976" s="5" t="s">
        <v>104</v>
      </c>
      <c r="B2976" s="5" t="s">
        <v>64</v>
      </c>
      <c r="C2976" s="5" t="s">
        <v>49</v>
      </c>
      <c r="D2976" s="5">
        <v>1398745</v>
      </c>
      <c r="E2976" s="5">
        <v>110223</v>
      </c>
      <c r="F2976" s="5">
        <v>83071263</v>
      </c>
      <c r="G2976" s="5">
        <v>7.8801354070970762</v>
      </c>
      <c r="H2976" s="5">
        <v>753.66541465937235</v>
      </c>
      <c r="I2976" s="5">
        <v>59.389855191618203</v>
      </c>
    </row>
    <row r="2977" spans="1:9" x14ac:dyDescent="0.2">
      <c r="A2977" s="5" t="s">
        <v>104</v>
      </c>
      <c r="B2977" s="5" t="s">
        <v>64</v>
      </c>
      <c r="C2977" s="5" t="s">
        <v>50</v>
      </c>
      <c r="D2977" s="5">
        <v>1401569</v>
      </c>
      <c r="E2977" s="5">
        <v>107623</v>
      </c>
      <c r="F2977" s="5">
        <v>80937954</v>
      </c>
      <c r="G2977" s="5">
        <v>7.6787514564035018</v>
      </c>
      <c r="H2977" s="5">
        <v>752.05071406669583</v>
      </c>
      <c r="I2977" s="5">
        <v>57.748105159289338</v>
      </c>
    </row>
    <row r="2978" spans="1:9" x14ac:dyDescent="0.2">
      <c r="A2978" s="5" t="s">
        <v>104</v>
      </c>
      <c r="B2978" s="5" t="s">
        <v>64</v>
      </c>
      <c r="C2978" s="5" t="s">
        <v>51</v>
      </c>
      <c r="D2978" s="5">
        <v>1402481</v>
      </c>
      <c r="E2978" s="5">
        <v>103044</v>
      </c>
      <c r="F2978" s="5">
        <v>76939656</v>
      </c>
      <c r="G2978" s="5">
        <v>7.3472653105460966</v>
      </c>
      <c r="H2978" s="5">
        <v>746.66798649120767</v>
      </c>
      <c r="I2978" s="5">
        <v>54.859677956421514</v>
      </c>
    </row>
    <row r="2979" spans="1:9" x14ac:dyDescent="0.2">
      <c r="A2979" s="5" t="s">
        <v>104</v>
      </c>
      <c r="B2979" s="5" t="s">
        <v>64</v>
      </c>
      <c r="C2979" s="5" t="s">
        <v>52</v>
      </c>
      <c r="D2979" s="5">
        <v>1401616</v>
      </c>
      <c r="E2979" s="5">
        <v>101432</v>
      </c>
      <c r="F2979" s="5">
        <v>74404012</v>
      </c>
      <c r="G2979" s="5">
        <v>7.2367895343660464</v>
      </c>
      <c r="H2979" s="5">
        <v>733.53588611089208</v>
      </c>
      <c r="I2979" s="5">
        <v>53.084448236892271</v>
      </c>
    </row>
    <row r="2980" spans="1:9" x14ac:dyDescent="0.2">
      <c r="A2980" s="5" t="s">
        <v>104</v>
      </c>
      <c r="B2980" s="5" t="s">
        <v>64</v>
      </c>
      <c r="C2980" s="5" t="s">
        <v>53</v>
      </c>
      <c r="D2980" s="5">
        <v>1400804</v>
      </c>
      <c r="E2980" s="5">
        <v>98616</v>
      </c>
      <c r="F2980" s="5">
        <v>71532252</v>
      </c>
      <c r="G2980" s="5">
        <v>7.0399570532351419</v>
      </c>
      <c r="H2980" s="5">
        <v>725.36152348503288</v>
      </c>
      <c r="I2980" s="5">
        <v>51.065139734038453</v>
      </c>
    </row>
    <row r="2981" spans="1:9" x14ac:dyDescent="0.2">
      <c r="A2981" s="5" t="s">
        <v>104</v>
      </c>
      <c r="B2981" s="5" t="s">
        <v>64</v>
      </c>
      <c r="C2981" s="5" t="s">
        <v>54</v>
      </c>
      <c r="D2981" s="5">
        <v>1400158</v>
      </c>
      <c r="E2981" s="5">
        <v>102564</v>
      </c>
      <c r="F2981" s="5">
        <v>70760636</v>
      </c>
      <c r="G2981" s="5">
        <v>7.3251733018702172</v>
      </c>
      <c r="H2981" s="5">
        <v>689.91689091689091</v>
      </c>
      <c r="I2981" s="5">
        <v>50.537607898537168</v>
      </c>
    </row>
    <row r="2982" spans="1:9" x14ac:dyDescent="0.2">
      <c r="A2982" s="5" t="s">
        <v>104</v>
      </c>
      <c r="B2982" s="5" t="s">
        <v>64</v>
      </c>
      <c r="C2982" s="5" t="s">
        <v>55</v>
      </c>
      <c r="D2982" s="5">
        <v>1400823</v>
      </c>
      <c r="E2982" s="5">
        <v>106688</v>
      </c>
      <c r="F2982" s="5">
        <v>70415426</v>
      </c>
      <c r="G2982" s="5">
        <v>7.6160942531640332</v>
      </c>
      <c r="H2982" s="5">
        <v>660.01261622675463</v>
      </c>
      <c r="I2982" s="5">
        <v>50.267182934603447</v>
      </c>
    </row>
    <row r="2983" spans="1:9" x14ac:dyDescent="0.2">
      <c r="A2983" s="5" t="s">
        <v>104</v>
      </c>
      <c r="B2983" s="5" t="s">
        <v>64</v>
      </c>
      <c r="C2983" s="5" t="s">
        <v>56</v>
      </c>
      <c r="D2983" s="5">
        <v>1402907</v>
      </c>
      <c r="E2983" s="5">
        <v>105786</v>
      </c>
      <c r="F2983" s="5">
        <v>67885388</v>
      </c>
      <c r="G2983" s="5">
        <v>7.5404855774474004</v>
      </c>
      <c r="H2983" s="5">
        <v>641.72374416274363</v>
      </c>
      <c r="I2983" s="5">
        <v>48.389086375647139</v>
      </c>
    </row>
    <row r="2984" spans="1:9" x14ac:dyDescent="0.2">
      <c r="A2984" s="5" t="s">
        <v>104</v>
      </c>
      <c r="B2984" s="5" t="s">
        <v>64</v>
      </c>
      <c r="C2984" s="5" t="s">
        <v>57</v>
      </c>
      <c r="D2984" s="5">
        <v>1405972</v>
      </c>
      <c r="E2984" s="5">
        <v>105129</v>
      </c>
      <c r="F2984" s="5">
        <v>66412085</v>
      </c>
      <c r="G2984" s="5">
        <v>7.477318182723411</v>
      </c>
      <c r="H2984" s="5">
        <v>631.71993455659242</v>
      </c>
      <c r="I2984" s="5">
        <v>47.235709530488514</v>
      </c>
    </row>
    <row r="2985" spans="1:9" x14ac:dyDescent="0.2">
      <c r="A2985" s="5" t="s">
        <v>104</v>
      </c>
      <c r="B2985" s="5" t="s">
        <v>64</v>
      </c>
      <c r="C2985" s="5" t="s">
        <v>58</v>
      </c>
      <c r="D2985" s="5">
        <v>1410229</v>
      </c>
      <c r="E2985" s="5">
        <v>101751</v>
      </c>
      <c r="F2985" s="5">
        <v>63589418</v>
      </c>
      <c r="G2985" s="5">
        <v>7.2152111465584667</v>
      </c>
      <c r="H2985" s="5">
        <v>624.95128303407341</v>
      </c>
      <c r="I2985" s="5">
        <v>45.091554634034615</v>
      </c>
    </row>
    <row r="2986" spans="1:9" x14ac:dyDescent="0.2">
      <c r="A2986" s="5" t="s">
        <v>104</v>
      </c>
      <c r="B2986" s="5" t="s">
        <v>64</v>
      </c>
      <c r="C2986" s="5" t="s">
        <v>59</v>
      </c>
      <c r="D2986" s="5">
        <v>1415725</v>
      </c>
      <c r="E2986" s="5">
        <v>96422</v>
      </c>
      <c r="F2986" s="5">
        <v>62060460</v>
      </c>
      <c r="G2986" s="5">
        <v>6.8107859930424341</v>
      </c>
      <c r="H2986" s="5">
        <v>643.63381800833838</v>
      </c>
      <c r="I2986" s="5">
        <v>43.836521923396141</v>
      </c>
    </row>
    <row r="2987" spans="1:9" x14ac:dyDescent="0.2">
      <c r="A2987" s="5" t="s">
        <v>104</v>
      </c>
      <c r="B2987" s="5" t="s">
        <v>64</v>
      </c>
      <c r="C2987" s="5" t="s">
        <v>60</v>
      </c>
      <c r="D2987" s="5">
        <v>1422497</v>
      </c>
      <c r="E2987" s="5">
        <v>94760</v>
      </c>
      <c r="F2987" s="5">
        <v>61677038</v>
      </c>
      <c r="G2987" s="5">
        <v>6.6615254724614532</v>
      </c>
      <c r="H2987" s="5">
        <v>650.87629801604055</v>
      </c>
      <c r="I2987" s="5">
        <v>43.35829038655266</v>
      </c>
    </row>
    <row r="2988" spans="1:9" x14ac:dyDescent="0.2">
      <c r="A2988" s="5" t="s">
        <v>104</v>
      </c>
      <c r="B2988" s="5" t="s">
        <v>64</v>
      </c>
      <c r="C2988" s="5" t="s">
        <v>61</v>
      </c>
      <c r="D2988" s="5">
        <v>1430748</v>
      </c>
      <c r="E2988" s="5">
        <v>93858</v>
      </c>
      <c r="F2988" s="5">
        <v>61766089</v>
      </c>
      <c r="G2988" s="5">
        <v>6.5600650848367428</v>
      </c>
      <c r="H2988" s="5">
        <v>658.08017430586631</v>
      </c>
      <c r="I2988" s="5">
        <v>43.170487744871913</v>
      </c>
    </row>
    <row r="2989" spans="1:9" x14ac:dyDescent="0.2">
      <c r="A2989" s="5" t="s">
        <v>104</v>
      </c>
      <c r="B2989" s="5" t="s">
        <v>64</v>
      </c>
      <c r="C2989" s="5" t="s">
        <v>62</v>
      </c>
      <c r="D2989" s="5">
        <v>1440032</v>
      </c>
      <c r="E2989" s="5">
        <v>93657</v>
      </c>
      <c r="F2989" s="5">
        <v>63118505</v>
      </c>
      <c r="G2989" s="5">
        <v>6.5038138041376854</v>
      </c>
      <c r="H2989" s="5">
        <v>673.93259446704462</v>
      </c>
      <c r="I2989" s="5">
        <v>43.831321109530897</v>
      </c>
    </row>
    <row r="2990" spans="1:9" x14ac:dyDescent="0.2">
      <c r="A2990" s="5" t="s">
        <v>104</v>
      </c>
      <c r="B2990" s="5" t="s">
        <v>65</v>
      </c>
      <c r="C2990" s="5" t="s">
        <v>45</v>
      </c>
      <c r="D2990" s="5">
        <v>1253670</v>
      </c>
      <c r="E2990" s="5">
        <v>62949</v>
      </c>
      <c r="F2990" s="5">
        <v>163740992</v>
      </c>
      <c r="G2990" s="5">
        <v>5.0211778219148577</v>
      </c>
      <c r="H2990" s="5">
        <v>2601.1690733768605</v>
      </c>
      <c r="I2990" s="5">
        <v>130.60932462290714</v>
      </c>
    </row>
    <row r="2991" spans="1:9" x14ac:dyDescent="0.2">
      <c r="A2991" s="5" t="s">
        <v>104</v>
      </c>
      <c r="B2991" s="5" t="s">
        <v>65</v>
      </c>
      <c r="C2991" s="5" t="s">
        <v>46</v>
      </c>
      <c r="D2991" s="5">
        <v>1259330</v>
      </c>
      <c r="E2991" s="5">
        <v>64251</v>
      </c>
      <c r="F2991" s="5">
        <v>170169504</v>
      </c>
      <c r="G2991" s="5">
        <v>5.1019986818387553</v>
      </c>
      <c r="H2991" s="5">
        <v>2648.5113694728489</v>
      </c>
      <c r="I2991" s="5">
        <v>135.12701515885431</v>
      </c>
    </row>
    <row r="2992" spans="1:9" x14ac:dyDescent="0.2">
      <c r="A2992" s="5" t="s">
        <v>104</v>
      </c>
      <c r="B2992" s="5" t="s">
        <v>65</v>
      </c>
      <c r="C2992" s="5" t="s">
        <v>47</v>
      </c>
      <c r="D2992" s="5">
        <v>1264976</v>
      </c>
      <c r="E2992" s="5">
        <v>65483</v>
      </c>
      <c r="F2992" s="5">
        <v>173905735</v>
      </c>
      <c r="G2992" s="5">
        <v>5.1766199516828779</v>
      </c>
      <c r="H2992" s="5">
        <v>2655.7386649970222</v>
      </c>
      <c r="I2992" s="5">
        <v>137.47749759679235</v>
      </c>
    </row>
    <row r="2993" spans="1:9" x14ac:dyDescent="0.2">
      <c r="A2993" s="5" t="s">
        <v>104</v>
      </c>
      <c r="B2993" s="5" t="s">
        <v>65</v>
      </c>
      <c r="C2993" s="5" t="s">
        <v>48</v>
      </c>
      <c r="D2993" s="5">
        <v>1270524</v>
      </c>
      <c r="E2993" s="5">
        <v>66508</v>
      </c>
      <c r="F2993" s="5">
        <v>177712294</v>
      </c>
      <c r="G2993" s="5">
        <v>5.2346905686157834</v>
      </c>
      <c r="H2993" s="5">
        <v>2672.0438744211224</v>
      </c>
      <c r="I2993" s="5">
        <v>139.87322868359826</v>
      </c>
    </row>
    <row r="2994" spans="1:9" x14ac:dyDescent="0.2">
      <c r="A2994" s="5" t="s">
        <v>104</v>
      </c>
      <c r="B2994" s="5" t="s">
        <v>65</v>
      </c>
      <c r="C2994" s="5" t="s">
        <v>49</v>
      </c>
      <c r="D2994" s="5">
        <v>1274838</v>
      </c>
      <c r="E2994" s="5">
        <v>66276</v>
      </c>
      <c r="F2994" s="5">
        <v>174561145</v>
      </c>
      <c r="G2994" s="5">
        <v>5.1987781977004133</v>
      </c>
      <c r="H2994" s="5">
        <v>2633.8515450540167</v>
      </c>
      <c r="I2994" s="5">
        <v>136.9280998840637</v>
      </c>
    </row>
    <row r="2995" spans="1:9" x14ac:dyDescent="0.2">
      <c r="A2995" s="5" t="s">
        <v>104</v>
      </c>
      <c r="B2995" s="5" t="s">
        <v>65</v>
      </c>
      <c r="C2995" s="5" t="s">
        <v>50</v>
      </c>
      <c r="D2995" s="5">
        <v>1277141</v>
      </c>
      <c r="E2995" s="5">
        <v>64560</v>
      </c>
      <c r="F2995" s="5">
        <v>168416760</v>
      </c>
      <c r="G2995" s="5">
        <v>5.055040907777606</v>
      </c>
      <c r="H2995" s="5">
        <v>2608.685873605948</v>
      </c>
      <c r="I2995" s="5">
        <v>131.87013806619629</v>
      </c>
    </row>
    <row r="2996" spans="1:9" x14ac:dyDescent="0.2">
      <c r="A2996" s="5" t="s">
        <v>104</v>
      </c>
      <c r="B2996" s="5" t="s">
        <v>65</v>
      </c>
      <c r="C2996" s="5" t="s">
        <v>51</v>
      </c>
      <c r="D2996" s="5">
        <v>1277267</v>
      </c>
      <c r="E2996" s="5">
        <v>62298</v>
      </c>
      <c r="F2996" s="5">
        <v>163836303</v>
      </c>
      <c r="G2996" s="5">
        <v>4.8774453579400392</v>
      </c>
      <c r="H2996" s="5">
        <v>2629.880622170856</v>
      </c>
      <c r="I2996" s="5">
        <v>128.27099032543705</v>
      </c>
    </row>
    <row r="2997" spans="1:9" x14ac:dyDescent="0.2">
      <c r="A2997" s="5" t="s">
        <v>104</v>
      </c>
      <c r="B2997" s="5" t="s">
        <v>65</v>
      </c>
      <c r="C2997" s="5" t="s">
        <v>52</v>
      </c>
      <c r="D2997" s="5">
        <v>1275552</v>
      </c>
      <c r="E2997" s="5">
        <v>60031</v>
      </c>
      <c r="F2997" s="5">
        <v>157488156</v>
      </c>
      <c r="G2997" s="5">
        <v>4.7062761847419781</v>
      </c>
      <c r="H2997" s="5">
        <v>2623.4471523046427</v>
      </c>
      <c r="I2997" s="5">
        <v>123.46666854820501</v>
      </c>
    </row>
    <row r="2998" spans="1:9" x14ac:dyDescent="0.2">
      <c r="A2998" s="5" t="s">
        <v>104</v>
      </c>
      <c r="B2998" s="5" t="s">
        <v>65</v>
      </c>
      <c r="C2998" s="5" t="s">
        <v>53</v>
      </c>
      <c r="D2998" s="5">
        <v>1273584</v>
      </c>
      <c r="E2998" s="5">
        <v>59078</v>
      </c>
      <c r="F2998" s="5">
        <v>158879388</v>
      </c>
      <c r="G2998" s="5">
        <v>4.638720335682609</v>
      </c>
      <c r="H2998" s="5">
        <v>2689.3156166424051</v>
      </c>
      <c r="I2998" s="5">
        <v>124.7498303998794</v>
      </c>
    </row>
    <row r="2999" spans="1:9" x14ac:dyDescent="0.2">
      <c r="A2999" s="5" t="s">
        <v>104</v>
      </c>
      <c r="B2999" s="5" t="s">
        <v>65</v>
      </c>
      <c r="C2999" s="5" t="s">
        <v>54</v>
      </c>
      <c r="D2999" s="5">
        <v>1271748</v>
      </c>
      <c r="E2999" s="5">
        <v>59472</v>
      </c>
      <c r="F2999" s="5">
        <v>161299097</v>
      </c>
      <c r="G2999" s="5">
        <v>4.6763981543513333</v>
      </c>
      <c r="H2999" s="5">
        <v>2712.1855158730159</v>
      </c>
      <c r="I2999" s="5">
        <v>126.83259340686992</v>
      </c>
    </row>
    <row r="3000" spans="1:9" x14ac:dyDescent="0.2">
      <c r="A3000" s="5" t="s">
        <v>104</v>
      </c>
      <c r="B3000" s="5" t="s">
        <v>65</v>
      </c>
      <c r="C3000" s="5" t="s">
        <v>55</v>
      </c>
      <c r="D3000" s="5">
        <v>1271642</v>
      </c>
      <c r="E3000" s="5">
        <v>58873</v>
      </c>
      <c r="F3000" s="5">
        <v>161376630</v>
      </c>
      <c r="G3000" s="5">
        <v>4.6296835115543526</v>
      </c>
      <c r="H3000" s="5">
        <v>2741.0974470470333</v>
      </c>
      <c r="I3000" s="5">
        <v>126.90413654157381</v>
      </c>
    </row>
    <row r="3001" spans="1:9" x14ac:dyDescent="0.2">
      <c r="A3001" s="5" t="s">
        <v>104</v>
      </c>
      <c r="B3001" s="5" t="s">
        <v>65</v>
      </c>
      <c r="C3001" s="5" t="s">
        <v>56</v>
      </c>
      <c r="D3001" s="5">
        <v>1272793</v>
      </c>
      <c r="E3001" s="5">
        <v>58827</v>
      </c>
      <c r="F3001" s="5">
        <v>162889716</v>
      </c>
      <c r="G3001" s="5">
        <v>4.6218827413412864</v>
      </c>
      <c r="H3001" s="5">
        <v>2768.9618032536082</v>
      </c>
      <c r="I3001" s="5">
        <v>127.97816769891098</v>
      </c>
    </row>
    <row r="3002" spans="1:9" x14ac:dyDescent="0.2">
      <c r="A3002" s="5" t="s">
        <v>104</v>
      </c>
      <c r="B3002" s="5" t="s">
        <v>65</v>
      </c>
      <c r="C3002" s="5" t="s">
        <v>57</v>
      </c>
      <c r="D3002" s="5">
        <v>1275028</v>
      </c>
      <c r="E3002" s="5">
        <v>57992</v>
      </c>
      <c r="F3002" s="5">
        <v>159595383</v>
      </c>
      <c r="G3002" s="5">
        <v>4.5482922727971467</v>
      </c>
      <c r="H3002" s="5">
        <v>2752.0241240171058</v>
      </c>
      <c r="I3002" s="5">
        <v>125.17010057818338</v>
      </c>
    </row>
    <row r="3003" spans="1:9" x14ac:dyDescent="0.2">
      <c r="A3003" s="5" t="s">
        <v>104</v>
      </c>
      <c r="B3003" s="5" t="s">
        <v>65</v>
      </c>
      <c r="C3003" s="5" t="s">
        <v>58</v>
      </c>
      <c r="D3003" s="5">
        <v>1278544</v>
      </c>
      <c r="E3003" s="5">
        <v>56525</v>
      </c>
      <c r="F3003" s="5">
        <v>157603832</v>
      </c>
      <c r="G3003" s="5">
        <v>4.4210445631906294</v>
      </c>
      <c r="H3003" s="5">
        <v>2788.2146306943832</v>
      </c>
      <c r="I3003" s="5">
        <v>123.2682113403997</v>
      </c>
    </row>
    <row r="3004" spans="1:9" x14ac:dyDescent="0.2">
      <c r="A3004" s="5" t="s">
        <v>104</v>
      </c>
      <c r="B3004" s="5" t="s">
        <v>65</v>
      </c>
      <c r="C3004" s="5" t="s">
        <v>59</v>
      </c>
      <c r="D3004" s="5">
        <v>1283056</v>
      </c>
      <c r="E3004" s="5">
        <v>56528</v>
      </c>
      <c r="F3004" s="5">
        <v>158926644</v>
      </c>
      <c r="G3004" s="5">
        <v>4.4057313164818996</v>
      </c>
      <c r="H3004" s="5">
        <v>2811.4676620435889</v>
      </c>
      <c r="I3004" s="5">
        <v>123.8657112394159</v>
      </c>
    </row>
    <row r="3005" spans="1:9" x14ac:dyDescent="0.2">
      <c r="A3005" s="5" t="s">
        <v>104</v>
      </c>
      <c r="B3005" s="5" t="s">
        <v>65</v>
      </c>
      <c r="C3005" s="5" t="s">
        <v>60</v>
      </c>
      <c r="D3005" s="5">
        <v>1288913</v>
      </c>
      <c r="E3005" s="5">
        <v>56401</v>
      </c>
      <c r="F3005" s="5">
        <v>159426792</v>
      </c>
      <c r="G3005" s="5">
        <v>4.3758577964532908</v>
      </c>
      <c r="H3005" s="5">
        <v>2826.6660520203541</v>
      </c>
      <c r="I3005" s="5">
        <v>123.6908868170311</v>
      </c>
    </row>
    <row r="3006" spans="1:9" x14ac:dyDescent="0.2">
      <c r="A3006" s="5" t="s">
        <v>104</v>
      </c>
      <c r="B3006" s="5" t="s">
        <v>65</v>
      </c>
      <c r="C3006" s="5" t="s">
        <v>61</v>
      </c>
      <c r="D3006" s="5">
        <v>1296196</v>
      </c>
      <c r="E3006" s="5">
        <v>56865</v>
      </c>
      <c r="F3006" s="5">
        <v>163151463</v>
      </c>
      <c r="G3006" s="5">
        <v>4.3870680051473698</v>
      </c>
      <c r="H3006" s="5">
        <v>2869.1016090741227</v>
      </c>
      <c r="I3006" s="5">
        <v>125.86943872685922</v>
      </c>
    </row>
    <row r="3007" spans="1:9" x14ac:dyDescent="0.2">
      <c r="A3007" s="5" t="s">
        <v>104</v>
      </c>
      <c r="B3007" s="5" t="s">
        <v>65</v>
      </c>
      <c r="C3007" s="5" t="s">
        <v>62</v>
      </c>
      <c r="D3007" s="5">
        <v>1304501</v>
      </c>
      <c r="E3007" s="5">
        <v>58191</v>
      </c>
      <c r="F3007" s="5">
        <v>167762947</v>
      </c>
      <c r="G3007" s="5">
        <v>4.4607861550125296</v>
      </c>
      <c r="H3007" s="5">
        <v>2882.9706827516284</v>
      </c>
      <c r="I3007" s="5">
        <v>128.60315706925482</v>
      </c>
    </row>
    <row r="3008" spans="1:9" x14ac:dyDescent="0.2">
      <c r="A3008" s="5" t="s">
        <v>105</v>
      </c>
      <c r="B3008" s="5" t="s">
        <v>44</v>
      </c>
      <c r="C3008" s="5" t="s">
        <v>45</v>
      </c>
      <c r="D3008" s="5">
        <v>5682740</v>
      </c>
      <c r="E3008" s="5">
        <v>36808</v>
      </c>
      <c r="F3008" s="5">
        <v>564150739</v>
      </c>
      <c r="G3008" s="5">
        <v>0.64771571460246291</v>
      </c>
      <c r="H3008" s="5">
        <v>15326.851200825908</v>
      </c>
      <c r="I3008" s="5">
        <v>99.274423781485694</v>
      </c>
    </row>
    <row r="3009" spans="1:9" x14ac:dyDescent="0.2">
      <c r="A3009" s="5" t="s">
        <v>105</v>
      </c>
      <c r="B3009" s="5" t="s">
        <v>44</v>
      </c>
      <c r="C3009" s="5" t="s">
        <v>46</v>
      </c>
      <c r="D3009" s="5">
        <v>5734236</v>
      </c>
      <c r="E3009" s="5">
        <v>36773</v>
      </c>
      <c r="F3009" s="5">
        <v>575657914</v>
      </c>
      <c r="G3009" s="5">
        <v>0.64128856921828814</v>
      </c>
      <c r="H3009" s="5">
        <v>15654.363636363636</v>
      </c>
      <c r="I3009" s="5">
        <v>100.38964458386435</v>
      </c>
    </row>
    <row r="3010" spans="1:9" x14ac:dyDescent="0.2">
      <c r="A3010" s="5" t="s">
        <v>105</v>
      </c>
      <c r="B3010" s="5" t="s">
        <v>44</v>
      </c>
      <c r="C3010" s="5" t="s">
        <v>47</v>
      </c>
      <c r="D3010" s="5">
        <v>5785282</v>
      </c>
      <c r="E3010" s="5">
        <v>36948</v>
      </c>
      <c r="F3010" s="5">
        <v>585186939</v>
      </c>
      <c r="G3010" s="5">
        <v>0.63865512519528</v>
      </c>
      <c r="H3010" s="5">
        <v>15838.122198765834</v>
      </c>
      <c r="I3010" s="5">
        <v>101.15097915710936</v>
      </c>
    </row>
    <row r="3011" spans="1:9" x14ac:dyDescent="0.2">
      <c r="A3011" s="5" t="s">
        <v>105</v>
      </c>
      <c r="B3011" s="5" t="s">
        <v>44</v>
      </c>
      <c r="C3011" s="5" t="s">
        <v>48</v>
      </c>
      <c r="D3011" s="5">
        <v>5843966</v>
      </c>
      <c r="E3011" s="5">
        <v>36965</v>
      </c>
      <c r="F3011" s="5">
        <v>594612557</v>
      </c>
      <c r="G3011" s="5">
        <v>0.63253276969783878</v>
      </c>
      <c r="H3011" s="5">
        <v>16085.825970512647</v>
      </c>
      <c r="I3011" s="5">
        <v>101.7481205400579</v>
      </c>
    </row>
    <row r="3012" spans="1:9" x14ac:dyDescent="0.2">
      <c r="A3012" s="5" t="s">
        <v>105</v>
      </c>
      <c r="B3012" s="5" t="s">
        <v>44</v>
      </c>
      <c r="C3012" s="5" t="s">
        <v>49</v>
      </c>
      <c r="D3012" s="5">
        <v>5887596</v>
      </c>
      <c r="E3012" s="5">
        <v>36951</v>
      </c>
      <c r="F3012" s="5">
        <v>593179672</v>
      </c>
      <c r="G3012" s="5">
        <v>0.62760760079326094</v>
      </c>
      <c r="H3012" s="5">
        <v>16053.142594246434</v>
      </c>
      <c r="I3012" s="5">
        <v>100.7507430876711</v>
      </c>
    </row>
    <row r="3013" spans="1:9" x14ac:dyDescent="0.2">
      <c r="A3013" s="5" t="s">
        <v>105</v>
      </c>
      <c r="B3013" s="5" t="s">
        <v>44</v>
      </c>
      <c r="C3013" s="5" t="s">
        <v>50</v>
      </c>
      <c r="D3013" s="5">
        <v>5916953</v>
      </c>
      <c r="E3013" s="5">
        <v>36830</v>
      </c>
      <c r="F3013" s="5">
        <v>583620261</v>
      </c>
      <c r="G3013" s="5">
        <v>0.62244875022667923</v>
      </c>
      <c r="H3013" s="5">
        <v>15846.328020635352</v>
      </c>
      <c r="I3013" s="5">
        <v>98.635270721264817</v>
      </c>
    </row>
    <row r="3014" spans="1:9" x14ac:dyDescent="0.2">
      <c r="A3014" s="5" t="s">
        <v>105</v>
      </c>
      <c r="B3014" s="5" t="s">
        <v>44</v>
      </c>
      <c r="C3014" s="5" t="s">
        <v>51</v>
      </c>
      <c r="D3014" s="5">
        <v>5948055</v>
      </c>
      <c r="E3014" s="5">
        <v>36886</v>
      </c>
      <c r="F3014" s="5">
        <v>588477995</v>
      </c>
      <c r="G3014" s="5">
        <v>0.62013548966847143</v>
      </c>
      <c r="H3014" s="5">
        <v>15953.966138914493</v>
      </c>
      <c r="I3014" s="5">
        <v>98.936206037099524</v>
      </c>
    </row>
    <row r="3015" spans="1:9" x14ac:dyDescent="0.2">
      <c r="A3015" s="5" t="s">
        <v>105</v>
      </c>
      <c r="B3015" s="5" t="s">
        <v>44</v>
      </c>
      <c r="C3015" s="5" t="s">
        <v>52</v>
      </c>
      <c r="D3015" s="5">
        <v>5974371</v>
      </c>
      <c r="E3015" s="5">
        <v>37168</v>
      </c>
      <c r="F3015" s="5">
        <v>593884876</v>
      </c>
      <c r="G3015" s="5">
        <v>0.62212406963009159</v>
      </c>
      <c r="H3015" s="5">
        <v>15978.39205768403</v>
      </c>
      <c r="I3015" s="5">
        <v>99.405422930715218</v>
      </c>
    </row>
    <row r="3016" spans="1:9" x14ac:dyDescent="0.2">
      <c r="A3016" s="5" t="s">
        <v>105</v>
      </c>
      <c r="B3016" s="5" t="s">
        <v>44</v>
      </c>
      <c r="C3016" s="5" t="s">
        <v>53</v>
      </c>
      <c r="D3016" s="5">
        <v>6003517</v>
      </c>
      <c r="E3016" s="5">
        <v>37101</v>
      </c>
      <c r="F3016" s="5">
        <v>598668342</v>
      </c>
      <c r="G3016" s="5">
        <v>0.61798775617692092</v>
      </c>
      <c r="H3016" s="5">
        <v>16136.178054499878</v>
      </c>
      <c r="I3016" s="5">
        <v>99.71960469171654</v>
      </c>
    </row>
    <row r="3017" spans="1:9" x14ac:dyDescent="0.2">
      <c r="A3017" s="5" t="s">
        <v>105</v>
      </c>
      <c r="B3017" s="5" t="s">
        <v>44</v>
      </c>
      <c r="C3017" s="5" t="s">
        <v>54</v>
      </c>
      <c r="D3017" s="5">
        <v>6029969</v>
      </c>
      <c r="E3017" s="5">
        <v>37101</v>
      </c>
      <c r="F3017" s="5">
        <v>610439661</v>
      </c>
      <c r="G3017" s="5">
        <v>0.61527679495533061</v>
      </c>
      <c r="H3017" s="5">
        <v>16453.455728956094</v>
      </c>
      <c r="I3017" s="5">
        <v>101.23429506851528</v>
      </c>
    </row>
    <row r="3018" spans="1:9" x14ac:dyDescent="0.2">
      <c r="A3018" s="5" t="s">
        <v>105</v>
      </c>
      <c r="B3018" s="5" t="s">
        <v>44</v>
      </c>
      <c r="C3018" s="5" t="s">
        <v>55</v>
      </c>
      <c r="D3018" s="5">
        <v>6058940</v>
      </c>
      <c r="E3018" s="5">
        <v>36982</v>
      </c>
      <c r="F3018" s="5">
        <v>609592997</v>
      </c>
      <c r="G3018" s="5">
        <v>0.61037079093042679</v>
      </c>
      <c r="H3018" s="5">
        <v>16483.505408036341</v>
      </c>
      <c r="I3018" s="5">
        <v>100.61050233209109</v>
      </c>
    </row>
    <row r="3019" spans="1:9" x14ac:dyDescent="0.2">
      <c r="A3019" s="5" t="s">
        <v>105</v>
      </c>
      <c r="B3019" s="5" t="s">
        <v>44</v>
      </c>
      <c r="C3019" s="5" t="s">
        <v>56</v>
      </c>
      <c r="D3019" s="5">
        <v>6083765</v>
      </c>
      <c r="E3019" s="5">
        <v>36628</v>
      </c>
      <c r="F3019" s="5">
        <v>616015568</v>
      </c>
      <c r="G3019" s="5">
        <v>0.60206138797274389</v>
      </c>
      <c r="H3019" s="5">
        <v>16818.160096101343</v>
      </c>
      <c r="I3019" s="5">
        <v>101.25564810606591</v>
      </c>
    </row>
    <row r="3020" spans="1:9" x14ac:dyDescent="0.2">
      <c r="A3020" s="5" t="s">
        <v>105</v>
      </c>
      <c r="B3020" s="5" t="s">
        <v>44</v>
      </c>
      <c r="C3020" s="5" t="s">
        <v>57</v>
      </c>
      <c r="D3020" s="5">
        <v>6102037</v>
      </c>
      <c r="E3020" s="5">
        <v>36449</v>
      </c>
      <c r="F3020" s="5">
        <v>617140787</v>
      </c>
      <c r="G3020" s="5">
        <v>0.59732512274179916</v>
      </c>
      <c r="H3020" s="5">
        <v>16931.624653625615</v>
      </c>
      <c r="I3020" s="5">
        <v>101.13684774444992</v>
      </c>
    </row>
    <row r="3021" spans="1:9" x14ac:dyDescent="0.2">
      <c r="A3021" s="5" t="s">
        <v>105</v>
      </c>
      <c r="B3021" s="5" t="s">
        <v>44</v>
      </c>
      <c r="C3021" s="5" t="s">
        <v>58</v>
      </c>
      <c r="D3021" s="5">
        <v>6123706</v>
      </c>
      <c r="E3021" s="5">
        <v>36491</v>
      </c>
      <c r="F3021" s="5">
        <v>619124684</v>
      </c>
      <c r="G3021" s="5">
        <v>0.5958973210013675</v>
      </c>
      <c r="H3021" s="5">
        <v>16966.503631032308</v>
      </c>
      <c r="I3021" s="5">
        <v>101.10294060492127</v>
      </c>
    </row>
    <row r="3022" spans="1:9" x14ac:dyDescent="0.2">
      <c r="A3022" s="5" t="s">
        <v>105</v>
      </c>
      <c r="B3022" s="5" t="s">
        <v>44</v>
      </c>
      <c r="C3022" s="5" t="s">
        <v>59</v>
      </c>
      <c r="D3022" s="5">
        <v>6138788</v>
      </c>
      <c r="E3022" s="5">
        <v>36295</v>
      </c>
      <c r="F3022" s="5">
        <v>622615784</v>
      </c>
      <c r="G3022" s="5">
        <v>0.59124048590699008</v>
      </c>
      <c r="H3022" s="5">
        <v>17154.312825458052</v>
      </c>
      <c r="I3022" s="5">
        <v>101.42324250324332</v>
      </c>
    </row>
    <row r="3023" spans="1:9" x14ac:dyDescent="0.2">
      <c r="A3023" s="5" t="s">
        <v>105</v>
      </c>
      <c r="B3023" s="5" t="s">
        <v>44</v>
      </c>
      <c r="C3023" s="5" t="s">
        <v>60</v>
      </c>
      <c r="D3023" s="5">
        <v>6154728</v>
      </c>
      <c r="E3023" s="5">
        <v>35974</v>
      </c>
      <c r="F3023" s="5">
        <v>623199427</v>
      </c>
      <c r="G3023" s="5">
        <v>0.58449374204676474</v>
      </c>
      <c r="H3023" s="5">
        <v>17323.606688163673</v>
      </c>
      <c r="I3023" s="5">
        <v>101.25539698911146</v>
      </c>
    </row>
    <row r="3024" spans="1:9" x14ac:dyDescent="0.2">
      <c r="A3024" s="5" t="s">
        <v>105</v>
      </c>
      <c r="B3024" s="5" t="s">
        <v>44</v>
      </c>
      <c r="C3024" s="5" t="s">
        <v>61</v>
      </c>
      <c r="D3024" s="5">
        <v>6168948</v>
      </c>
      <c r="E3024" s="5">
        <v>35697</v>
      </c>
      <c r="F3024" s="5">
        <v>629492679</v>
      </c>
      <c r="G3024" s="5">
        <v>0.57865619875544416</v>
      </c>
      <c r="H3024" s="5">
        <v>17634.330027733424</v>
      </c>
      <c r="I3024" s="5">
        <v>102.0421438144721</v>
      </c>
    </row>
    <row r="3025" spans="1:9" x14ac:dyDescent="0.2">
      <c r="A3025" s="5" t="s">
        <v>105</v>
      </c>
      <c r="B3025" s="5" t="s">
        <v>44</v>
      </c>
      <c r="C3025" s="5" t="s">
        <v>62</v>
      </c>
      <c r="D3025" s="5">
        <v>6161239</v>
      </c>
      <c r="E3025" s="5">
        <v>35035</v>
      </c>
      <c r="F3025" s="5">
        <v>624315194</v>
      </c>
      <c r="G3025" s="5">
        <v>0.56863562669781187</v>
      </c>
      <c r="H3025" s="5">
        <v>17819.757214214358</v>
      </c>
      <c r="I3025" s="5">
        <v>101.32948811107636</v>
      </c>
    </row>
    <row r="3026" spans="1:9" x14ac:dyDescent="0.2">
      <c r="A3026" s="5" t="s">
        <v>105</v>
      </c>
      <c r="B3026" s="5" t="s">
        <v>63</v>
      </c>
      <c r="C3026" s="5" t="s">
        <v>45</v>
      </c>
      <c r="D3026" s="5">
        <v>5682740</v>
      </c>
      <c r="E3026" s="5">
        <v>213589</v>
      </c>
      <c r="F3026" s="5">
        <v>487651889</v>
      </c>
      <c r="G3026" s="5">
        <v>3.7585566117753055</v>
      </c>
      <c r="H3026" s="5">
        <v>2283.1320386349485</v>
      </c>
      <c r="I3026" s="5">
        <v>85.812810193674181</v>
      </c>
    </row>
    <row r="3027" spans="1:9" x14ac:dyDescent="0.2">
      <c r="A3027" s="5" t="s">
        <v>105</v>
      </c>
      <c r="B3027" s="5" t="s">
        <v>63</v>
      </c>
      <c r="C3027" s="5" t="s">
        <v>46</v>
      </c>
      <c r="D3027" s="5">
        <v>5734236</v>
      </c>
      <c r="E3027" s="5">
        <v>210051</v>
      </c>
      <c r="F3027" s="5">
        <v>486140408</v>
      </c>
      <c r="G3027" s="5">
        <v>3.6631035067269639</v>
      </c>
      <c r="H3027" s="5">
        <v>2314.3922571185094</v>
      </c>
      <c r="I3027" s="5">
        <v>84.778583929925446</v>
      </c>
    </row>
    <row r="3028" spans="1:9" x14ac:dyDescent="0.2">
      <c r="A3028" s="5" t="s">
        <v>105</v>
      </c>
      <c r="B3028" s="5" t="s">
        <v>63</v>
      </c>
      <c r="C3028" s="5" t="s">
        <v>47</v>
      </c>
      <c r="D3028" s="5">
        <v>5785282</v>
      </c>
      <c r="E3028" s="5">
        <v>211296</v>
      </c>
      <c r="F3028" s="5">
        <v>492166006</v>
      </c>
      <c r="G3028" s="5">
        <v>3.6523025152447195</v>
      </c>
      <c r="H3028" s="5">
        <v>2329.2727074814479</v>
      </c>
      <c r="I3028" s="5">
        <v>85.072085682253686</v>
      </c>
    </row>
    <row r="3029" spans="1:9" x14ac:dyDescent="0.2">
      <c r="A3029" s="5" t="s">
        <v>105</v>
      </c>
      <c r="B3029" s="5" t="s">
        <v>63</v>
      </c>
      <c r="C3029" s="5" t="s">
        <v>48</v>
      </c>
      <c r="D3029" s="5">
        <v>5843966</v>
      </c>
      <c r="E3029" s="5">
        <v>213909</v>
      </c>
      <c r="F3029" s="5">
        <v>503662338</v>
      </c>
      <c r="G3029" s="5">
        <v>3.6603395707641009</v>
      </c>
      <c r="H3029" s="5">
        <v>2354.563566750347</v>
      </c>
      <c r="I3029" s="5">
        <v>86.185021952557562</v>
      </c>
    </row>
    <row r="3030" spans="1:9" x14ac:dyDescent="0.2">
      <c r="A3030" s="5" t="s">
        <v>105</v>
      </c>
      <c r="B3030" s="5" t="s">
        <v>63</v>
      </c>
      <c r="C3030" s="5" t="s">
        <v>49</v>
      </c>
      <c r="D3030" s="5">
        <v>5887596</v>
      </c>
      <c r="E3030" s="5">
        <v>215391</v>
      </c>
      <c r="F3030" s="5">
        <v>512369099</v>
      </c>
      <c r="G3030" s="5">
        <v>3.6583862072057935</v>
      </c>
      <c r="H3030" s="5">
        <v>2378.7860170573517</v>
      </c>
      <c r="I3030" s="5">
        <v>87.0251795469662</v>
      </c>
    </row>
    <row r="3031" spans="1:9" x14ac:dyDescent="0.2">
      <c r="A3031" s="5" t="s">
        <v>105</v>
      </c>
      <c r="B3031" s="5" t="s">
        <v>63</v>
      </c>
      <c r="C3031" s="5" t="s">
        <v>50</v>
      </c>
      <c r="D3031" s="5">
        <v>5916953</v>
      </c>
      <c r="E3031" s="5">
        <v>220099</v>
      </c>
      <c r="F3031" s="5">
        <v>526686225</v>
      </c>
      <c r="G3031" s="5">
        <v>3.7198030810790623</v>
      </c>
      <c r="H3031" s="5">
        <v>2392.9514672942632</v>
      </c>
      <c r="I3031" s="5">
        <v>89.013082409138619</v>
      </c>
    </row>
    <row r="3032" spans="1:9" x14ac:dyDescent="0.2">
      <c r="A3032" s="5" t="s">
        <v>105</v>
      </c>
      <c r="B3032" s="5" t="s">
        <v>63</v>
      </c>
      <c r="C3032" s="5" t="s">
        <v>51</v>
      </c>
      <c r="D3032" s="5">
        <v>5948055</v>
      </c>
      <c r="E3032" s="5">
        <v>222070</v>
      </c>
      <c r="F3032" s="5">
        <v>537950374</v>
      </c>
      <c r="G3032" s="5">
        <v>3.7334893507205296</v>
      </c>
      <c r="H3032" s="5">
        <v>2422.4360516954112</v>
      </c>
      <c r="I3032" s="5">
        <v>90.441392018063041</v>
      </c>
    </row>
    <row r="3033" spans="1:9" x14ac:dyDescent="0.2">
      <c r="A3033" s="5" t="s">
        <v>105</v>
      </c>
      <c r="B3033" s="5" t="s">
        <v>63</v>
      </c>
      <c r="C3033" s="5" t="s">
        <v>52</v>
      </c>
      <c r="D3033" s="5">
        <v>5974371</v>
      </c>
      <c r="E3033" s="5">
        <v>223263</v>
      </c>
      <c r="F3033" s="5">
        <v>545424087</v>
      </c>
      <c r="G3033" s="5">
        <v>3.737012649532478</v>
      </c>
      <c r="H3033" s="5">
        <v>2442.9667566950188</v>
      </c>
      <c r="I3033" s="5">
        <v>91.293976721566167</v>
      </c>
    </row>
    <row r="3034" spans="1:9" x14ac:dyDescent="0.2">
      <c r="A3034" s="5" t="s">
        <v>105</v>
      </c>
      <c r="B3034" s="5" t="s">
        <v>63</v>
      </c>
      <c r="C3034" s="5" t="s">
        <v>53</v>
      </c>
      <c r="D3034" s="5">
        <v>6003517</v>
      </c>
      <c r="E3034" s="5">
        <v>222650</v>
      </c>
      <c r="F3034" s="5">
        <v>548413772</v>
      </c>
      <c r="G3034" s="5">
        <v>3.7086594407911231</v>
      </c>
      <c r="H3034" s="5">
        <v>2463.1204671008309</v>
      </c>
      <c r="I3034" s="5">
        <v>91.348749741193373</v>
      </c>
    </row>
    <row r="3035" spans="1:9" x14ac:dyDescent="0.2">
      <c r="A3035" s="5" t="s">
        <v>105</v>
      </c>
      <c r="B3035" s="5" t="s">
        <v>63</v>
      </c>
      <c r="C3035" s="5" t="s">
        <v>54</v>
      </c>
      <c r="D3035" s="5">
        <v>6029969</v>
      </c>
      <c r="E3035" s="5">
        <v>223580</v>
      </c>
      <c r="F3035" s="5">
        <v>552285346</v>
      </c>
      <c r="G3035" s="5">
        <v>3.7078134232530879</v>
      </c>
      <c r="H3035" s="5">
        <v>2470.1911888362106</v>
      </c>
      <c r="I3035" s="5">
        <v>91.590080479684062</v>
      </c>
    </row>
    <row r="3036" spans="1:9" x14ac:dyDescent="0.2">
      <c r="A3036" s="5" t="s">
        <v>105</v>
      </c>
      <c r="B3036" s="5" t="s">
        <v>63</v>
      </c>
      <c r="C3036" s="5" t="s">
        <v>55</v>
      </c>
      <c r="D3036" s="5">
        <v>6058940</v>
      </c>
      <c r="E3036" s="5">
        <v>223495</v>
      </c>
      <c r="F3036" s="5">
        <v>549848237</v>
      </c>
      <c r="G3036" s="5">
        <v>3.688681518549449</v>
      </c>
      <c r="H3036" s="5">
        <v>2460.2261213897405</v>
      </c>
      <c r="I3036" s="5">
        <v>90.749906254229288</v>
      </c>
    </row>
    <row r="3037" spans="1:9" x14ac:dyDescent="0.2">
      <c r="A3037" s="5" t="s">
        <v>105</v>
      </c>
      <c r="B3037" s="5" t="s">
        <v>63</v>
      </c>
      <c r="C3037" s="5" t="s">
        <v>56</v>
      </c>
      <c r="D3037" s="5">
        <v>6083765</v>
      </c>
      <c r="E3037" s="5">
        <v>222190</v>
      </c>
      <c r="F3037" s="5">
        <v>547230550</v>
      </c>
      <c r="G3037" s="5">
        <v>3.6521792015306311</v>
      </c>
      <c r="H3037" s="5">
        <v>2462.8945947162338</v>
      </c>
      <c r="I3037" s="5">
        <v>89.949324143848429</v>
      </c>
    </row>
    <row r="3038" spans="1:9" x14ac:dyDescent="0.2">
      <c r="A3038" s="5" t="s">
        <v>105</v>
      </c>
      <c r="B3038" s="5" t="s">
        <v>63</v>
      </c>
      <c r="C3038" s="5" t="s">
        <v>57</v>
      </c>
      <c r="D3038" s="5">
        <v>6102037</v>
      </c>
      <c r="E3038" s="5">
        <v>222404</v>
      </c>
      <c r="F3038" s="5">
        <v>548326508</v>
      </c>
      <c r="G3038" s="5">
        <v>3.6447501055794973</v>
      </c>
      <c r="H3038" s="5">
        <v>2465.4525458175212</v>
      </c>
      <c r="I3038" s="5">
        <v>89.859584266696515</v>
      </c>
    </row>
    <row r="3039" spans="1:9" x14ac:dyDescent="0.2">
      <c r="A3039" s="5" t="s">
        <v>105</v>
      </c>
      <c r="B3039" s="5" t="s">
        <v>63</v>
      </c>
      <c r="C3039" s="5" t="s">
        <v>58</v>
      </c>
      <c r="D3039" s="5">
        <v>6123706</v>
      </c>
      <c r="E3039" s="5">
        <v>221360</v>
      </c>
      <c r="F3039" s="5">
        <v>549755215</v>
      </c>
      <c r="G3039" s="5">
        <v>3.614804499105607</v>
      </c>
      <c r="H3039" s="5">
        <v>2483.5345816769063</v>
      </c>
      <c r="I3039" s="5">
        <v>89.774919795300434</v>
      </c>
    </row>
    <row r="3040" spans="1:9" x14ac:dyDescent="0.2">
      <c r="A3040" s="5" t="s">
        <v>105</v>
      </c>
      <c r="B3040" s="5" t="s">
        <v>63</v>
      </c>
      <c r="C3040" s="5" t="s">
        <v>59</v>
      </c>
      <c r="D3040" s="5">
        <v>6138788</v>
      </c>
      <c r="E3040" s="5">
        <v>220644</v>
      </c>
      <c r="F3040" s="5">
        <v>553243469</v>
      </c>
      <c r="G3040" s="5">
        <v>3.594259974444467</v>
      </c>
      <c r="H3040" s="5">
        <v>2507.4031879407553</v>
      </c>
      <c r="I3040" s="5">
        <v>90.122589182099134</v>
      </c>
    </row>
    <row r="3041" spans="1:9" x14ac:dyDescent="0.2">
      <c r="A3041" s="5" t="s">
        <v>105</v>
      </c>
      <c r="B3041" s="5" t="s">
        <v>63</v>
      </c>
      <c r="C3041" s="5" t="s">
        <v>60</v>
      </c>
      <c r="D3041" s="5">
        <v>6154728</v>
      </c>
      <c r="E3041" s="5">
        <v>222198</v>
      </c>
      <c r="F3041" s="5">
        <v>558943953</v>
      </c>
      <c r="G3041" s="5">
        <v>3.6102001583173133</v>
      </c>
      <c r="H3041" s="5">
        <v>2515.521980395863</v>
      </c>
      <c r="I3041" s="5">
        <v>90.815378518758266</v>
      </c>
    </row>
    <row r="3042" spans="1:9" x14ac:dyDescent="0.2">
      <c r="A3042" s="5" t="s">
        <v>105</v>
      </c>
      <c r="B3042" s="5" t="s">
        <v>63</v>
      </c>
      <c r="C3042" s="5" t="s">
        <v>61</v>
      </c>
      <c r="D3042" s="5">
        <v>6168948</v>
      </c>
      <c r="E3042" s="5">
        <v>219969</v>
      </c>
      <c r="F3042" s="5">
        <v>557845732</v>
      </c>
      <c r="G3042" s="5">
        <v>3.5657457316871533</v>
      </c>
      <c r="H3042" s="5">
        <v>2536.0197664216321</v>
      </c>
      <c r="I3042" s="5">
        <v>90.428016575921859</v>
      </c>
    </row>
    <row r="3043" spans="1:9" x14ac:dyDescent="0.2">
      <c r="A3043" s="5" t="s">
        <v>105</v>
      </c>
      <c r="B3043" s="5" t="s">
        <v>63</v>
      </c>
      <c r="C3043" s="5" t="s">
        <v>62</v>
      </c>
      <c r="D3043" s="5">
        <v>6161239</v>
      </c>
      <c r="E3043" s="5">
        <v>216877</v>
      </c>
      <c r="F3043" s="5">
        <v>553454926</v>
      </c>
      <c r="G3043" s="5">
        <v>3.5200225149519437</v>
      </c>
      <c r="H3043" s="5">
        <v>2551.9300156309796</v>
      </c>
      <c r="I3043" s="5">
        <v>89.828511116027144</v>
      </c>
    </row>
    <row r="3044" spans="1:9" x14ac:dyDescent="0.2">
      <c r="A3044" s="5" t="s">
        <v>105</v>
      </c>
      <c r="B3044" s="5" t="s">
        <v>64</v>
      </c>
      <c r="C3044" s="5" t="s">
        <v>45</v>
      </c>
      <c r="D3044" s="5">
        <v>4880313</v>
      </c>
      <c r="E3044" s="5">
        <v>328492</v>
      </c>
      <c r="F3044" s="5">
        <v>313328061</v>
      </c>
      <c r="G3044" s="5">
        <v>6.7309617231517729</v>
      </c>
      <c r="H3044" s="5">
        <v>953.83772207542347</v>
      </c>
      <c r="I3044" s="5">
        <v>64.202451973879548</v>
      </c>
    </row>
    <row r="3045" spans="1:9" x14ac:dyDescent="0.2">
      <c r="A3045" s="5" t="s">
        <v>105</v>
      </c>
      <c r="B3045" s="5" t="s">
        <v>64</v>
      </c>
      <c r="C3045" s="5" t="s">
        <v>46</v>
      </c>
      <c r="D3045" s="5">
        <v>4922694</v>
      </c>
      <c r="E3045" s="5">
        <v>321658</v>
      </c>
      <c r="F3045" s="5">
        <v>310693904</v>
      </c>
      <c r="G3045" s="5">
        <v>6.5341863621829832</v>
      </c>
      <c r="H3045" s="5">
        <v>965.91380907672124</v>
      </c>
      <c r="I3045" s="5">
        <v>63.114608383133302</v>
      </c>
    </row>
    <row r="3046" spans="1:9" x14ac:dyDescent="0.2">
      <c r="A3046" s="5" t="s">
        <v>105</v>
      </c>
      <c r="B3046" s="5" t="s">
        <v>64</v>
      </c>
      <c r="C3046" s="5" t="s">
        <v>47</v>
      </c>
      <c r="D3046" s="5">
        <v>4964747</v>
      </c>
      <c r="E3046" s="5">
        <v>314119</v>
      </c>
      <c r="F3046" s="5">
        <v>309387213</v>
      </c>
      <c r="G3046" s="5">
        <v>6.3269890691308142</v>
      </c>
      <c r="H3046" s="5">
        <v>984.93632349523591</v>
      </c>
      <c r="I3046" s="5">
        <v>62.316813525442484</v>
      </c>
    </row>
    <row r="3047" spans="1:9" x14ac:dyDescent="0.2">
      <c r="A3047" s="5" t="s">
        <v>105</v>
      </c>
      <c r="B3047" s="5" t="s">
        <v>64</v>
      </c>
      <c r="C3047" s="5" t="s">
        <v>48</v>
      </c>
      <c r="D3047" s="5">
        <v>5012682</v>
      </c>
      <c r="E3047" s="5">
        <v>312444</v>
      </c>
      <c r="F3047" s="5">
        <v>308155900</v>
      </c>
      <c r="G3047" s="5">
        <v>6.2330704401356396</v>
      </c>
      <c r="H3047" s="5">
        <v>986.27562059120999</v>
      </c>
      <c r="I3047" s="5">
        <v>61.475254165335045</v>
      </c>
    </row>
    <row r="3048" spans="1:9" x14ac:dyDescent="0.2">
      <c r="A3048" s="5" t="s">
        <v>105</v>
      </c>
      <c r="B3048" s="5" t="s">
        <v>64</v>
      </c>
      <c r="C3048" s="5" t="s">
        <v>49</v>
      </c>
      <c r="D3048" s="5">
        <v>5048565</v>
      </c>
      <c r="E3048" s="5">
        <v>305823</v>
      </c>
      <c r="F3048" s="5">
        <v>303281788</v>
      </c>
      <c r="G3048" s="5">
        <v>6.0576223144596533</v>
      </c>
      <c r="H3048" s="5">
        <v>991.69057919123156</v>
      </c>
      <c r="I3048" s="5">
        <v>60.072869815482221</v>
      </c>
    </row>
    <row r="3049" spans="1:9" x14ac:dyDescent="0.2">
      <c r="A3049" s="5" t="s">
        <v>105</v>
      </c>
      <c r="B3049" s="5" t="s">
        <v>64</v>
      </c>
      <c r="C3049" s="5" t="s">
        <v>50</v>
      </c>
      <c r="D3049" s="5">
        <v>5073704</v>
      </c>
      <c r="E3049" s="5">
        <v>311485</v>
      </c>
      <c r="F3049" s="5">
        <v>306205689</v>
      </c>
      <c r="G3049" s="5">
        <v>6.1392032329832409</v>
      </c>
      <c r="H3049" s="5">
        <v>983.05115495128177</v>
      </c>
      <c r="I3049" s="5">
        <v>60.351508286648176</v>
      </c>
    </row>
    <row r="3050" spans="1:9" x14ac:dyDescent="0.2">
      <c r="A3050" s="5" t="s">
        <v>105</v>
      </c>
      <c r="B3050" s="5" t="s">
        <v>64</v>
      </c>
      <c r="C3050" s="5" t="s">
        <v>51</v>
      </c>
      <c r="D3050" s="5">
        <v>5098390</v>
      </c>
      <c r="E3050" s="5">
        <v>318955</v>
      </c>
      <c r="F3050" s="5">
        <v>308379784</v>
      </c>
      <c r="G3050" s="5">
        <v>6.2559945394526508</v>
      </c>
      <c r="H3050" s="5">
        <v>966.84417551065201</v>
      </c>
      <c r="I3050" s="5">
        <v>60.48571882496239</v>
      </c>
    </row>
    <row r="3051" spans="1:9" x14ac:dyDescent="0.2">
      <c r="A3051" s="5" t="s">
        <v>105</v>
      </c>
      <c r="B3051" s="5" t="s">
        <v>64</v>
      </c>
      <c r="C3051" s="5" t="s">
        <v>52</v>
      </c>
      <c r="D3051" s="5">
        <v>5117371</v>
      </c>
      <c r="E3051" s="5">
        <v>324852</v>
      </c>
      <c r="F3051" s="5">
        <v>314910300</v>
      </c>
      <c r="G3051" s="5">
        <v>6.3480251871517623</v>
      </c>
      <c r="H3051" s="5">
        <v>969.39621735436447</v>
      </c>
      <c r="I3051" s="5">
        <v>61.537516040951495</v>
      </c>
    </row>
    <row r="3052" spans="1:9" x14ac:dyDescent="0.2">
      <c r="A3052" s="5" t="s">
        <v>105</v>
      </c>
      <c r="B3052" s="5" t="s">
        <v>64</v>
      </c>
      <c r="C3052" s="5" t="s">
        <v>53</v>
      </c>
      <c r="D3052" s="5">
        <v>5137928</v>
      </c>
      <c r="E3052" s="5">
        <v>331230</v>
      </c>
      <c r="F3052" s="5">
        <v>331511352</v>
      </c>
      <c r="G3052" s="5">
        <v>6.4467621967454587</v>
      </c>
      <c r="H3052" s="5">
        <v>1000.849415813785</v>
      </c>
      <c r="I3052" s="5">
        <v>64.522381785030859</v>
      </c>
    </row>
    <row r="3053" spans="1:9" x14ac:dyDescent="0.2">
      <c r="A3053" s="5" t="s">
        <v>105</v>
      </c>
      <c r="B3053" s="5" t="s">
        <v>64</v>
      </c>
      <c r="C3053" s="5" t="s">
        <v>54</v>
      </c>
      <c r="D3053" s="5">
        <v>5153368</v>
      </c>
      <c r="E3053" s="5">
        <v>329446</v>
      </c>
      <c r="F3053" s="5">
        <v>332192102</v>
      </c>
      <c r="G3053" s="5">
        <v>6.3928289227549824</v>
      </c>
      <c r="H3053" s="5">
        <v>1008.335514773286</v>
      </c>
      <c r="I3053" s="5">
        <v>64.461164426836973</v>
      </c>
    </row>
    <row r="3054" spans="1:9" x14ac:dyDescent="0.2">
      <c r="A3054" s="5" t="s">
        <v>105</v>
      </c>
      <c r="B3054" s="5" t="s">
        <v>64</v>
      </c>
      <c r="C3054" s="5" t="s">
        <v>55</v>
      </c>
      <c r="D3054" s="5">
        <v>5171086</v>
      </c>
      <c r="E3054" s="5">
        <v>325778</v>
      </c>
      <c r="F3054" s="5">
        <v>326687488</v>
      </c>
      <c r="G3054" s="5">
        <v>6.2999919165916021</v>
      </c>
      <c r="H3054" s="5">
        <v>1002.791741615456</v>
      </c>
      <c r="I3054" s="5">
        <v>63.175798662021869</v>
      </c>
    </row>
    <row r="3055" spans="1:9" x14ac:dyDescent="0.2">
      <c r="A3055" s="5" t="s">
        <v>105</v>
      </c>
      <c r="B3055" s="5" t="s">
        <v>64</v>
      </c>
      <c r="C3055" s="5" t="s">
        <v>56</v>
      </c>
      <c r="D3055" s="5">
        <v>5185402</v>
      </c>
      <c r="E3055" s="5">
        <v>320748</v>
      </c>
      <c r="F3055" s="5">
        <v>330623004</v>
      </c>
      <c r="G3055" s="5">
        <v>6.1855956394509048</v>
      </c>
      <c r="H3055" s="5">
        <v>1030.7874219013056</v>
      </c>
      <c r="I3055" s="5">
        <v>63.760341821135562</v>
      </c>
    </row>
    <row r="3056" spans="1:9" x14ac:dyDescent="0.2">
      <c r="A3056" s="5" t="s">
        <v>105</v>
      </c>
      <c r="B3056" s="5" t="s">
        <v>64</v>
      </c>
      <c r="C3056" s="5" t="s">
        <v>57</v>
      </c>
      <c r="D3056" s="5">
        <v>5193827</v>
      </c>
      <c r="E3056" s="5">
        <v>315319</v>
      </c>
      <c r="F3056" s="5">
        <v>344223708</v>
      </c>
      <c r="G3056" s="5">
        <v>6.0710339408686504</v>
      </c>
      <c r="H3056" s="5">
        <v>1091.6681455922414</v>
      </c>
      <c r="I3056" s="5">
        <v>66.275543640556378</v>
      </c>
    </row>
    <row r="3057" spans="1:9" x14ac:dyDescent="0.2">
      <c r="A3057" s="5" t="s">
        <v>105</v>
      </c>
      <c r="B3057" s="5" t="s">
        <v>64</v>
      </c>
      <c r="C3057" s="5" t="s">
        <v>58</v>
      </c>
      <c r="D3057" s="5">
        <v>5206299</v>
      </c>
      <c r="E3057" s="5">
        <v>312945</v>
      </c>
      <c r="F3057" s="5">
        <v>332035177</v>
      </c>
      <c r="G3057" s="5">
        <v>6.0108918062523875</v>
      </c>
      <c r="H3057" s="5">
        <v>1061.0016999792297</v>
      </c>
      <c r="I3057" s="5">
        <v>63.775664248250052</v>
      </c>
    </row>
    <row r="3058" spans="1:9" x14ac:dyDescent="0.2">
      <c r="A3058" s="5" t="s">
        <v>105</v>
      </c>
      <c r="B3058" s="5" t="s">
        <v>64</v>
      </c>
      <c r="C3058" s="5" t="s">
        <v>59</v>
      </c>
      <c r="D3058" s="5">
        <v>5213990</v>
      </c>
      <c r="E3058" s="5">
        <v>310043</v>
      </c>
      <c r="F3058" s="5">
        <v>329877755</v>
      </c>
      <c r="G3058" s="5">
        <v>5.946367369327521</v>
      </c>
      <c r="H3058" s="5">
        <v>1063.9742068035723</v>
      </c>
      <c r="I3058" s="5">
        <v>63.267815051428947</v>
      </c>
    </row>
    <row r="3059" spans="1:9" x14ac:dyDescent="0.2">
      <c r="A3059" s="5" t="s">
        <v>105</v>
      </c>
      <c r="B3059" s="5" t="s">
        <v>64</v>
      </c>
      <c r="C3059" s="5" t="s">
        <v>60</v>
      </c>
      <c r="D3059" s="5">
        <v>5222860</v>
      </c>
      <c r="E3059" s="5">
        <v>303316</v>
      </c>
      <c r="F3059" s="5">
        <v>315487599</v>
      </c>
      <c r="G3059" s="5">
        <v>5.8074694707497425</v>
      </c>
      <c r="H3059" s="5">
        <v>1040.1284436033707</v>
      </c>
      <c r="I3059" s="5">
        <v>60.405141818850211</v>
      </c>
    </row>
    <row r="3060" spans="1:9" x14ac:dyDescent="0.2">
      <c r="A3060" s="5" t="s">
        <v>105</v>
      </c>
      <c r="B3060" s="5" t="s">
        <v>64</v>
      </c>
      <c r="C3060" s="5" t="s">
        <v>61</v>
      </c>
      <c r="D3060" s="5">
        <v>5265338</v>
      </c>
      <c r="E3060" s="5">
        <v>295468</v>
      </c>
      <c r="F3060" s="5">
        <v>284744989</v>
      </c>
      <c r="G3060" s="5">
        <v>5.6115675764784712</v>
      </c>
      <c r="H3060" s="5">
        <v>963.70838466432917</v>
      </c>
      <c r="I3060" s="5">
        <v>54.079147245627915</v>
      </c>
    </row>
    <row r="3061" spans="1:9" x14ac:dyDescent="0.2">
      <c r="A3061" s="5" t="s">
        <v>105</v>
      </c>
      <c r="B3061" s="5" t="s">
        <v>64</v>
      </c>
      <c r="C3061" s="5" t="s">
        <v>62</v>
      </c>
      <c r="D3061" s="5">
        <v>5254718</v>
      </c>
      <c r="E3061" s="5">
        <v>288529</v>
      </c>
      <c r="F3061" s="5">
        <v>291725682</v>
      </c>
      <c r="G3061" s="5">
        <v>5.490856026907629</v>
      </c>
      <c r="H3061" s="5">
        <v>1011.079239868436</v>
      </c>
      <c r="I3061" s="5">
        <v>55.516905379127863</v>
      </c>
    </row>
    <row r="3062" spans="1:9" x14ac:dyDescent="0.2">
      <c r="A3062" s="5" t="s">
        <v>105</v>
      </c>
      <c r="B3062" s="5" t="s">
        <v>65</v>
      </c>
      <c r="C3062" s="5" t="s">
        <v>45</v>
      </c>
      <c r="D3062" s="5">
        <v>4471708</v>
      </c>
      <c r="E3062" s="5">
        <v>308089</v>
      </c>
      <c r="F3062" s="5">
        <v>711490054</v>
      </c>
      <c r="G3062" s="5">
        <v>6.8897387754298807</v>
      </c>
      <c r="H3062" s="5">
        <v>2309.3653262531279</v>
      </c>
      <c r="I3062" s="5">
        <v>159.10923834919453</v>
      </c>
    </row>
    <row r="3063" spans="1:9" x14ac:dyDescent="0.2">
      <c r="A3063" s="5" t="s">
        <v>105</v>
      </c>
      <c r="B3063" s="5" t="s">
        <v>65</v>
      </c>
      <c r="C3063" s="5" t="s">
        <v>46</v>
      </c>
      <c r="D3063" s="5">
        <v>4513564</v>
      </c>
      <c r="E3063" s="5">
        <v>298295</v>
      </c>
      <c r="F3063" s="5">
        <v>687175430</v>
      </c>
      <c r="G3063" s="5">
        <v>6.6088572135013486</v>
      </c>
      <c r="H3063" s="5">
        <v>2303.6773328416502</v>
      </c>
      <c r="I3063" s="5">
        <v>152.24674558730086</v>
      </c>
    </row>
    <row r="3064" spans="1:9" x14ac:dyDescent="0.2">
      <c r="A3064" s="5" t="s">
        <v>105</v>
      </c>
      <c r="B3064" s="5" t="s">
        <v>65</v>
      </c>
      <c r="C3064" s="5" t="s">
        <v>47</v>
      </c>
      <c r="D3064" s="5">
        <v>4554334</v>
      </c>
      <c r="E3064" s="5">
        <v>299393</v>
      </c>
      <c r="F3064" s="5">
        <v>698475769</v>
      </c>
      <c r="G3064" s="5">
        <v>6.5738042049616912</v>
      </c>
      <c r="H3064" s="5">
        <v>2332.972945259241</v>
      </c>
      <c r="I3064" s="5">
        <v>153.36507357607061</v>
      </c>
    </row>
    <row r="3065" spans="1:9" x14ac:dyDescent="0.2">
      <c r="A3065" s="5" t="s">
        <v>105</v>
      </c>
      <c r="B3065" s="5" t="s">
        <v>65</v>
      </c>
      <c r="C3065" s="5" t="s">
        <v>48</v>
      </c>
      <c r="D3065" s="5">
        <v>4600259</v>
      </c>
      <c r="E3065" s="5">
        <v>303698</v>
      </c>
      <c r="F3065" s="5">
        <v>719628250</v>
      </c>
      <c r="G3065" s="5">
        <v>6.6017587270629763</v>
      </c>
      <c r="H3065" s="5">
        <v>2369.5521537843515</v>
      </c>
      <c r="I3065" s="5">
        <v>156.43211610476715</v>
      </c>
    </row>
    <row r="3066" spans="1:9" x14ac:dyDescent="0.2">
      <c r="A3066" s="5" t="s">
        <v>105</v>
      </c>
      <c r="B3066" s="5" t="s">
        <v>65</v>
      </c>
      <c r="C3066" s="5" t="s">
        <v>49</v>
      </c>
      <c r="D3066" s="5">
        <v>4634314</v>
      </c>
      <c r="E3066" s="5">
        <v>307220</v>
      </c>
      <c r="F3066" s="5">
        <v>743772333</v>
      </c>
      <c r="G3066" s="5">
        <v>6.6292443714431091</v>
      </c>
      <c r="H3066" s="5">
        <v>2420.976280841091</v>
      </c>
      <c r="I3066" s="5">
        <v>160.49243383163073</v>
      </c>
    </row>
    <row r="3067" spans="1:9" x14ac:dyDescent="0.2">
      <c r="A3067" s="5" t="s">
        <v>105</v>
      </c>
      <c r="B3067" s="5" t="s">
        <v>65</v>
      </c>
      <c r="C3067" s="5" t="s">
        <v>50</v>
      </c>
      <c r="D3067" s="5">
        <v>4658262</v>
      </c>
      <c r="E3067" s="5">
        <v>321287</v>
      </c>
      <c r="F3067" s="5">
        <v>803688778</v>
      </c>
      <c r="G3067" s="5">
        <v>6.8971431834448129</v>
      </c>
      <c r="H3067" s="5">
        <v>2501.4668442856387</v>
      </c>
      <c r="I3067" s="5">
        <v>172.52974993677898</v>
      </c>
    </row>
    <row r="3068" spans="1:9" x14ac:dyDescent="0.2">
      <c r="A3068" s="5" t="s">
        <v>105</v>
      </c>
      <c r="B3068" s="5" t="s">
        <v>65</v>
      </c>
      <c r="C3068" s="5" t="s">
        <v>51</v>
      </c>
      <c r="D3068" s="5">
        <v>4681596</v>
      </c>
      <c r="E3068" s="5">
        <v>324432</v>
      </c>
      <c r="F3068" s="5">
        <v>816299565</v>
      </c>
      <c r="G3068" s="5">
        <v>6.9299444035751909</v>
      </c>
      <c r="H3068" s="5">
        <v>2516.0883174286137</v>
      </c>
      <c r="I3068" s="5">
        <v>174.36352154265342</v>
      </c>
    </row>
    <row r="3069" spans="1:9" x14ac:dyDescent="0.2">
      <c r="A3069" s="5" t="s">
        <v>105</v>
      </c>
      <c r="B3069" s="5" t="s">
        <v>65</v>
      </c>
      <c r="C3069" s="5" t="s">
        <v>52</v>
      </c>
      <c r="D3069" s="5">
        <v>4700013</v>
      </c>
      <c r="E3069" s="5">
        <v>323556</v>
      </c>
      <c r="F3069" s="5">
        <v>819069132</v>
      </c>
      <c r="G3069" s="5">
        <v>6.88415117149676</v>
      </c>
      <c r="H3069" s="5">
        <v>2531.4601861810629</v>
      </c>
      <c r="I3069" s="5">
        <v>174.26954606295769</v>
      </c>
    </row>
    <row r="3070" spans="1:9" x14ac:dyDescent="0.2">
      <c r="A3070" s="5" t="s">
        <v>105</v>
      </c>
      <c r="B3070" s="5" t="s">
        <v>65</v>
      </c>
      <c r="C3070" s="5" t="s">
        <v>53</v>
      </c>
      <c r="D3070" s="5">
        <v>4718903</v>
      </c>
      <c r="E3070" s="5">
        <v>320751</v>
      </c>
      <c r="F3070" s="5">
        <v>811581092</v>
      </c>
      <c r="G3070" s="5">
        <v>6.7971517956609828</v>
      </c>
      <c r="H3070" s="5">
        <v>2530.2527256345265</v>
      </c>
      <c r="I3070" s="5">
        <v>171.98511857522817</v>
      </c>
    </row>
    <row r="3071" spans="1:9" x14ac:dyDescent="0.2">
      <c r="A3071" s="5" t="s">
        <v>105</v>
      </c>
      <c r="B3071" s="5" t="s">
        <v>65</v>
      </c>
      <c r="C3071" s="5" t="s">
        <v>54</v>
      </c>
      <c r="D3071" s="5">
        <v>4732996</v>
      </c>
      <c r="E3071" s="5">
        <v>318883</v>
      </c>
      <c r="F3071" s="5">
        <v>811559008</v>
      </c>
      <c r="G3071" s="5">
        <v>6.7374449503020921</v>
      </c>
      <c r="H3071" s="5">
        <v>2545.0055600329902</v>
      </c>
      <c r="I3071" s="5">
        <v>171.46834858935017</v>
      </c>
    </row>
    <row r="3072" spans="1:9" x14ac:dyDescent="0.2">
      <c r="A3072" s="5" t="s">
        <v>105</v>
      </c>
      <c r="B3072" s="5" t="s">
        <v>65</v>
      </c>
      <c r="C3072" s="5" t="s">
        <v>55</v>
      </c>
      <c r="D3072" s="5">
        <v>4749618</v>
      </c>
      <c r="E3072" s="5">
        <v>316119</v>
      </c>
      <c r="F3072" s="5">
        <v>802641540</v>
      </c>
      <c r="G3072" s="5">
        <v>6.655672098261376</v>
      </c>
      <c r="H3072" s="5">
        <v>2539.0487126683306</v>
      </c>
      <c r="I3072" s="5">
        <v>168.99075673033073</v>
      </c>
    </row>
    <row r="3073" spans="1:9" x14ac:dyDescent="0.2">
      <c r="A3073" s="5" t="s">
        <v>105</v>
      </c>
      <c r="B3073" s="5" t="s">
        <v>65</v>
      </c>
      <c r="C3073" s="5" t="s">
        <v>56</v>
      </c>
      <c r="D3073" s="5">
        <v>4762135</v>
      </c>
      <c r="E3073" s="5">
        <v>313054</v>
      </c>
      <c r="F3073" s="5">
        <v>796808103</v>
      </c>
      <c r="G3073" s="5">
        <v>6.5738161559888582</v>
      </c>
      <c r="H3073" s="5">
        <v>2545.2736684405886</v>
      </c>
      <c r="I3073" s="5">
        <v>167.32161163007768</v>
      </c>
    </row>
    <row r="3074" spans="1:9" x14ac:dyDescent="0.2">
      <c r="A3074" s="5" t="s">
        <v>105</v>
      </c>
      <c r="B3074" s="5" t="s">
        <v>65</v>
      </c>
      <c r="C3074" s="5" t="s">
        <v>57</v>
      </c>
      <c r="D3074" s="5">
        <v>4769929</v>
      </c>
      <c r="E3074" s="5">
        <v>310244</v>
      </c>
      <c r="F3074" s="5">
        <v>792079606</v>
      </c>
      <c r="G3074" s="5">
        <v>6.5041638984563503</v>
      </c>
      <c r="H3074" s="5">
        <v>2553.0859774886862</v>
      </c>
      <c r="I3074" s="5">
        <v>166.05689644437055</v>
      </c>
    </row>
    <row r="3075" spans="1:9" x14ac:dyDescent="0.2">
      <c r="A3075" s="5" t="s">
        <v>105</v>
      </c>
      <c r="B3075" s="5" t="s">
        <v>65</v>
      </c>
      <c r="C3075" s="5" t="s">
        <v>58</v>
      </c>
      <c r="D3075" s="5">
        <v>4781461</v>
      </c>
      <c r="E3075" s="5">
        <v>298486</v>
      </c>
      <c r="F3075" s="5">
        <v>780369591</v>
      </c>
      <c r="G3075" s="5">
        <v>6.2425689553883217</v>
      </c>
      <c r="H3075" s="5">
        <v>2614.4261070870994</v>
      </c>
      <c r="I3075" s="5">
        <v>163.20735252258672</v>
      </c>
    </row>
    <row r="3076" spans="1:9" x14ac:dyDescent="0.2">
      <c r="A3076" s="5" t="s">
        <v>105</v>
      </c>
      <c r="B3076" s="5" t="s">
        <v>65</v>
      </c>
      <c r="C3076" s="5" t="s">
        <v>59</v>
      </c>
      <c r="D3076" s="5">
        <v>4789016</v>
      </c>
      <c r="E3076" s="5">
        <v>297359</v>
      </c>
      <c r="F3076" s="5">
        <v>786471623</v>
      </c>
      <c r="G3076" s="5">
        <v>6.2091878582155502</v>
      </c>
      <c r="H3076" s="5">
        <v>2644.8556223285659</v>
      </c>
      <c r="I3076" s="5">
        <v>164.22405416895663</v>
      </c>
    </row>
    <row r="3077" spans="1:9" x14ac:dyDescent="0.2">
      <c r="A3077" s="5" t="s">
        <v>105</v>
      </c>
      <c r="B3077" s="5" t="s">
        <v>65</v>
      </c>
      <c r="C3077" s="5" t="s">
        <v>60</v>
      </c>
      <c r="D3077" s="5">
        <v>4797920</v>
      </c>
      <c r="E3077" s="5">
        <v>297518</v>
      </c>
      <c r="F3077" s="5">
        <v>792963031</v>
      </c>
      <c r="G3077" s="5">
        <v>6.2009787574615665</v>
      </c>
      <c r="H3077" s="5">
        <v>2665.2606934706473</v>
      </c>
      <c r="I3077" s="5">
        <v>165.27224943308767</v>
      </c>
    </row>
    <row r="3078" spans="1:9" x14ac:dyDescent="0.2">
      <c r="A3078" s="5" t="s">
        <v>105</v>
      </c>
      <c r="B3078" s="5" t="s">
        <v>65</v>
      </c>
      <c r="C3078" s="5" t="s">
        <v>61</v>
      </c>
      <c r="D3078" s="5">
        <v>4806235</v>
      </c>
      <c r="E3078" s="5">
        <v>297177</v>
      </c>
      <c r="F3078" s="5">
        <v>799273539</v>
      </c>
      <c r="G3078" s="5">
        <v>6.1831558381976741</v>
      </c>
      <c r="H3078" s="5">
        <v>2689.553831554932</v>
      </c>
      <c r="I3078" s="5">
        <v>166.29930475725803</v>
      </c>
    </row>
    <row r="3079" spans="1:9" x14ac:dyDescent="0.2">
      <c r="A3079" s="5" t="s">
        <v>105</v>
      </c>
      <c r="B3079" s="5" t="s">
        <v>65</v>
      </c>
      <c r="C3079" s="5" t="s">
        <v>62</v>
      </c>
      <c r="D3079" s="5">
        <v>4797451</v>
      </c>
      <c r="E3079" s="5">
        <v>294047</v>
      </c>
      <c r="F3079" s="5">
        <v>777808808</v>
      </c>
      <c r="G3079" s="5">
        <v>6.1292340453294889</v>
      </c>
      <c r="H3079" s="5">
        <v>2645.1853207140357</v>
      </c>
      <c r="I3079" s="5">
        <v>162.12959923926269</v>
      </c>
    </row>
    <row r="3080" spans="1:9" x14ac:dyDescent="0.2">
      <c r="A3080" s="5" t="s">
        <v>106</v>
      </c>
      <c r="B3080" s="5" t="s">
        <v>44</v>
      </c>
      <c r="C3080" s="5" t="s">
        <v>45</v>
      </c>
      <c r="D3080" s="5">
        <v>356643</v>
      </c>
      <c r="E3080" s="5">
        <v>6350</v>
      </c>
      <c r="F3080" s="5">
        <v>71315955</v>
      </c>
      <c r="G3080" s="5">
        <v>1.7804919765704079</v>
      </c>
      <c r="H3080" s="5">
        <v>11230.85905511811</v>
      </c>
      <c r="I3080" s="5">
        <v>199.96454437630908</v>
      </c>
    </row>
    <row r="3081" spans="1:9" x14ac:dyDescent="0.2">
      <c r="A3081" s="5" t="s">
        <v>106</v>
      </c>
      <c r="B3081" s="5" t="s">
        <v>44</v>
      </c>
      <c r="C3081" s="5" t="s">
        <v>46</v>
      </c>
      <c r="D3081" s="5">
        <v>359783</v>
      </c>
      <c r="E3081" s="5">
        <v>6415</v>
      </c>
      <c r="F3081" s="5">
        <v>73501440</v>
      </c>
      <c r="G3081" s="5">
        <v>1.7830192088008605</v>
      </c>
      <c r="H3081" s="5">
        <v>11457.745908028059</v>
      </c>
      <c r="I3081" s="5">
        <v>204.29381043573488</v>
      </c>
    </row>
    <row r="3082" spans="1:9" x14ac:dyDescent="0.2">
      <c r="A3082" s="5" t="s">
        <v>106</v>
      </c>
      <c r="B3082" s="5" t="s">
        <v>44</v>
      </c>
      <c r="C3082" s="5" t="s">
        <v>47</v>
      </c>
      <c r="D3082" s="5">
        <v>361391</v>
      </c>
      <c r="E3082" s="5">
        <v>6490</v>
      </c>
      <c r="F3082" s="5">
        <v>72771246</v>
      </c>
      <c r="G3082" s="5">
        <v>1.7958388559759375</v>
      </c>
      <c r="H3082" s="5">
        <v>11212.826810477658</v>
      </c>
      <c r="I3082" s="5">
        <v>201.36430071584516</v>
      </c>
    </row>
    <row r="3083" spans="1:9" x14ac:dyDescent="0.2">
      <c r="A3083" s="5" t="s">
        <v>106</v>
      </c>
      <c r="B3083" s="5" t="s">
        <v>44</v>
      </c>
      <c r="C3083" s="5" t="s">
        <v>48</v>
      </c>
      <c r="D3083" s="5">
        <v>363279</v>
      </c>
      <c r="E3083" s="5">
        <v>6549</v>
      </c>
      <c r="F3083" s="5">
        <v>72369142</v>
      </c>
      <c r="G3083" s="5">
        <v>1.8027466492695696</v>
      </c>
      <c r="H3083" s="5">
        <v>11050.411055122919</v>
      </c>
      <c r="I3083" s="5">
        <v>199.21091502674253</v>
      </c>
    </row>
    <row r="3084" spans="1:9" x14ac:dyDescent="0.2">
      <c r="A3084" s="5" t="s">
        <v>106</v>
      </c>
      <c r="B3084" s="5" t="s">
        <v>44</v>
      </c>
      <c r="C3084" s="5" t="s">
        <v>49</v>
      </c>
      <c r="D3084" s="5">
        <v>365206</v>
      </c>
      <c r="E3084" s="5">
        <v>6501</v>
      </c>
      <c r="F3084" s="5">
        <v>72630633</v>
      </c>
      <c r="G3084" s="5">
        <v>1.7800912361790333</v>
      </c>
      <c r="H3084" s="5">
        <v>11172.224734656207</v>
      </c>
      <c r="I3084" s="5">
        <v>198.87579338784138</v>
      </c>
    </row>
    <row r="3085" spans="1:9" x14ac:dyDescent="0.2">
      <c r="A3085" s="5" t="s">
        <v>106</v>
      </c>
      <c r="B3085" s="5" t="s">
        <v>44</v>
      </c>
      <c r="C3085" s="5" t="s">
        <v>50</v>
      </c>
      <c r="D3085" s="5">
        <v>366446</v>
      </c>
      <c r="E3085" s="5">
        <v>6590</v>
      </c>
      <c r="F3085" s="5">
        <v>74082311</v>
      </c>
      <c r="G3085" s="5">
        <v>1.7983550100151182</v>
      </c>
      <c r="H3085" s="5">
        <v>11241.625341426403</v>
      </c>
      <c r="I3085" s="5">
        <v>202.16433253467088</v>
      </c>
    </row>
    <row r="3086" spans="1:9" x14ac:dyDescent="0.2">
      <c r="A3086" s="5" t="s">
        <v>106</v>
      </c>
      <c r="B3086" s="5" t="s">
        <v>44</v>
      </c>
      <c r="C3086" s="5" t="s">
        <v>51</v>
      </c>
      <c r="D3086" s="5">
        <v>368980</v>
      </c>
      <c r="E3086" s="5">
        <v>6640</v>
      </c>
      <c r="F3086" s="5">
        <v>74504441</v>
      </c>
      <c r="G3086" s="5">
        <v>1.7995555314651202</v>
      </c>
      <c r="H3086" s="5">
        <v>11220.548343373493</v>
      </c>
      <c r="I3086" s="5">
        <v>201.9199983738956</v>
      </c>
    </row>
    <row r="3087" spans="1:9" x14ac:dyDescent="0.2">
      <c r="A3087" s="5" t="s">
        <v>106</v>
      </c>
      <c r="B3087" s="5" t="s">
        <v>44</v>
      </c>
      <c r="C3087" s="5" t="s">
        <v>52</v>
      </c>
      <c r="D3087" s="5">
        <v>373307</v>
      </c>
      <c r="E3087" s="5">
        <v>6687</v>
      </c>
      <c r="F3087" s="5">
        <v>76337357</v>
      </c>
      <c r="G3087" s="5">
        <v>1.7912870639982641</v>
      </c>
      <c r="H3087" s="5">
        <v>11415.785404516226</v>
      </c>
      <c r="I3087" s="5">
        <v>204.48948720490105</v>
      </c>
    </row>
    <row r="3088" spans="1:9" x14ac:dyDescent="0.2">
      <c r="A3088" s="5" t="s">
        <v>106</v>
      </c>
      <c r="B3088" s="5" t="s">
        <v>44</v>
      </c>
      <c r="C3088" s="5" t="s">
        <v>53</v>
      </c>
      <c r="D3088" s="5">
        <v>377796</v>
      </c>
      <c r="E3088" s="5">
        <v>6900</v>
      </c>
      <c r="F3088" s="5">
        <v>76994619</v>
      </c>
      <c r="G3088" s="5">
        <v>1.8263824921386145</v>
      </c>
      <c r="H3088" s="5">
        <v>11158.640434782608</v>
      </c>
      <c r="I3088" s="5">
        <v>203.79945526156973</v>
      </c>
    </row>
    <row r="3089" spans="1:9" x14ac:dyDescent="0.2">
      <c r="A3089" s="5" t="s">
        <v>106</v>
      </c>
      <c r="B3089" s="5" t="s">
        <v>44</v>
      </c>
      <c r="C3089" s="5" t="s">
        <v>54</v>
      </c>
      <c r="D3089" s="5">
        <v>381821</v>
      </c>
      <c r="E3089" s="5">
        <v>7053</v>
      </c>
      <c r="F3089" s="5">
        <v>77494090</v>
      </c>
      <c r="G3089" s="5">
        <v>1.8472006516142381</v>
      </c>
      <c r="H3089" s="5">
        <v>10987.39401673047</v>
      </c>
      <c r="I3089" s="5">
        <v>202.95921387246904</v>
      </c>
    </row>
    <row r="3090" spans="1:9" x14ac:dyDescent="0.2">
      <c r="A3090" s="5" t="s">
        <v>106</v>
      </c>
      <c r="B3090" s="5" t="s">
        <v>44</v>
      </c>
      <c r="C3090" s="5" t="s">
        <v>55</v>
      </c>
      <c r="D3090" s="5">
        <v>385848</v>
      </c>
      <c r="E3090" s="5">
        <v>7053</v>
      </c>
      <c r="F3090" s="5">
        <v>78698424</v>
      </c>
      <c r="G3090" s="5">
        <v>1.8279218759718854</v>
      </c>
      <c r="H3090" s="5">
        <v>11158.148872820077</v>
      </c>
      <c r="I3090" s="5">
        <v>203.96224419978853</v>
      </c>
    </row>
    <row r="3091" spans="1:9" x14ac:dyDescent="0.2">
      <c r="A3091" s="5" t="s">
        <v>106</v>
      </c>
      <c r="B3091" s="5" t="s">
        <v>44</v>
      </c>
      <c r="C3091" s="5" t="s">
        <v>56</v>
      </c>
      <c r="D3091" s="5">
        <v>388640</v>
      </c>
      <c r="E3091" s="5">
        <v>7148</v>
      </c>
      <c r="F3091" s="5">
        <v>78551234</v>
      </c>
      <c r="G3091" s="5">
        <v>1.8392342527789214</v>
      </c>
      <c r="H3091" s="5">
        <v>10989.260492445439</v>
      </c>
      <c r="I3091" s="5">
        <v>202.1182431041581</v>
      </c>
    </row>
    <row r="3092" spans="1:9" x14ac:dyDescent="0.2">
      <c r="A3092" s="5" t="s">
        <v>106</v>
      </c>
      <c r="B3092" s="5" t="s">
        <v>44</v>
      </c>
      <c r="C3092" s="5" t="s">
        <v>57</v>
      </c>
      <c r="D3092" s="5">
        <v>390530</v>
      </c>
      <c r="E3092" s="5">
        <v>7164</v>
      </c>
      <c r="F3092" s="5">
        <v>78535750</v>
      </c>
      <c r="G3092" s="5">
        <v>1.834430133408445</v>
      </c>
      <c r="H3092" s="5">
        <v>10962.555834729201</v>
      </c>
      <c r="I3092" s="5">
        <v>201.10042762399814</v>
      </c>
    </row>
    <row r="3093" spans="1:9" x14ac:dyDescent="0.2">
      <c r="A3093" s="5" t="s">
        <v>106</v>
      </c>
      <c r="B3093" s="5" t="s">
        <v>44</v>
      </c>
      <c r="C3093" s="5" t="s">
        <v>58</v>
      </c>
      <c r="D3093" s="5">
        <v>391344</v>
      </c>
      <c r="E3093" s="5">
        <v>7119</v>
      </c>
      <c r="F3093" s="5">
        <v>78700435</v>
      </c>
      <c r="G3093" s="5">
        <v>1.8191156629461549</v>
      </c>
      <c r="H3093" s="5">
        <v>11054.984548391629</v>
      </c>
      <c r="I3093" s="5">
        <v>201.10295545606934</v>
      </c>
    </row>
    <row r="3094" spans="1:9" x14ac:dyDescent="0.2">
      <c r="A3094" s="5" t="s">
        <v>106</v>
      </c>
      <c r="B3094" s="5" t="s">
        <v>44</v>
      </c>
      <c r="C3094" s="5" t="s">
        <v>59</v>
      </c>
      <c r="D3094" s="5">
        <v>390715</v>
      </c>
      <c r="E3094" s="5">
        <v>7161</v>
      </c>
      <c r="F3094" s="5">
        <v>78656661</v>
      </c>
      <c r="G3094" s="5">
        <v>1.8327937243259154</v>
      </c>
      <c r="H3094" s="5">
        <v>10984.033095936322</v>
      </c>
      <c r="I3094" s="5">
        <v>201.31466926020244</v>
      </c>
    </row>
    <row r="3095" spans="1:9" x14ac:dyDescent="0.2">
      <c r="A3095" s="5" t="s">
        <v>106</v>
      </c>
      <c r="B3095" s="5" t="s">
        <v>44</v>
      </c>
      <c r="C3095" s="5" t="s">
        <v>60</v>
      </c>
      <c r="D3095" s="5">
        <v>389485</v>
      </c>
      <c r="E3095" s="5">
        <v>7294</v>
      </c>
      <c r="F3095" s="5">
        <v>79780880</v>
      </c>
      <c r="G3095" s="5">
        <v>1.8727293734033403</v>
      </c>
      <c r="H3095" s="5">
        <v>10937.877707704964</v>
      </c>
      <c r="I3095" s="5">
        <v>204.83684865912679</v>
      </c>
    </row>
    <row r="3096" spans="1:9" x14ac:dyDescent="0.2">
      <c r="A3096" s="5" t="s">
        <v>106</v>
      </c>
      <c r="B3096" s="5" t="s">
        <v>44</v>
      </c>
      <c r="C3096" s="5" t="s">
        <v>61</v>
      </c>
      <c r="D3096" s="5">
        <v>388218</v>
      </c>
      <c r="E3096" s="5">
        <v>7166</v>
      </c>
      <c r="F3096" s="5">
        <v>78129957</v>
      </c>
      <c r="G3096" s="5">
        <v>1.8458701039106893</v>
      </c>
      <c r="H3096" s="5">
        <v>10902.868685459112</v>
      </c>
      <c r="I3096" s="5">
        <v>201.25279353353014</v>
      </c>
    </row>
    <row r="3097" spans="1:9" x14ac:dyDescent="0.2">
      <c r="A3097" s="5" t="s">
        <v>106</v>
      </c>
      <c r="B3097" s="5" t="s">
        <v>44</v>
      </c>
      <c r="C3097" s="5" t="s">
        <v>62</v>
      </c>
      <c r="D3097" s="5">
        <v>387796</v>
      </c>
      <c r="E3097" s="5">
        <v>7153</v>
      </c>
      <c r="F3097" s="5">
        <v>78922666</v>
      </c>
      <c r="G3097" s="5">
        <v>1.8445265036256175</v>
      </c>
      <c r="H3097" s="5">
        <v>11033.505661960016</v>
      </c>
      <c r="I3097" s="5">
        <v>203.51593621388565</v>
      </c>
    </row>
    <row r="3098" spans="1:9" x14ac:dyDescent="0.2">
      <c r="A3098" s="5" t="s">
        <v>106</v>
      </c>
      <c r="B3098" s="5" t="s">
        <v>63</v>
      </c>
      <c r="C3098" s="5" t="s">
        <v>45</v>
      </c>
      <c r="D3098" s="5">
        <v>356643</v>
      </c>
      <c r="E3098" s="5">
        <v>18571</v>
      </c>
      <c r="F3098" s="5">
        <v>42524137</v>
      </c>
      <c r="G3098" s="5">
        <v>5.2071679522659915</v>
      </c>
      <c r="H3098" s="5">
        <v>2289.8140649399602</v>
      </c>
      <c r="I3098" s="5">
        <v>119.23446415603279</v>
      </c>
    </row>
    <row r="3099" spans="1:9" x14ac:dyDescent="0.2">
      <c r="A3099" s="5" t="s">
        <v>106</v>
      </c>
      <c r="B3099" s="5" t="s">
        <v>63</v>
      </c>
      <c r="C3099" s="5" t="s">
        <v>46</v>
      </c>
      <c r="D3099" s="5">
        <v>359783</v>
      </c>
      <c r="E3099" s="5">
        <v>18354</v>
      </c>
      <c r="F3099" s="5">
        <v>42452306</v>
      </c>
      <c r="G3099" s="5">
        <v>5.1014083489214332</v>
      </c>
      <c r="H3099" s="5">
        <v>2312.9729759180559</v>
      </c>
      <c r="I3099" s="5">
        <v>117.99419650178024</v>
      </c>
    </row>
    <row r="3100" spans="1:9" x14ac:dyDescent="0.2">
      <c r="A3100" s="5" t="s">
        <v>106</v>
      </c>
      <c r="B3100" s="5" t="s">
        <v>63</v>
      </c>
      <c r="C3100" s="5" t="s">
        <v>47</v>
      </c>
      <c r="D3100" s="5">
        <v>361391</v>
      </c>
      <c r="E3100" s="5">
        <v>18440</v>
      </c>
      <c r="F3100" s="5">
        <v>42928002</v>
      </c>
      <c r="G3100" s="5">
        <v>5.1025067032659921</v>
      </c>
      <c r="H3100" s="5">
        <v>2327.9827548806943</v>
      </c>
      <c r="I3100" s="5">
        <v>118.78547611866372</v>
      </c>
    </row>
    <row r="3101" spans="1:9" x14ac:dyDescent="0.2">
      <c r="A3101" s="5" t="s">
        <v>106</v>
      </c>
      <c r="B3101" s="5" t="s">
        <v>63</v>
      </c>
      <c r="C3101" s="5" t="s">
        <v>48</v>
      </c>
      <c r="D3101" s="5">
        <v>363279</v>
      </c>
      <c r="E3101" s="5">
        <v>18646</v>
      </c>
      <c r="F3101" s="5">
        <v>43453853</v>
      </c>
      <c r="G3101" s="5">
        <v>5.1326941551810039</v>
      </c>
      <c r="H3101" s="5">
        <v>2330.4651399764025</v>
      </c>
      <c r="I3101" s="5">
        <v>119.61564802809961</v>
      </c>
    </row>
    <row r="3102" spans="1:9" x14ac:dyDescent="0.2">
      <c r="A3102" s="5" t="s">
        <v>106</v>
      </c>
      <c r="B3102" s="5" t="s">
        <v>63</v>
      </c>
      <c r="C3102" s="5" t="s">
        <v>49</v>
      </c>
      <c r="D3102" s="5">
        <v>365206</v>
      </c>
      <c r="E3102" s="5">
        <v>18814</v>
      </c>
      <c r="F3102" s="5">
        <v>43687965</v>
      </c>
      <c r="G3102" s="5">
        <v>5.1516130622169403</v>
      </c>
      <c r="H3102" s="5">
        <v>2322.0987030934411</v>
      </c>
      <c r="I3102" s="5">
        <v>119.62554010613188</v>
      </c>
    </row>
    <row r="3103" spans="1:9" x14ac:dyDescent="0.2">
      <c r="A3103" s="5" t="s">
        <v>106</v>
      </c>
      <c r="B3103" s="5" t="s">
        <v>63</v>
      </c>
      <c r="C3103" s="5" t="s">
        <v>50</v>
      </c>
      <c r="D3103" s="5">
        <v>366446</v>
      </c>
      <c r="E3103" s="5">
        <v>19456</v>
      </c>
      <c r="F3103" s="5">
        <v>45361463</v>
      </c>
      <c r="G3103" s="5">
        <v>5.3093770978534351</v>
      </c>
      <c r="H3103" s="5">
        <v>2331.4896689967104</v>
      </c>
      <c r="I3103" s="5">
        <v>123.78757852453022</v>
      </c>
    </row>
    <row r="3104" spans="1:9" x14ac:dyDescent="0.2">
      <c r="A3104" s="5" t="s">
        <v>106</v>
      </c>
      <c r="B3104" s="5" t="s">
        <v>63</v>
      </c>
      <c r="C3104" s="5" t="s">
        <v>51</v>
      </c>
      <c r="D3104" s="5">
        <v>368980</v>
      </c>
      <c r="E3104" s="5">
        <v>19726</v>
      </c>
      <c r="F3104" s="5">
        <v>46307734</v>
      </c>
      <c r="G3104" s="5">
        <v>5.3460892189278555</v>
      </c>
      <c r="H3104" s="5">
        <v>2347.5481090945959</v>
      </c>
      <c r="I3104" s="5">
        <v>125.50201636945091</v>
      </c>
    </row>
    <row r="3105" spans="1:9" x14ac:dyDescent="0.2">
      <c r="A3105" s="5" t="s">
        <v>106</v>
      </c>
      <c r="B3105" s="5" t="s">
        <v>63</v>
      </c>
      <c r="C3105" s="5" t="s">
        <v>52</v>
      </c>
      <c r="D3105" s="5">
        <v>373307</v>
      </c>
      <c r="E3105" s="5">
        <v>19883</v>
      </c>
      <c r="F3105" s="5">
        <v>46592164</v>
      </c>
      <c r="G3105" s="5">
        <v>5.3261792572868982</v>
      </c>
      <c r="H3105" s="5">
        <v>2343.316602122416</v>
      </c>
      <c r="I3105" s="5">
        <v>124.80924279480428</v>
      </c>
    </row>
    <row r="3106" spans="1:9" x14ac:dyDescent="0.2">
      <c r="A3106" s="5" t="s">
        <v>106</v>
      </c>
      <c r="B3106" s="5" t="s">
        <v>63</v>
      </c>
      <c r="C3106" s="5" t="s">
        <v>53</v>
      </c>
      <c r="D3106" s="5">
        <v>377796</v>
      </c>
      <c r="E3106" s="5">
        <v>19769</v>
      </c>
      <c r="F3106" s="5">
        <v>46377842</v>
      </c>
      <c r="G3106" s="5">
        <v>5.232718186534532</v>
      </c>
      <c r="H3106" s="5">
        <v>2345.9882644544491</v>
      </c>
      <c r="I3106" s="5">
        <v>122.75895456807378</v>
      </c>
    </row>
    <row r="3107" spans="1:9" x14ac:dyDescent="0.2">
      <c r="A3107" s="5" t="s">
        <v>106</v>
      </c>
      <c r="B3107" s="5" t="s">
        <v>63</v>
      </c>
      <c r="C3107" s="5" t="s">
        <v>54</v>
      </c>
      <c r="D3107" s="5">
        <v>381821</v>
      </c>
      <c r="E3107" s="5">
        <v>19859</v>
      </c>
      <c r="F3107" s="5">
        <v>46763397</v>
      </c>
      <c r="G3107" s="5">
        <v>5.2011282773865242</v>
      </c>
      <c r="H3107" s="5">
        <v>2354.7709854474042</v>
      </c>
      <c r="I3107" s="5">
        <v>122.47465959179826</v>
      </c>
    </row>
    <row r="3108" spans="1:9" x14ac:dyDescent="0.2">
      <c r="A3108" s="5" t="s">
        <v>106</v>
      </c>
      <c r="B3108" s="5" t="s">
        <v>63</v>
      </c>
      <c r="C3108" s="5" t="s">
        <v>55</v>
      </c>
      <c r="D3108" s="5">
        <v>385848</v>
      </c>
      <c r="E3108" s="5">
        <v>19802</v>
      </c>
      <c r="F3108" s="5">
        <v>46898599</v>
      </c>
      <c r="G3108" s="5">
        <v>5.1320727333043061</v>
      </c>
      <c r="H3108" s="5">
        <v>2368.3768811231189</v>
      </c>
      <c r="I3108" s="5">
        <v>121.54682413800253</v>
      </c>
    </row>
    <row r="3109" spans="1:9" x14ac:dyDescent="0.2">
      <c r="A3109" s="5" t="s">
        <v>106</v>
      </c>
      <c r="B3109" s="5" t="s">
        <v>63</v>
      </c>
      <c r="C3109" s="5" t="s">
        <v>56</v>
      </c>
      <c r="D3109" s="5">
        <v>388640</v>
      </c>
      <c r="E3109" s="5">
        <v>19929</v>
      </c>
      <c r="F3109" s="5">
        <v>47198058</v>
      </c>
      <c r="G3109" s="5">
        <v>5.1278818443804033</v>
      </c>
      <c r="H3109" s="5">
        <v>2368.3104019268403</v>
      </c>
      <c r="I3109" s="5">
        <v>121.444159118979</v>
      </c>
    </row>
    <row r="3110" spans="1:9" x14ac:dyDescent="0.2">
      <c r="A3110" s="5" t="s">
        <v>106</v>
      </c>
      <c r="B3110" s="5" t="s">
        <v>63</v>
      </c>
      <c r="C3110" s="5" t="s">
        <v>57</v>
      </c>
      <c r="D3110" s="5">
        <v>390530</v>
      </c>
      <c r="E3110" s="5">
        <v>20014</v>
      </c>
      <c r="F3110" s="5">
        <v>47812492</v>
      </c>
      <c r="G3110" s="5">
        <v>5.124830358743246</v>
      </c>
      <c r="H3110" s="5">
        <v>2388.9523333666434</v>
      </c>
      <c r="I3110" s="5">
        <v>122.4297544362789</v>
      </c>
    </row>
    <row r="3111" spans="1:9" x14ac:dyDescent="0.2">
      <c r="A3111" s="5" t="s">
        <v>106</v>
      </c>
      <c r="B3111" s="5" t="s">
        <v>63</v>
      </c>
      <c r="C3111" s="5" t="s">
        <v>58</v>
      </c>
      <c r="D3111" s="5">
        <v>391344</v>
      </c>
      <c r="E3111" s="5">
        <v>20068</v>
      </c>
      <c r="F3111" s="5">
        <v>48179455</v>
      </c>
      <c r="G3111" s="5">
        <v>5.1279692546710818</v>
      </c>
      <c r="H3111" s="5">
        <v>2400.8099960135537</v>
      </c>
      <c r="I3111" s="5">
        <v>123.11279845864507</v>
      </c>
    </row>
    <row r="3112" spans="1:9" x14ac:dyDescent="0.2">
      <c r="A3112" s="5" t="s">
        <v>106</v>
      </c>
      <c r="B3112" s="5" t="s">
        <v>63</v>
      </c>
      <c r="C3112" s="5" t="s">
        <v>59</v>
      </c>
      <c r="D3112" s="5">
        <v>390715</v>
      </c>
      <c r="E3112" s="5">
        <v>20082</v>
      </c>
      <c r="F3112" s="5">
        <v>48412668</v>
      </c>
      <c r="G3112" s="5">
        <v>5.1398077882855793</v>
      </c>
      <c r="H3112" s="5">
        <v>2410.7493277561994</v>
      </c>
      <c r="I3112" s="5">
        <v>123.90788170405538</v>
      </c>
    </row>
    <row r="3113" spans="1:9" x14ac:dyDescent="0.2">
      <c r="A3113" s="5" t="s">
        <v>106</v>
      </c>
      <c r="B3113" s="5" t="s">
        <v>63</v>
      </c>
      <c r="C3113" s="5" t="s">
        <v>60</v>
      </c>
      <c r="D3113" s="5">
        <v>389485</v>
      </c>
      <c r="E3113" s="5">
        <v>19918</v>
      </c>
      <c r="F3113" s="5">
        <v>48801562</v>
      </c>
      <c r="G3113" s="5">
        <v>5.1139325006097796</v>
      </c>
      <c r="H3113" s="5">
        <v>2450.1236067878299</v>
      </c>
      <c r="I3113" s="5">
        <v>125.29766743263541</v>
      </c>
    </row>
    <row r="3114" spans="1:9" x14ac:dyDescent="0.2">
      <c r="A3114" s="5" t="s">
        <v>106</v>
      </c>
      <c r="B3114" s="5" t="s">
        <v>63</v>
      </c>
      <c r="C3114" s="5" t="s">
        <v>61</v>
      </c>
      <c r="D3114" s="5">
        <v>388218</v>
      </c>
      <c r="E3114" s="5">
        <v>19511</v>
      </c>
      <c r="F3114" s="5">
        <v>48596380</v>
      </c>
      <c r="G3114" s="5">
        <v>5.0257844819148003</v>
      </c>
      <c r="H3114" s="5">
        <v>2490.7170314181744</v>
      </c>
      <c r="I3114" s="5">
        <v>125.1780700534236</v>
      </c>
    </row>
    <row r="3115" spans="1:9" x14ac:dyDescent="0.2">
      <c r="A3115" s="5" t="s">
        <v>106</v>
      </c>
      <c r="B3115" s="5" t="s">
        <v>63</v>
      </c>
      <c r="C3115" s="5" t="s">
        <v>62</v>
      </c>
      <c r="D3115" s="5">
        <v>387796</v>
      </c>
      <c r="E3115" s="5">
        <v>19151</v>
      </c>
      <c r="F3115" s="5">
        <v>47982274</v>
      </c>
      <c r="G3115" s="5">
        <v>4.9384212317816587</v>
      </c>
      <c r="H3115" s="5">
        <v>2505.4709414651975</v>
      </c>
      <c r="I3115" s="5">
        <v>123.73070892943713</v>
      </c>
    </row>
    <row r="3116" spans="1:9" x14ac:dyDescent="0.2">
      <c r="A3116" s="5" t="s">
        <v>106</v>
      </c>
      <c r="B3116" s="5" t="s">
        <v>64</v>
      </c>
      <c r="C3116" s="5" t="s">
        <v>45</v>
      </c>
      <c r="D3116" s="5">
        <v>273333</v>
      </c>
      <c r="E3116" s="5">
        <v>13257</v>
      </c>
      <c r="F3116" s="5">
        <v>12486675</v>
      </c>
      <c r="G3116" s="5">
        <v>4.8501278660095926</v>
      </c>
      <c r="H3116" s="5">
        <v>941.89296220864446</v>
      </c>
      <c r="I3116" s="5">
        <v>45.683013028064671</v>
      </c>
    </row>
    <row r="3117" spans="1:9" x14ac:dyDescent="0.2">
      <c r="A3117" s="5" t="s">
        <v>106</v>
      </c>
      <c r="B3117" s="5" t="s">
        <v>64</v>
      </c>
      <c r="C3117" s="5" t="s">
        <v>46</v>
      </c>
      <c r="D3117" s="5">
        <v>275715</v>
      </c>
      <c r="E3117" s="5">
        <v>13173</v>
      </c>
      <c r="F3117" s="5">
        <v>12726862</v>
      </c>
      <c r="G3117" s="5">
        <v>4.7777596431097331</v>
      </c>
      <c r="H3117" s="5">
        <v>966.132392013968</v>
      </c>
      <c r="I3117" s="5">
        <v>46.159483524654078</v>
      </c>
    </row>
    <row r="3118" spans="1:9" x14ac:dyDescent="0.2">
      <c r="A3118" s="5" t="s">
        <v>106</v>
      </c>
      <c r="B3118" s="5" t="s">
        <v>64</v>
      </c>
      <c r="C3118" s="5" t="s">
        <v>47</v>
      </c>
      <c r="D3118" s="5">
        <v>277705</v>
      </c>
      <c r="E3118" s="5">
        <v>12573</v>
      </c>
      <c r="F3118" s="5">
        <v>12515277</v>
      </c>
      <c r="G3118" s="5">
        <v>4.52746619614339</v>
      </c>
      <c r="H3118" s="5">
        <v>995.40897160582199</v>
      </c>
      <c r="I3118" s="5">
        <v>45.066804702832144</v>
      </c>
    </row>
    <row r="3119" spans="1:9" x14ac:dyDescent="0.2">
      <c r="A3119" s="5" t="s">
        <v>106</v>
      </c>
      <c r="B3119" s="5" t="s">
        <v>64</v>
      </c>
      <c r="C3119" s="5" t="s">
        <v>48</v>
      </c>
      <c r="D3119" s="5">
        <v>280141</v>
      </c>
      <c r="E3119" s="5">
        <v>12443</v>
      </c>
      <c r="F3119" s="5">
        <v>11944891</v>
      </c>
      <c r="G3119" s="5">
        <v>4.4416918623121928</v>
      </c>
      <c r="H3119" s="5">
        <v>959.96873744273887</v>
      </c>
      <c r="I3119" s="5">
        <v>42.638853291735231</v>
      </c>
    </row>
    <row r="3120" spans="1:9" x14ac:dyDescent="0.2">
      <c r="A3120" s="5" t="s">
        <v>106</v>
      </c>
      <c r="B3120" s="5" t="s">
        <v>64</v>
      </c>
      <c r="C3120" s="5" t="s">
        <v>49</v>
      </c>
      <c r="D3120" s="5">
        <v>282437</v>
      </c>
      <c r="E3120" s="5">
        <v>12273</v>
      </c>
      <c r="F3120" s="5">
        <v>11090194</v>
      </c>
      <c r="G3120" s="5">
        <v>4.3453938400422043</v>
      </c>
      <c r="H3120" s="5">
        <v>903.6253564735598</v>
      </c>
      <c r="I3120" s="5">
        <v>39.266080577261476</v>
      </c>
    </row>
    <row r="3121" spans="1:9" x14ac:dyDescent="0.2">
      <c r="A3121" s="5" t="s">
        <v>106</v>
      </c>
      <c r="B3121" s="5" t="s">
        <v>64</v>
      </c>
      <c r="C3121" s="5" t="s">
        <v>50</v>
      </c>
      <c r="D3121" s="5">
        <v>283882</v>
      </c>
      <c r="E3121" s="5">
        <v>12467</v>
      </c>
      <c r="F3121" s="5">
        <v>10758920</v>
      </c>
      <c r="G3121" s="5">
        <v>4.3916134168422092</v>
      </c>
      <c r="H3121" s="5">
        <v>862.99189861233651</v>
      </c>
      <c r="I3121" s="5">
        <v>37.899268005720685</v>
      </c>
    </row>
    <row r="3122" spans="1:9" x14ac:dyDescent="0.2">
      <c r="A3122" s="5" t="s">
        <v>106</v>
      </c>
      <c r="B3122" s="5" t="s">
        <v>64</v>
      </c>
      <c r="C3122" s="5" t="s">
        <v>51</v>
      </c>
      <c r="D3122" s="5">
        <v>285483</v>
      </c>
      <c r="E3122" s="5">
        <v>12934</v>
      </c>
      <c r="F3122" s="5">
        <v>10887930</v>
      </c>
      <c r="G3122" s="5">
        <v>4.5305674943867063</v>
      </c>
      <c r="H3122" s="5">
        <v>841.80686562548317</v>
      </c>
      <c r="I3122" s="5">
        <v>38.138628219543719</v>
      </c>
    </row>
    <row r="3123" spans="1:9" x14ac:dyDescent="0.2">
      <c r="A3123" s="5" t="s">
        <v>106</v>
      </c>
      <c r="B3123" s="5" t="s">
        <v>64</v>
      </c>
      <c r="C3123" s="5" t="s">
        <v>52</v>
      </c>
      <c r="D3123" s="5">
        <v>287344</v>
      </c>
      <c r="E3123" s="5">
        <v>12890</v>
      </c>
      <c r="F3123" s="5">
        <v>10923216</v>
      </c>
      <c r="G3123" s="5">
        <v>4.4859123559218217</v>
      </c>
      <c r="H3123" s="5">
        <v>847.4178432893716</v>
      </c>
      <c r="I3123" s="5">
        <v>38.014421738404145</v>
      </c>
    </row>
    <row r="3124" spans="1:9" x14ac:dyDescent="0.2">
      <c r="A3124" s="5" t="s">
        <v>106</v>
      </c>
      <c r="B3124" s="5" t="s">
        <v>64</v>
      </c>
      <c r="C3124" s="5" t="s">
        <v>53</v>
      </c>
      <c r="D3124" s="5">
        <v>289356</v>
      </c>
      <c r="E3124" s="5">
        <v>12884</v>
      </c>
      <c r="F3124" s="5">
        <v>11095567</v>
      </c>
      <c r="G3124" s="5">
        <v>4.4526465668588173</v>
      </c>
      <c r="H3124" s="5">
        <v>861.18961502638933</v>
      </c>
      <c r="I3124" s="5">
        <v>38.345729827617191</v>
      </c>
    </row>
    <row r="3125" spans="1:9" x14ac:dyDescent="0.2">
      <c r="A3125" s="5" t="s">
        <v>106</v>
      </c>
      <c r="B3125" s="5" t="s">
        <v>64</v>
      </c>
      <c r="C3125" s="5" t="s">
        <v>54</v>
      </c>
      <c r="D3125" s="5">
        <v>290330</v>
      </c>
      <c r="E3125" s="5">
        <v>12675</v>
      </c>
      <c r="F3125" s="5">
        <v>10822221</v>
      </c>
      <c r="G3125" s="5">
        <v>4.3657217648882307</v>
      </c>
      <c r="H3125" s="5">
        <v>853.82414201183428</v>
      </c>
      <c r="I3125" s="5">
        <v>37.275586401680847</v>
      </c>
    </row>
    <row r="3126" spans="1:9" x14ac:dyDescent="0.2">
      <c r="A3126" s="5" t="s">
        <v>106</v>
      </c>
      <c r="B3126" s="5" t="s">
        <v>64</v>
      </c>
      <c r="C3126" s="5" t="s">
        <v>55</v>
      </c>
      <c r="D3126" s="5">
        <v>292229</v>
      </c>
      <c r="E3126" s="5">
        <v>12310</v>
      </c>
      <c r="F3126" s="5">
        <v>10567980</v>
      </c>
      <c r="G3126" s="5">
        <v>4.2124498253082345</v>
      </c>
      <c r="H3126" s="5">
        <v>858.4874086108855</v>
      </c>
      <c r="I3126" s="5">
        <v>36.163351344322429</v>
      </c>
    </row>
    <row r="3127" spans="1:9" x14ac:dyDescent="0.2">
      <c r="A3127" s="5" t="s">
        <v>106</v>
      </c>
      <c r="B3127" s="5" t="s">
        <v>64</v>
      </c>
      <c r="C3127" s="5" t="s">
        <v>56</v>
      </c>
      <c r="D3127" s="5">
        <v>293936</v>
      </c>
      <c r="E3127" s="5">
        <v>12198</v>
      </c>
      <c r="F3127" s="5">
        <v>10233129</v>
      </c>
      <c r="G3127" s="5">
        <v>4.1498829677208642</v>
      </c>
      <c r="H3127" s="5">
        <v>838.91859321200195</v>
      </c>
      <c r="I3127" s="5">
        <v>34.814139812748351</v>
      </c>
    </row>
    <row r="3128" spans="1:9" x14ac:dyDescent="0.2">
      <c r="A3128" s="5" t="s">
        <v>106</v>
      </c>
      <c r="B3128" s="5" t="s">
        <v>64</v>
      </c>
      <c r="C3128" s="5" t="s">
        <v>57</v>
      </c>
      <c r="D3128" s="5">
        <v>295149</v>
      </c>
      <c r="E3128" s="5">
        <v>12108</v>
      </c>
      <c r="F3128" s="5">
        <v>10319618</v>
      </c>
      <c r="G3128" s="5">
        <v>4.1023347529552874</v>
      </c>
      <c r="H3128" s="5">
        <v>852.29748926329694</v>
      </c>
      <c r="I3128" s="5">
        <v>34.964096100613588</v>
      </c>
    </row>
    <row r="3129" spans="1:9" x14ac:dyDescent="0.2">
      <c r="A3129" s="5" t="s">
        <v>106</v>
      </c>
      <c r="B3129" s="5" t="s">
        <v>64</v>
      </c>
      <c r="C3129" s="5" t="s">
        <v>58</v>
      </c>
      <c r="D3129" s="5">
        <v>296872</v>
      </c>
      <c r="E3129" s="5">
        <v>11965</v>
      </c>
      <c r="F3129" s="5">
        <v>10105413</v>
      </c>
      <c r="G3129" s="5">
        <v>4.0303565172869114</v>
      </c>
      <c r="H3129" s="5">
        <v>844.58111157542828</v>
      </c>
      <c r="I3129" s="5">
        <v>34.039629874154521</v>
      </c>
    </row>
    <row r="3130" spans="1:9" x14ac:dyDescent="0.2">
      <c r="A3130" s="5" t="s">
        <v>106</v>
      </c>
      <c r="B3130" s="5" t="s">
        <v>64</v>
      </c>
      <c r="C3130" s="5" t="s">
        <v>59</v>
      </c>
      <c r="D3130" s="5">
        <v>297063</v>
      </c>
      <c r="E3130" s="5">
        <v>12034</v>
      </c>
      <c r="F3130" s="5">
        <v>10190449</v>
      </c>
      <c r="G3130" s="5">
        <v>4.0509925504017668</v>
      </c>
      <c r="H3130" s="5">
        <v>846.80480305800234</v>
      </c>
      <c r="I3130" s="5">
        <v>34.303999488324024</v>
      </c>
    </row>
    <row r="3131" spans="1:9" x14ac:dyDescent="0.2">
      <c r="A3131" s="5" t="s">
        <v>106</v>
      </c>
      <c r="B3131" s="5" t="s">
        <v>64</v>
      </c>
      <c r="C3131" s="5" t="s">
        <v>60</v>
      </c>
      <c r="D3131" s="5">
        <v>296888</v>
      </c>
      <c r="E3131" s="5">
        <v>11989</v>
      </c>
      <c r="F3131" s="5">
        <v>10329140</v>
      </c>
      <c r="G3131" s="5">
        <v>4.0382231683328396</v>
      </c>
      <c r="H3131" s="5">
        <v>861.55142213695888</v>
      </c>
      <c r="I3131" s="5">
        <v>34.791369135835737</v>
      </c>
    </row>
    <row r="3132" spans="1:9" x14ac:dyDescent="0.2">
      <c r="A3132" s="5" t="s">
        <v>106</v>
      </c>
      <c r="B3132" s="5" t="s">
        <v>64</v>
      </c>
      <c r="C3132" s="5" t="s">
        <v>61</v>
      </c>
      <c r="D3132" s="5">
        <v>296583</v>
      </c>
      <c r="E3132" s="5">
        <v>12168</v>
      </c>
      <c r="F3132" s="5">
        <v>12093019</v>
      </c>
      <c r="G3132" s="5">
        <v>4.1027300957910597</v>
      </c>
      <c r="H3132" s="5">
        <v>993.83785338593032</v>
      </c>
      <c r="I3132" s="5">
        <v>40.774484714228393</v>
      </c>
    </row>
    <row r="3133" spans="1:9" x14ac:dyDescent="0.2">
      <c r="A3133" s="5" t="s">
        <v>106</v>
      </c>
      <c r="B3133" s="5" t="s">
        <v>64</v>
      </c>
      <c r="C3133" s="5" t="s">
        <v>62</v>
      </c>
      <c r="D3133" s="5">
        <v>296517</v>
      </c>
      <c r="E3133" s="5">
        <v>12374</v>
      </c>
      <c r="F3133" s="5">
        <v>12620880</v>
      </c>
      <c r="G3133" s="5">
        <v>4.1731165498099605</v>
      </c>
      <c r="H3133" s="5">
        <v>1019.9515112332309</v>
      </c>
      <c r="I3133" s="5">
        <v>42.563765315310761</v>
      </c>
    </row>
    <row r="3134" spans="1:9" x14ac:dyDescent="0.2">
      <c r="A3134" s="5" t="s">
        <v>106</v>
      </c>
      <c r="B3134" s="5" t="s">
        <v>65</v>
      </c>
      <c r="C3134" s="5" t="s">
        <v>45</v>
      </c>
      <c r="D3134" s="5">
        <v>250442</v>
      </c>
      <c r="E3134" s="5">
        <v>17776</v>
      </c>
      <c r="F3134" s="5">
        <v>47089702</v>
      </c>
      <c r="G3134" s="5">
        <v>7.0978509994330024</v>
      </c>
      <c r="H3134" s="5">
        <v>2649.0606435643563</v>
      </c>
      <c r="I3134" s="5">
        <v>188.02637736481901</v>
      </c>
    </row>
    <row r="3135" spans="1:9" x14ac:dyDescent="0.2">
      <c r="A3135" s="5" t="s">
        <v>106</v>
      </c>
      <c r="B3135" s="5" t="s">
        <v>65</v>
      </c>
      <c r="C3135" s="5" t="s">
        <v>46</v>
      </c>
      <c r="D3135" s="5">
        <v>253189</v>
      </c>
      <c r="E3135" s="5">
        <v>17112</v>
      </c>
      <c r="F3135" s="5">
        <v>44428793</v>
      </c>
      <c r="G3135" s="5">
        <v>6.7585874583808936</v>
      </c>
      <c r="H3135" s="5">
        <v>2596.3530271154746</v>
      </c>
      <c r="I3135" s="5">
        <v>175.47679006591915</v>
      </c>
    </row>
    <row r="3136" spans="1:9" x14ac:dyDescent="0.2">
      <c r="A3136" s="5" t="s">
        <v>106</v>
      </c>
      <c r="B3136" s="5" t="s">
        <v>65</v>
      </c>
      <c r="C3136" s="5" t="s">
        <v>47</v>
      </c>
      <c r="D3136" s="5">
        <v>255494</v>
      </c>
      <c r="E3136" s="5">
        <v>17534</v>
      </c>
      <c r="F3136" s="5">
        <v>45900376</v>
      </c>
      <c r="G3136" s="5">
        <v>6.8627834704533175</v>
      </c>
      <c r="H3136" s="5">
        <v>2617.7926314588799</v>
      </c>
      <c r="I3136" s="5">
        <v>179.65344000250496</v>
      </c>
    </row>
    <row r="3137" spans="1:9" x14ac:dyDescent="0.2">
      <c r="A3137" s="5" t="s">
        <v>106</v>
      </c>
      <c r="B3137" s="5" t="s">
        <v>65</v>
      </c>
      <c r="C3137" s="5" t="s">
        <v>48</v>
      </c>
      <c r="D3137" s="5">
        <v>258191</v>
      </c>
      <c r="E3137" s="5">
        <v>17779</v>
      </c>
      <c r="F3137" s="5">
        <v>46789152</v>
      </c>
      <c r="G3137" s="5">
        <v>6.8859875053739286</v>
      </c>
      <c r="H3137" s="5">
        <v>2631.7088700151867</v>
      </c>
      <c r="I3137" s="5">
        <v>181.21914396706313</v>
      </c>
    </row>
    <row r="3138" spans="1:9" x14ac:dyDescent="0.2">
      <c r="A3138" s="5" t="s">
        <v>106</v>
      </c>
      <c r="B3138" s="5" t="s">
        <v>65</v>
      </c>
      <c r="C3138" s="5" t="s">
        <v>49</v>
      </c>
      <c r="D3138" s="5">
        <v>260701</v>
      </c>
      <c r="E3138" s="5">
        <v>18015</v>
      </c>
      <c r="F3138" s="5">
        <v>47719129</v>
      </c>
      <c r="G3138" s="5">
        <v>6.9102151506898704</v>
      </c>
      <c r="H3138" s="5">
        <v>2648.8553427699139</v>
      </c>
      <c r="I3138" s="5">
        <v>183.04160321594469</v>
      </c>
    </row>
    <row r="3139" spans="1:9" x14ac:dyDescent="0.2">
      <c r="A3139" s="5" t="s">
        <v>106</v>
      </c>
      <c r="B3139" s="5" t="s">
        <v>65</v>
      </c>
      <c r="C3139" s="5" t="s">
        <v>50</v>
      </c>
      <c r="D3139" s="5">
        <v>262335</v>
      </c>
      <c r="E3139" s="5">
        <v>18954</v>
      </c>
      <c r="F3139" s="5">
        <v>51065422</v>
      </c>
      <c r="G3139" s="5">
        <v>7.2251129281262507</v>
      </c>
      <c r="H3139" s="5">
        <v>2694.1765326580144</v>
      </c>
      <c r="I3139" s="5">
        <v>194.65729696761775</v>
      </c>
    </row>
    <row r="3140" spans="1:9" x14ac:dyDescent="0.2">
      <c r="A3140" s="5" t="s">
        <v>106</v>
      </c>
      <c r="B3140" s="5" t="s">
        <v>65</v>
      </c>
      <c r="C3140" s="5" t="s">
        <v>51</v>
      </c>
      <c r="D3140" s="5">
        <v>264133</v>
      </c>
      <c r="E3140" s="5">
        <v>18858</v>
      </c>
      <c r="F3140" s="5">
        <v>49989870</v>
      </c>
      <c r="G3140" s="5">
        <v>7.1395849818084072</v>
      </c>
      <c r="H3140" s="5">
        <v>2650.8574610244987</v>
      </c>
      <c r="I3140" s="5">
        <v>189.26022117645277</v>
      </c>
    </row>
    <row r="3141" spans="1:9" x14ac:dyDescent="0.2">
      <c r="A3141" s="5" t="s">
        <v>106</v>
      </c>
      <c r="B3141" s="5" t="s">
        <v>65</v>
      </c>
      <c r="C3141" s="5" t="s">
        <v>52</v>
      </c>
      <c r="D3141" s="5">
        <v>266183</v>
      </c>
      <c r="E3141" s="5">
        <v>18681</v>
      </c>
      <c r="F3141" s="5">
        <v>50047890</v>
      </c>
      <c r="G3141" s="5">
        <v>7.0181040862865025</v>
      </c>
      <c r="H3141" s="5">
        <v>2679.0798137144693</v>
      </c>
      <c r="I3141" s="5">
        <v>188.02060988117196</v>
      </c>
    </row>
    <row r="3142" spans="1:9" x14ac:dyDescent="0.2">
      <c r="A3142" s="5" t="s">
        <v>106</v>
      </c>
      <c r="B3142" s="5" t="s">
        <v>65</v>
      </c>
      <c r="C3142" s="5" t="s">
        <v>53</v>
      </c>
      <c r="D3142" s="5">
        <v>268334</v>
      </c>
      <c r="E3142" s="5">
        <v>18737</v>
      </c>
      <c r="F3142" s="5">
        <v>50422461</v>
      </c>
      <c r="G3142" s="5">
        <v>6.9827155708929913</v>
      </c>
      <c r="H3142" s="5">
        <v>2691.0637241820996</v>
      </c>
      <c r="I3142" s="5">
        <v>187.90932569111629</v>
      </c>
    </row>
    <row r="3143" spans="1:9" x14ac:dyDescent="0.2">
      <c r="A3143" s="5" t="s">
        <v>106</v>
      </c>
      <c r="B3143" s="5" t="s">
        <v>65</v>
      </c>
      <c r="C3143" s="5" t="s">
        <v>54</v>
      </c>
      <c r="D3143" s="5">
        <v>270539</v>
      </c>
      <c r="E3143" s="5">
        <v>18574</v>
      </c>
      <c r="F3143" s="5">
        <v>51303531</v>
      </c>
      <c r="G3143" s="5">
        <v>6.8655535800753311</v>
      </c>
      <c r="H3143" s="5">
        <v>2762.1153763325078</v>
      </c>
      <c r="I3143" s="5">
        <v>189.63451110560769</v>
      </c>
    </row>
    <row r="3144" spans="1:9" x14ac:dyDescent="0.2">
      <c r="A3144" s="5" t="s">
        <v>106</v>
      </c>
      <c r="B3144" s="5" t="s">
        <v>65</v>
      </c>
      <c r="C3144" s="5" t="s">
        <v>55</v>
      </c>
      <c r="D3144" s="5">
        <v>272619</v>
      </c>
      <c r="E3144" s="5">
        <v>18489</v>
      </c>
      <c r="F3144" s="5">
        <v>51608543</v>
      </c>
      <c r="G3144" s="5">
        <v>6.781992451003048</v>
      </c>
      <c r="H3144" s="5">
        <v>2791.3106712099084</v>
      </c>
      <c r="I3144" s="5">
        <v>189.30647900549852</v>
      </c>
    </row>
    <row r="3145" spans="1:9" x14ac:dyDescent="0.2">
      <c r="A3145" s="5" t="s">
        <v>106</v>
      </c>
      <c r="B3145" s="5" t="s">
        <v>65</v>
      </c>
      <c r="C3145" s="5" t="s">
        <v>56</v>
      </c>
      <c r="D3145" s="5">
        <v>274504</v>
      </c>
      <c r="E3145" s="5">
        <v>18437</v>
      </c>
      <c r="F3145" s="5">
        <v>51286319</v>
      </c>
      <c r="G3145" s="5">
        <v>6.7164777198146473</v>
      </c>
      <c r="H3145" s="5">
        <v>2781.7062971199221</v>
      </c>
      <c r="I3145" s="5">
        <v>186.8326836767406</v>
      </c>
    </row>
    <row r="3146" spans="1:9" x14ac:dyDescent="0.2">
      <c r="A3146" s="5" t="s">
        <v>106</v>
      </c>
      <c r="B3146" s="5" t="s">
        <v>65</v>
      </c>
      <c r="C3146" s="5" t="s">
        <v>57</v>
      </c>
      <c r="D3146" s="5">
        <v>275855</v>
      </c>
      <c r="E3146" s="5">
        <v>18275</v>
      </c>
      <c r="F3146" s="5">
        <v>51889257</v>
      </c>
      <c r="G3146" s="5">
        <v>6.624857261967338</v>
      </c>
      <c r="H3146" s="5">
        <v>2839.3574281805745</v>
      </c>
      <c r="I3146" s="5">
        <v>188.10337677402984</v>
      </c>
    </row>
    <row r="3147" spans="1:9" x14ac:dyDescent="0.2">
      <c r="A3147" s="5" t="s">
        <v>106</v>
      </c>
      <c r="B3147" s="5" t="s">
        <v>65</v>
      </c>
      <c r="C3147" s="5" t="s">
        <v>58</v>
      </c>
      <c r="D3147" s="5">
        <v>276609</v>
      </c>
      <c r="E3147" s="5">
        <v>18378</v>
      </c>
      <c r="F3147" s="5">
        <v>51955130</v>
      </c>
      <c r="G3147" s="5">
        <v>6.6440354435322062</v>
      </c>
      <c r="H3147" s="5">
        <v>2827.0285123517251</v>
      </c>
      <c r="I3147" s="5">
        <v>187.82877635940986</v>
      </c>
    </row>
    <row r="3148" spans="1:9" x14ac:dyDescent="0.2">
      <c r="A3148" s="5" t="s">
        <v>106</v>
      </c>
      <c r="B3148" s="5" t="s">
        <v>65</v>
      </c>
      <c r="C3148" s="5" t="s">
        <v>59</v>
      </c>
      <c r="D3148" s="5">
        <v>276881</v>
      </c>
      <c r="E3148" s="5">
        <v>18425</v>
      </c>
      <c r="F3148" s="5">
        <v>52012241</v>
      </c>
      <c r="G3148" s="5">
        <v>6.6544833339954712</v>
      </c>
      <c r="H3148" s="5">
        <v>2822.9167435549525</v>
      </c>
      <c r="I3148" s="5">
        <v>187.85052423243198</v>
      </c>
    </row>
    <row r="3149" spans="1:9" x14ac:dyDescent="0.2">
      <c r="A3149" s="5" t="s">
        <v>106</v>
      </c>
      <c r="B3149" s="5" t="s">
        <v>65</v>
      </c>
      <c r="C3149" s="5" t="s">
        <v>60</v>
      </c>
      <c r="D3149" s="5">
        <v>276817</v>
      </c>
      <c r="E3149" s="5">
        <v>18346</v>
      </c>
      <c r="F3149" s="5">
        <v>51717991</v>
      </c>
      <c r="G3149" s="5">
        <v>6.6274831386800663</v>
      </c>
      <c r="H3149" s="5">
        <v>2819.0336313092771</v>
      </c>
      <c r="I3149" s="5">
        <v>186.83097858874274</v>
      </c>
    </row>
    <row r="3150" spans="1:9" x14ac:dyDescent="0.2">
      <c r="A3150" s="5" t="s">
        <v>106</v>
      </c>
      <c r="B3150" s="5" t="s">
        <v>65</v>
      </c>
      <c r="C3150" s="5" t="s">
        <v>61</v>
      </c>
      <c r="D3150" s="5">
        <v>276542</v>
      </c>
      <c r="E3150" s="5">
        <v>18008</v>
      </c>
      <c r="F3150" s="5">
        <v>51200181</v>
      </c>
      <c r="G3150" s="5">
        <v>6.5118499179148195</v>
      </c>
      <c r="H3150" s="5">
        <v>2843.1908596179474</v>
      </c>
      <c r="I3150" s="5">
        <v>185.14432165819298</v>
      </c>
    </row>
    <row r="3151" spans="1:9" x14ac:dyDescent="0.2">
      <c r="A3151" s="5" t="s">
        <v>106</v>
      </c>
      <c r="B3151" s="5" t="s">
        <v>65</v>
      </c>
      <c r="C3151" s="5" t="s">
        <v>62</v>
      </c>
      <c r="D3151" s="5">
        <v>276487</v>
      </c>
      <c r="E3151" s="5">
        <v>17505</v>
      </c>
      <c r="F3151" s="5">
        <v>50050710</v>
      </c>
      <c r="G3151" s="5">
        <v>6.3312199126902895</v>
      </c>
      <c r="H3151" s="5">
        <v>2859.2236503856043</v>
      </c>
      <c r="I3151" s="5">
        <v>181.02373710156354</v>
      </c>
    </row>
    <row r="3152" spans="1:9" x14ac:dyDescent="0.2">
      <c r="A3152" s="5" t="s">
        <v>107</v>
      </c>
      <c r="B3152" s="5" t="s">
        <v>44</v>
      </c>
      <c r="C3152" s="5" t="s">
        <v>45</v>
      </c>
      <c r="D3152" s="5">
        <v>2178460</v>
      </c>
      <c r="E3152" s="5">
        <v>32428</v>
      </c>
      <c r="F3152" s="5">
        <v>234954847</v>
      </c>
      <c r="G3152" s="5">
        <v>1.4885744975808599</v>
      </c>
      <c r="H3152" s="5">
        <v>7245.4313247810533</v>
      </c>
      <c r="I3152" s="5">
        <v>107.8536429404258</v>
      </c>
    </row>
    <row r="3153" spans="1:9" x14ac:dyDescent="0.2">
      <c r="A3153" s="5" t="s">
        <v>107</v>
      </c>
      <c r="B3153" s="5" t="s">
        <v>44</v>
      </c>
      <c r="C3153" s="5" t="s">
        <v>46</v>
      </c>
      <c r="D3153" s="5">
        <v>2180835</v>
      </c>
      <c r="E3153" s="5">
        <v>31597</v>
      </c>
      <c r="F3153" s="5">
        <v>229010715</v>
      </c>
      <c r="G3153" s="5">
        <v>1.4488487207881384</v>
      </c>
      <c r="H3153" s="5">
        <v>7247.8626135392597</v>
      </c>
      <c r="I3153" s="5">
        <v>105.01056476074531</v>
      </c>
    </row>
    <row r="3154" spans="1:9" x14ac:dyDescent="0.2">
      <c r="A3154" s="5" t="s">
        <v>107</v>
      </c>
      <c r="B3154" s="5" t="s">
        <v>44</v>
      </c>
      <c r="C3154" s="5" t="s">
        <v>47</v>
      </c>
      <c r="D3154" s="5">
        <v>2186674</v>
      </c>
      <c r="E3154" s="5">
        <v>31221</v>
      </c>
      <c r="F3154" s="5">
        <v>237671025</v>
      </c>
      <c r="G3154" s="5">
        <v>1.4277848458435047</v>
      </c>
      <c r="H3154" s="5">
        <v>7612.5372345536662</v>
      </c>
      <c r="I3154" s="5">
        <v>108.69065301915145</v>
      </c>
    </row>
    <row r="3155" spans="1:9" x14ac:dyDescent="0.2">
      <c r="A3155" s="5" t="s">
        <v>107</v>
      </c>
      <c r="B3155" s="5" t="s">
        <v>44</v>
      </c>
      <c r="C3155" s="5" t="s">
        <v>48</v>
      </c>
      <c r="D3155" s="5">
        <v>2195403</v>
      </c>
      <c r="E3155" s="5">
        <v>32316</v>
      </c>
      <c r="F3155" s="5">
        <v>247068896</v>
      </c>
      <c r="G3155" s="5">
        <v>1.471984870203785</v>
      </c>
      <c r="H3155" s="5">
        <v>7645.4046292858029</v>
      </c>
      <c r="I3155" s="5">
        <v>112.53919940894679</v>
      </c>
    </row>
    <row r="3156" spans="1:9" x14ac:dyDescent="0.2">
      <c r="A3156" s="5" t="s">
        <v>107</v>
      </c>
      <c r="B3156" s="5" t="s">
        <v>44</v>
      </c>
      <c r="C3156" s="5" t="s">
        <v>49</v>
      </c>
      <c r="D3156" s="5">
        <v>2198593</v>
      </c>
      <c r="E3156" s="5">
        <v>31603</v>
      </c>
      <c r="F3156" s="5">
        <v>244951934</v>
      </c>
      <c r="G3156" s="5">
        <v>1.437419294976378</v>
      </c>
      <c r="H3156" s="5">
        <v>7750.9076353510745</v>
      </c>
      <c r="I3156" s="5">
        <v>111.41304188633367</v>
      </c>
    </row>
    <row r="3157" spans="1:9" x14ac:dyDescent="0.2">
      <c r="A3157" s="5" t="s">
        <v>107</v>
      </c>
      <c r="B3157" s="5" t="s">
        <v>44</v>
      </c>
      <c r="C3157" s="5" t="s">
        <v>50</v>
      </c>
      <c r="D3157" s="5">
        <v>2207730</v>
      </c>
      <c r="E3157" s="5">
        <v>31611</v>
      </c>
      <c r="F3157" s="5">
        <v>252073994</v>
      </c>
      <c r="G3157" s="5">
        <v>1.4318326969330488</v>
      </c>
      <c r="H3157" s="5">
        <v>7974.2492803138148</v>
      </c>
      <c r="I3157" s="5">
        <v>114.17790853048153</v>
      </c>
    </row>
    <row r="3158" spans="1:9" x14ac:dyDescent="0.2">
      <c r="A3158" s="5" t="s">
        <v>107</v>
      </c>
      <c r="B3158" s="5" t="s">
        <v>44</v>
      </c>
      <c r="C3158" s="5" t="s">
        <v>51</v>
      </c>
      <c r="D3158" s="5">
        <v>2211015</v>
      </c>
      <c r="E3158" s="5">
        <v>31314</v>
      </c>
      <c r="F3158" s="5">
        <v>243950685</v>
      </c>
      <c r="G3158" s="5">
        <v>1.416272616875055</v>
      </c>
      <c r="H3158" s="5">
        <v>7790.4670434949221</v>
      </c>
      <c r="I3158" s="5">
        <v>110.33425146369427</v>
      </c>
    </row>
    <row r="3159" spans="1:9" x14ac:dyDescent="0.2">
      <c r="A3159" s="5" t="s">
        <v>107</v>
      </c>
      <c r="B3159" s="5" t="s">
        <v>44</v>
      </c>
      <c r="C3159" s="5" t="s">
        <v>52</v>
      </c>
      <c r="D3159" s="5">
        <v>2211429</v>
      </c>
      <c r="E3159" s="5">
        <v>30885</v>
      </c>
      <c r="F3159" s="5">
        <v>243590714</v>
      </c>
      <c r="G3159" s="5">
        <v>1.3966082564712681</v>
      </c>
      <c r="H3159" s="5">
        <v>7887.023279909341</v>
      </c>
      <c r="I3159" s="5">
        <v>110.15081831702487</v>
      </c>
    </row>
    <row r="3160" spans="1:9" x14ac:dyDescent="0.2">
      <c r="A3160" s="5" t="s">
        <v>107</v>
      </c>
      <c r="B3160" s="5" t="s">
        <v>44</v>
      </c>
      <c r="C3160" s="5" t="s">
        <v>53</v>
      </c>
      <c r="D3160" s="5">
        <v>2215143</v>
      </c>
      <c r="E3160" s="5">
        <v>30884</v>
      </c>
      <c r="F3160" s="5">
        <v>242215899</v>
      </c>
      <c r="G3160" s="5">
        <v>1.3942215017269766</v>
      </c>
      <c r="H3160" s="5">
        <v>7842.7632107239997</v>
      </c>
      <c r="I3160" s="5">
        <v>109.34549101344699</v>
      </c>
    </row>
    <row r="3161" spans="1:9" x14ac:dyDescent="0.2">
      <c r="A3161" s="5" t="s">
        <v>107</v>
      </c>
      <c r="B3161" s="5" t="s">
        <v>44</v>
      </c>
      <c r="C3161" s="5" t="s">
        <v>54</v>
      </c>
      <c r="D3161" s="5">
        <v>2215025</v>
      </c>
      <c r="E3161" s="5">
        <v>30371</v>
      </c>
      <c r="F3161" s="5">
        <v>240152710</v>
      </c>
      <c r="G3161" s="5">
        <v>1.3711357659620094</v>
      </c>
      <c r="H3161" s="5">
        <v>7907.3033485891146</v>
      </c>
      <c r="I3161" s="5">
        <v>108.41986433561698</v>
      </c>
    </row>
    <row r="3162" spans="1:9" x14ac:dyDescent="0.2">
      <c r="A3162" s="5" t="s">
        <v>107</v>
      </c>
      <c r="B3162" s="5" t="s">
        <v>44</v>
      </c>
      <c r="C3162" s="5" t="s">
        <v>55</v>
      </c>
      <c r="D3162" s="5">
        <v>2220557</v>
      </c>
      <c r="E3162" s="5">
        <v>30124</v>
      </c>
      <c r="F3162" s="5">
        <v>241792200</v>
      </c>
      <c r="G3162" s="5">
        <v>1.3565965656364596</v>
      </c>
      <c r="H3162" s="5">
        <v>8026.5635373788346</v>
      </c>
      <c r="I3162" s="5">
        <v>108.8880852867096</v>
      </c>
    </row>
    <row r="3163" spans="1:9" x14ac:dyDescent="0.2">
      <c r="A3163" s="5" t="s">
        <v>107</v>
      </c>
      <c r="B3163" s="5" t="s">
        <v>44</v>
      </c>
      <c r="C3163" s="5" t="s">
        <v>56</v>
      </c>
      <c r="D3163" s="5">
        <v>2229639</v>
      </c>
      <c r="E3163" s="5">
        <v>29569</v>
      </c>
      <c r="F3163" s="5">
        <v>240073231</v>
      </c>
      <c r="G3163" s="5">
        <v>1.326178811906322</v>
      </c>
      <c r="H3163" s="5">
        <v>8119.0852243904092</v>
      </c>
      <c r="I3163" s="5">
        <v>107.67358796648247</v>
      </c>
    </row>
    <row r="3164" spans="1:9" x14ac:dyDescent="0.2">
      <c r="A3164" s="5" t="s">
        <v>107</v>
      </c>
      <c r="B3164" s="5" t="s">
        <v>44</v>
      </c>
      <c r="C3164" s="5" t="s">
        <v>57</v>
      </c>
      <c r="D3164" s="5">
        <v>2241621</v>
      </c>
      <c r="E3164" s="5">
        <v>29070</v>
      </c>
      <c r="F3164" s="5">
        <v>242874665</v>
      </c>
      <c r="G3164" s="5">
        <v>1.2968293926582593</v>
      </c>
      <c r="H3164" s="5">
        <v>8354.8216374269014</v>
      </c>
      <c r="I3164" s="5">
        <v>108.34778269832411</v>
      </c>
    </row>
    <row r="3165" spans="1:9" x14ac:dyDescent="0.2">
      <c r="A3165" s="5" t="s">
        <v>107</v>
      </c>
      <c r="B3165" s="5" t="s">
        <v>44</v>
      </c>
      <c r="C3165" s="5" t="s">
        <v>58</v>
      </c>
      <c r="D3165" s="5">
        <v>2257706</v>
      </c>
      <c r="E3165" s="5">
        <v>29135</v>
      </c>
      <c r="F3165" s="5">
        <v>244489660</v>
      </c>
      <c r="G3165" s="5">
        <v>1.2904691753487831</v>
      </c>
      <c r="H3165" s="5">
        <v>8391.6135232538181</v>
      </c>
      <c r="I3165" s="5">
        <v>108.29118583199052</v>
      </c>
    </row>
    <row r="3166" spans="1:9" x14ac:dyDescent="0.2">
      <c r="A3166" s="5" t="s">
        <v>107</v>
      </c>
      <c r="B3166" s="5" t="s">
        <v>44</v>
      </c>
      <c r="C3166" s="5" t="s">
        <v>59</v>
      </c>
      <c r="D3166" s="5">
        <v>2275136</v>
      </c>
      <c r="E3166" s="5">
        <v>29082</v>
      </c>
      <c r="F3166" s="5">
        <v>246541841</v>
      </c>
      <c r="G3166" s="5">
        <v>1.2782532560690878</v>
      </c>
      <c r="H3166" s="5">
        <v>8477.4720101781168</v>
      </c>
      <c r="I3166" s="5">
        <v>108.36356200244732</v>
      </c>
    </row>
    <row r="3167" spans="1:9" x14ac:dyDescent="0.2">
      <c r="A3167" s="5" t="s">
        <v>107</v>
      </c>
      <c r="B3167" s="5" t="s">
        <v>44</v>
      </c>
      <c r="C3167" s="5" t="s">
        <v>60</v>
      </c>
      <c r="D3167" s="5">
        <v>2292799</v>
      </c>
      <c r="E3167" s="5">
        <v>29024</v>
      </c>
      <c r="F3167" s="5">
        <v>247775404</v>
      </c>
      <c r="G3167" s="5">
        <v>1.265876337175653</v>
      </c>
      <c r="H3167" s="5">
        <v>8536.9144156560087</v>
      </c>
      <c r="I3167" s="5">
        <v>108.06677951272658</v>
      </c>
    </row>
    <row r="3168" spans="1:9" x14ac:dyDescent="0.2">
      <c r="A3168" s="5" t="s">
        <v>107</v>
      </c>
      <c r="B3168" s="5" t="s">
        <v>44</v>
      </c>
      <c r="C3168" s="5" t="s">
        <v>61</v>
      </c>
      <c r="D3168" s="5">
        <v>2313095</v>
      </c>
      <c r="E3168" s="5">
        <v>28986</v>
      </c>
      <c r="F3168" s="5">
        <v>247336580</v>
      </c>
      <c r="G3168" s="5">
        <v>1.2531262226583864</v>
      </c>
      <c r="H3168" s="5">
        <v>8532.9669495618582</v>
      </c>
      <c r="I3168" s="5">
        <v>106.92884641573303</v>
      </c>
    </row>
    <row r="3169" spans="1:9" x14ac:dyDescent="0.2">
      <c r="A3169" s="5" t="s">
        <v>107</v>
      </c>
      <c r="B3169" s="5" t="s">
        <v>44</v>
      </c>
      <c r="C3169" s="5" t="s">
        <v>62</v>
      </c>
      <c r="D3169" s="5">
        <v>2333414</v>
      </c>
      <c r="E3169" s="5">
        <v>28933</v>
      </c>
      <c r="F3169" s="5">
        <v>250014569</v>
      </c>
      <c r="G3169" s="5">
        <v>1.2399428476901226</v>
      </c>
      <c r="H3169" s="5">
        <v>8641.1560847475193</v>
      </c>
      <c r="I3169" s="5">
        <v>107.14539683056671</v>
      </c>
    </row>
    <row r="3170" spans="1:9" x14ac:dyDescent="0.2">
      <c r="A3170" s="5" t="s">
        <v>107</v>
      </c>
      <c r="B3170" s="5" t="s">
        <v>63</v>
      </c>
      <c r="C3170" s="5" t="s">
        <v>45</v>
      </c>
      <c r="D3170" s="5">
        <v>2178460</v>
      </c>
      <c r="E3170" s="5">
        <v>81796</v>
      </c>
      <c r="F3170" s="5">
        <v>192943808</v>
      </c>
      <c r="G3170" s="5">
        <v>3.7547625386741093</v>
      </c>
      <c r="H3170" s="5">
        <v>2358.8416059465012</v>
      </c>
      <c r="I3170" s="5">
        <v>88.568900966737971</v>
      </c>
    </row>
    <row r="3171" spans="1:9" x14ac:dyDescent="0.2">
      <c r="A3171" s="5" t="s">
        <v>107</v>
      </c>
      <c r="B3171" s="5" t="s">
        <v>63</v>
      </c>
      <c r="C3171" s="5" t="s">
        <v>46</v>
      </c>
      <c r="D3171" s="5">
        <v>2180835</v>
      </c>
      <c r="E3171" s="5">
        <v>80976</v>
      </c>
      <c r="F3171" s="5">
        <v>191958470</v>
      </c>
      <c r="G3171" s="5">
        <v>3.7130732036123777</v>
      </c>
      <c r="H3171" s="5">
        <v>2370.560042481723</v>
      </c>
      <c r="I3171" s="5">
        <v>88.020629712931054</v>
      </c>
    </row>
    <row r="3172" spans="1:9" x14ac:dyDescent="0.2">
      <c r="A3172" s="5" t="s">
        <v>107</v>
      </c>
      <c r="B3172" s="5" t="s">
        <v>63</v>
      </c>
      <c r="C3172" s="5" t="s">
        <v>47</v>
      </c>
      <c r="D3172" s="5">
        <v>2186674</v>
      </c>
      <c r="E3172" s="5">
        <v>81451</v>
      </c>
      <c r="F3172" s="5">
        <v>195315169</v>
      </c>
      <c r="G3172" s="5">
        <v>3.7248808007046317</v>
      </c>
      <c r="H3172" s="5">
        <v>2397.9468514812588</v>
      </c>
      <c r="I3172" s="5">
        <v>89.320661881926611</v>
      </c>
    </row>
    <row r="3173" spans="1:9" x14ac:dyDescent="0.2">
      <c r="A3173" s="5" t="s">
        <v>107</v>
      </c>
      <c r="B3173" s="5" t="s">
        <v>63</v>
      </c>
      <c r="C3173" s="5" t="s">
        <v>48</v>
      </c>
      <c r="D3173" s="5">
        <v>2195403</v>
      </c>
      <c r="E3173" s="5">
        <v>83777</v>
      </c>
      <c r="F3173" s="5">
        <v>201112495</v>
      </c>
      <c r="G3173" s="5">
        <v>3.8160192001195226</v>
      </c>
      <c r="H3173" s="5">
        <v>2400.5693089988899</v>
      </c>
      <c r="I3173" s="5">
        <v>91.606185743574187</v>
      </c>
    </row>
    <row r="3174" spans="1:9" x14ac:dyDescent="0.2">
      <c r="A3174" s="5" t="s">
        <v>107</v>
      </c>
      <c r="B3174" s="5" t="s">
        <v>63</v>
      </c>
      <c r="C3174" s="5" t="s">
        <v>49</v>
      </c>
      <c r="D3174" s="5">
        <v>2198593</v>
      </c>
      <c r="E3174" s="5">
        <v>83336</v>
      </c>
      <c r="F3174" s="5">
        <v>201417983</v>
      </c>
      <c r="G3174" s="5">
        <v>3.7904241485349948</v>
      </c>
      <c r="H3174" s="5">
        <v>2416.9384539694729</v>
      </c>
      <c r="I3174" s="5">
        <v>91.612218814487264</v>
      </c>
    </row>
    <row r="3175" spans="1:9" x14ac:dyDescent="0.2">
      <c r="A3175" s="5" t="s">
        <v>107</v>
      </c>
      <c r="B3175" s="5" t="s">
        <v>63</v>
      </c>
      <c r="C3175" s="5" t="s">
        <v>50</v>
      </c>
      <c r="D3175" s="5">
        <v>2207730</v>
      </c>
      <c r="E3175" s="5">
        <v>82952</v>
      </c>
      <c r="F3175" s="5">
        <v>201887770</v>
      </c>
      <c r="G3175" s="5">
        <v>3.7573435157378845</v>
      </c>
      <c r="H3175" s="5">
        <v>2433.7902642492045</v>
      </c>
      <c r="I3175" s="5">
        <v>91.445860680427401</v>
      </c>
    </row>
    <row r="3176" spans="1:9" x14ac:dyDescent="0.2">
      <c r="A3176" s="5" t="s">
        <v>107</v>
      </c>
      <c r="B3176" s="5" t="s">
        <v>63</v>
      </c>
      <c r="C3176" s="5" t="s">
        <v>51</v>
      </c>
      <c r="D3176" s="5">
        <v>2211015</v>
      </c>
      <c r="E3176" s="5">
        <v>82636</v>
      </c>
      <c r="F3176" s="5">
        <v>201646265</v>
      </c>
      <c r="G3176" s="5">
        <v>3.7374689904862697</v>
      </c>
      <c r="H3176" s="5">
        <v>2440.1745607241396</v>
      </c>
      <c r="I3176" s="5">
        <v>91.200767520799275</v>
      </c>
    </row>
    <row r="3177" spans="1:9" x14ac:dyDescent="0.2">
      <c r="A3177" s="5" t="s">
        <v>107</v>
      </c>
      <c r="B3177" s="5" t="s">
        <v>63</v>
      </c>
      <c r="C3177" s="5" t="s">
        <v>52</v>
      </c>
      <c r="D3177" s="5">
        <v>2211429</v>
      </c>
      <c r="E3177" s="5">
        <v>82258</v>
      </c>
      <c r="F3177" s="5">
        <v>203907954</v>
      </c>
      <c r="G3177" s="5">
        <v>3.7196762817164828</v>
      </c>
      <c r="H3177" s="5">
        <v>2478.8829536336893</v>
      </c>
      <c r="I3177" s="5">
        <v>92.206421277825328</v>
      </c>
    </row>
    <row r="3178" spans="1:9" x14ac:dyDescent="0.2">
      <c r="A3178" s="5" t="s">
        <v>107</v>
      </c>
      <c r="B3178" s="5" t="s">
        <v>63</v>
      </c>
      <c r="C3178" s="5" t="s">
        <v>53</v>
      </c>
      <c r="D3178" s="5">
        <v>2215143</v>
      </c>
      <c r="E3178" s="5">
        <v>81708</v>
      </c>
      <c r="F3178" s="5">
        <v>203507422</v>
      </c>
      <c r="G3178" s="5">
        <v>3.688610622429342</v>
      </c>
      <c r="H3178" s="5">
        <v>2490.6670338277768</v>
      </c>
      <c r="I3178" s="5">
        <v>91.87100877911719</v>
      </c>
    </row>
    <row r="3179" spans="1:9" x14ac:dyDescent="0.2">
      <c r="A3179" s="5" t="s">
        <v>107</v>
      </c>
      <c r="B3179" s="5" t="s">
        <v>63</v>
      </c>
      <c r="C3179" s="5" t="s">
        <v>54</v>
      </c>
      <c r="D3179" s="5">
        <v>2215025</v>
      </c>
      <c r="E3179" s="5">
        <v>81834</v>
      </c>
      <c r="F3179" s="5">
        <v>203673029</v>
      </c>
      <c r="G3179" s="5">
        <v>3.6944955474543177</v>
      </c>
      <c r="H3179" s="5">
        <v>2488.8558423149302</v>
      </c>
      <c r="I3179" s="5">
        <v>91.950668276881757</v>
      </c>
    </row>
    <row r="3180" spans="1:9" x14ac:dyDescent="0.2">
      <c r="A3180" s="5" t="s">
        <v>107</v>
      </c>
      <c r="B3180" s="5" t="s">
        <v>63</v>
      </c>
      <c r="C3180" s="5" t="s">
        <v>55</v>
      </c>
      <c r="D3180" s="5">
        <v>2220557</v>
      </c>
      <c r="E3180" s="5">
        <v>81718</v>
      </c>
      <c r="F3180" s="5">
        <v>202174194</v>
      </c>
      <c r="G3180" s="5">
        <v>3.6800676587000467</v>
      </c>
      <c r="H3180" s="5">
        <v>2474.0472600895764</v>
      </c>
      <c r="I3180" s="5">
        <v>91.046613079511133</v>
      </c>
    </row>
    <row r="3181" spans="1:9" x14ac:dyDescent="0.2">
      <c r="A3181" s="5" t="s">
        <v>107</v>
      </c>
      <c r="B3181" s="5" t="s">
        <v>63</v>
      </c>
      <c r="C3181" s="5" t="s">
        <v>56</v>
      </c>
      <c r="D3181" s="5">
        <v>2229639</v>
      </c>
      <c r="E3181" s="5">
        <v>81522</v>
      </c>
      <c r="F3181" s="5">
        <v>199823504</v>
      </c>
      <c r="G3181" s="5">
        <v>3.6562869594584595</v>
      </c>
      <c r="H3181" s="5">
        <v>2451.1604720198229</v>
      </c>
      <c r="I3181" s="5">
        <v>89.621460693861209</v>
      </c>
    </row>
    <row r="3182" spans="1:9" x14ac:dyDescent="0.2">
      <c r="A3182" s="5" t="s">
        <v>107</v>
      </c>
      <c r="B3182" s="5" t="s">
        <v>63</v>
      </c>
      <c r="C3182" s="5" t="s">
        <v>57</v>
      </c>
      <c r="D3182" s="5">
        <v>2241621</v>
      </c>
      <c r="E3182" s="5">
        <v>81651</v>
      </c>
      <c r="F3182" s="5">
        <v>199176064</v>
      </c>
      <c r="G3182" s="5">
        <v>3.6424979958699528</v>
      </c>
      <c r="H3182" s="5">
        <v>2439.3585381685466</v>
      </c>
      <c r="I3182" s="5">
        <v>88.853585864871889</v>
      </c>
    </row>
    <row r="3183" spans="1:9" x14ac:dyDescent="0.2">
      <c r="A3183" s="5" t="s">
        <v>107</v>
      </c>
      <c r="B3183" s="5" t="s">
        <v>63</v>
      </c>
      <c r="C3183" s="5" t="s">
        <v>58</v>
      </c>
      <c r="D3183" s="5">
        <v>2257706</v>
      </c>
      <c r="E3183" s="5">
        <v>82189</v>
      </c>
      <c r="F3183" s="5">
        <v>201552318</v>
      </c>
      <c r="G3183" s="5">
        <v>3.640376559215416</v>
      </c>
      <c r="H3183" s="5">
        <v>2452.3028385793718</v>
      </c>
      <c r="I3183" s="5">
        <v>89.273057696617713</v>
      </c>
    </row>
    <row r="3184" spans="1:9" x14ac:dyDescent="0.2">
      <c r="A3184" s="5" t="s">
        <v>107</v>
      </c>
      <c r="B3184" s="5" t="s">
        <v>63</v>
      </c>
      <c r="C3184" s="5" t="s">
        <v>59</v>
      </c>
      <c r="D3184" s="5">
        <v>2275136</v>
      </c>
      <c r="E3184" s="5">
        <v>82610</v>
      </c>
      <c r="F3184" s="5">
        <v>205295991</v>
      </c>
      <c r="G3184" s="5">
        <v>3.6309917297251681</v>
      </c>
      <c r="H3184" s="5">
        <v>2485.1227575354073</v>
      </c>
      <c r="I3184" s="5">
        <v>90.234601799628678</v>
      </c>
    </row>
    <row r="3185" spans="1:9" x14ac:dyDescent="0.2">
      <c r="A3185" s="5" t="s">
        <v>107</v>
      </c>
      <c r="B3185" s="5" t="s">
        <v>63</v>
      </c>
      <c r="C3185" s="5" t="s">
        <v>60</v>
      </c>
      <c r="D3185" s="5">
        <v>2292799</v>
      </c>
      <c r="E3185" s="5">
        <v>82858</v>
      </c>
      <c r="F3185" s="5">
        <v>207774303</v>
      </c>
      <c r="G3185" s="5">
        <v>3.6138361888678423</v>
      </c>
      <c r="H3185" s="5">
        <v>2507.5949576383691</v>
      </c>
      <c r="I3185" s="5">
        <v>90.620374049360635</v>
      </c>
    </row>
    <row r="3186" spans="1:9" x14ac:dyDescent="0.2">
      <c r="A3186" s="5" t="s">
        <v>107</v>
      </c>
      <c r="B3186" s="5" t="s">
        <v>63</v>
      </c>
      <c r="C3186" s="5" t="s">
        <v>61</v>
      </c>
      <c r="D3186" s="5">
        <v>2313095</v>
      </c>
      <c r="E3186" s="5">
        <v>82671</v>
      </c>
      <c r="F3186" s="5">
        <v>209623492</v>
      </c>
      <c r="G3186" s="5">
        <v>3.5740425706683037</v>
      </c>
      <c r="H3186" s="5">
        <v>2535.6351320293693</v>
      </c>
      <c r="I3186" s="5">
        <v>90.624679055551113</v>
      </c>
    </row>
    <row r="3187" spans="1:9" x14ac:dyDescent="0.2">
      <c r="A3187" s="5" t="s">
        <v>107</v>
      </c>
      <c r="B3187" s="5" t="s">
        <v>63</v>
      </c>
      <c r="C3187" s="5" t="s">
        <v>62</v>
      </c>
      <c r="D3187" s="5">
        <v>2333414</v>
      </c>
      <c r="E3187" s="5">
        <v>83062</v>
      </c>
      <c r="F3187" s="5">
        <v>212010276</v>
      </c>
      <c r="G3187" s="5">
        <v>3.5596769368830392</v>
      </c>
      <c r="H3187" s="5">
        <v>2552.4340372252054</v>
      </c>
      <c r="I3187" s="5">
        <v>90.858405752258278</v>
      </c>
    </row>
    <row r="3188" spans="1:9" x14ac:dyDescent="0.2">
      <c r="A3188" s="5" t="s">
        <v>107</v>
      </c>
      <c r="B3188" s="5" t="s">
        <v>64</v>
      </c>
      <c r="C3188" s="5" t="s">
        <v>45</v>
      </c>
      <c r="D3188" s="5">
        <v>1701367</v>
      </c>
      <c r="E3188" s="5">
        <v>172201</v>
      </c>
      <c r="F3188" s="5">
        <v>133158634</v>
      </c>
      <c r="G3188" s="5">
        <v>10.121331846685635</v>
      </c>
      <c r="H3188" s="5">
        <v>773.2744525293117</v>
      </c>
      <c r="I3188" s="5">
        <v>78.265673426133219</v>
      </c>
    </row>
    <row r="3189" spans="1:9" x14ac:dyDescent="0.2">
      <c r="A3189" s="5" t="s">
        <v>107</v>
      </c>
      <c r="B3189" s="5" t="s">
        <v>64</v>
      </c>
      <c r="C3189" s="5" t="s">
        <v>46</v>
      </c>
      <c r="D3189" s="5">
        <v>1705981</v>
      </c>
      <c r="E3189" s="5">
        <v>173704</v>
      </c>
      <c r="F3189" s="5">
        <v>131728136</v>
      </c>
      <c r="G3189" s="5">
        <v>10.182059471940192</v>
      </c>
      <c r="H3189" s="5">
        <v>758.34831667664537</v>
      </c>
      <c r="I3189" s="5">
        <v>77.215476608473367</v>
      </c>
    </row>
    <row r="3190" spans="1:9" x14ac:dyDescent="0.2">
      <c r="A3190" s="5" t="s">
        <v>107</v>
      </c>
      <c r="B3190" s="5" t="s">
        <v>64</v>
      </c>
      <c r="C3190" s="5" t="s">
        <v>47</v>
      </c>
      <c r="D3190" s="5">
        <v>1712399</v>
      </c>
      <c r="E3190" s="5">
        <v>176601</v>
      </c>
      <c r="F3190" s="5">
        <v>139788157</v>
      </c>
      <c r="G3190" s="5">
        <v>10.313075398899439</v>
      </c>
      <c r="H3190" s="5">
        <v>791.54793574215319</v>
      </c>
      <c r="I3190" s="5">
        <v>81.632935431520337</v>
      </c>
    </row>
    <row r="3191" spans="1:9" x14ac:dyDescent="0.2">
      <c r="A3191" s="5" t="s">
        <v>107</v>
      </c>
      <c r="B3191" s="5" t="s">
        <v>64</v>
      </c>
      <c r="C3191" s="5" t="s">
        <v>48</v>
      </c>
      <c r="D3191" s="5">
        <v>1720204</v>
      </c>
      <c r="E3191" s="5">
        <v>178466</v>
      </c>
      <c r="F3191" s="5">
        <v>140778295</v>
      </c>
      <c r="G3191" s="5">
        <v>10.374699744913976</v>
      </c>
      <c r="H3191" s="5">
        <v>788.82417379220692</v>
      </c>
      <c r="I3191" s="5">
        <v>81.838139546239859</v>
      </c>
    </row>
    <row r="3192" spans="1:9" x14ac:dyDescent="0.2">
      <c r="A3192" s="5" t="s">
        <v>107</v>
      </c>
      <c r="B3192" s="5" t="s">
        <v>64</v>
      </c>
      <c r="C3192" s="5" t="s">
        <v>49</v>
      </c>
      <c r="D3192" s="5">
        <v>1723641</v>
      </c>
      <c r="E3192" s="5">
        <v>176318</v>
      </c>
      <c r="F3192" s="5">
        <v>139502948</v>
      </c>
      <c r="G3192" s="5">
        <v>10.229392315453159</v>
      </c>
      <c r="H3192" s="5">
        <v>791.2008303179482</v>
      </c>
      <c r="I3192" s="5">
        <v>80.935036936345796</v>
      </c>
    </row>
    <row r="3193" spans="1:9" x14ac:dyDescent="0.2">
      <c r="A3193" s="5" t="s">
        <v>107</v>
      </c>
      <c r="B3193" s="5" t="s">
        <v>64</v>
      </c>
      <c r="C3193" s="5" t="s">
        <v>50</v>
      </c>
      <c r="D3193" s="5">
        <v>1730513</v>
      </c>
      <c r="E3193" s="5">
        <v>173915</v>
      </c>
      <c r="F3193" s="5">
        <v>139638356</v>
      </c>
      <c r="G3193" s="5">
        <v>10.049910055573116</v>
      </c>
      <c r="H3193" s="5">
        <v>802.91151424546479</v>
      </c>
      <c r="I3193" s="5">
        <v>80.691885007509327</v>
      </c>
    </row>
    <row r="3194" spans="1:9" x14ac:dyDescent="0.2">
      <c r="A3194" s="5" t="s">
        <v>107</v>
      </c>
      <c r="B3194" s="5" t="s">
        <v>64</v>
      </c>
      <c r="C3194" s="5" t="s">
        <v>51</v>
      </c>
      <c r="D3194" s="5">
        <v>1733585</v>
      </c>
      <c r="E3194" s="5">
        <v>170994</v>
      </c>
      <c r="F3194" s="5">
        <v>135519387</v>
      </c>
      <c r="G3194" s="5">
        <v>9.8636063417715309</v>
      </c>
      <c r="H3194" s="5">
        <v>792.53884346819189</v>
      </c>
      <c r="I3194" s="5">
        <v>78.172911625331324</v>
      </c>
    </row>
    <row r="3195" spans="1:9" x14ac:dyDescent="0.2">
      <c r="A3195" s="5" t="s">
        <v>107</v>
      </c>
      <c r="B3195" s="5" t="s">
        <v>64</v>
      </c>
      <c r="C3195" s="5" t="s">
        <v>52</v>
      </c>
      <c r="D3195" s="5">
        <v>1733713</v>
      </c>
      <c r="E3195" s="5">
        <v>171437</v>
      </c>
      <c r="F3195" s="5">
        <v>134388340</v>
      </c>
      <c r="G3195" s="5">
        <v>9.8884302073065147</v>
      </c>
      <c r="H3195" s="5">
        <v>783.89344190577299</v>
      </c>
      <c r="I3195" s="5">
        <v>77.5147559025052</v>
      </c>
    </row>
    <row r="3196" spans="1:9" x14ac:dyDescent="0.2">
      <c r="A3196" s="5" t="s">
        <v>107</v>
      </c>
      <c r="B3196" s="5" t="s">
        <v>64</v>
      </c>
      <c r="C3196" s="5" t="s">
        <v>53</v>
      </c>
      <c r="D3196" s="5">
        <v>1736389</v>
      </c>
      <c r="E3196" s="5">
        <v>169206</v>
      </c>
      <c r="F3196" s="5">
        <v>130527123</v>
      </c>
      <c r="G3196" s="5">
        <v>9.7447058234070827</v>
      </c>
      <c r="H3196" s="5">
        <v>771.40954221481513</v>
      </c>
      <c r="I3196" s="5">
        <v>75.171590582524999</v>
      </c>
    </row>
    <row r="3197" spans="1:9" x14ac:dyDescent="0.2">
      <c r="A3197" s="5" t="s">
        <v>107</v>
      </c>
      <c r="B3197" s="5" t="s">
        <v>64</v>
      </c>
      <c r="C3197" s="5" t="s">
        <v>54</v>
      </c>
      <c r="D3197" s="5">
        <v>1737110</v>
      </c>
      <c r="E3197" s="5">
        <v>172101</v>
      </c>
      <c r="F3197" s="5">
        <v>130262211</v>
      </c>
      <c r="G3197" s="5">
        <v>9.9073173259033691</v>
      </c>
      <c r="H3197" s="5">
        <v>756.89398086007634</v>
      </c>
      <c r="I3197" s="5">
        <v>74.987888504470064</v>
      </c>
    </row>
    <row r="3198" spans="1:9" x14ac:dyDescent="0.2">
      <c r="A3198" s="5" t="s">
        <v>107</v>
      </c>
      <c r="B3198" s="5" t="s">
        <v>64</v>
      </c>
      <c r="C3198" s="5" t="s">
        <v>55</v>
      </c>
      <c r="D3198" s="5">
        <v>1740624</v>
      </c>
      <c r="E3198" s="5">
        <v>168165</v>
      </c>
      <c r="F3198" s="5">
        <v>120964352</v>
      </c>
      <c r="G3198" s="5">
        <v>9.6611904696246871</v>
      </c>
      <c r="H3198" s="5">
        <v>719.31943032141055</v>
      </c>
      <c r="I3198" s="5">
        <v>69.494820248370701</v>
      </c>
    </row>
    <row r="3199" spans="1:9" x14ac:dyDescent="0.2">
      <c r="A3199" s="5" t="s">
        <v>107</v>
      </c>
      <c r="B3199" s="5" t="s">
        <v>64</v>
      </c>
      <c r="C3199" s="5" t="s">
        <v>56</v>
      </c>
      <c r="D3199" s="5">
        <v>1746987</v>
      </c>
      <c r="E3199" s="5">
        <v>166248</v>
      </c>
      <c r="F3199" s="5">
        <v>118775907</v>
      </c>
      <c r="G3199" s="5">
        <v>9.5162700123126278</v>
      </c>
      <c r="H3199" s="5">
        <v>714.45014075357301</v>
      </c>
      <c r="I3199" s="5">
        <v>67.989004497457628</v>
      </c>
    </row>
    <row r="3200" spans="1:9" x14ac:dyDescent="0.2">
      <c r="A3200" s="5" t="s">
        <v>107</v>
      </c>
      <c r="B3200" s="5" t="s">
        <v>64</v>
      </c>
      <c r="C3200" s="5" t="s">
        <v>57</v>
      </c>
      <c r="D3200" s="5">
        <v>1755300</v>
      </c>
      <c r="E3200" s="5">
        <v>166920</v>
      </c>
      <c r="F3200" s="5">
        <v>118813706</v>
      </c>
      <c r="G3200" s="5">
        <v>9.5094855580242701</v>
      </c>
      <c r="H3200" s="5">
        <v>711.80029954469205</v>
      </c>
      <c r="I3200" s="5">
        <v>67.688546687175986</v>
      </c>
    </row>
    <row r="3201" spans="1:9" x14ac:dyDescent="0.2">
      <c r="A3201" s="5" t="s">
        <v>107</v>
      </c>
      <c r="B3201" s="5" t="s">
        <v>64</v>
      </c>
      <c r="C3201" s="5" t="s">
        <v>58</v>
      </c>
      <c r="D3201" s="5">
        <v>1766612</v>
      </c>
      <c r="E3201" s="5">
        <v>161691</v>
      </c>
      <c r="F3201" s="5">
        <v>115434525</v>
      </c>
      <c r="G3201" s="5">
        <v>9.1526039673680462</v>
      </c>
      <c r="H3201" s="5">
        <v>713.92053361040507</v>
      </c>
      <c r="I3201" s="5">
        <v>65.342319083081065</v>
      </c>
    </row>
    <row r="3202" spans="1:9" x14ac:dyDescent="0.2">
      <c r="A3202" s="5" t="s">
        <v>107</v>
      </c>
      <c r="B3202" s="5" t="s">
        <v>64</v>
      </c>
      <c r="C3202" s="5" t="s">
        <v>59</v>
      </c>
      <c r="D3202" s="5">
        <v>1779356</v>
      </c>
      <c r="E3202" s="5">
        <v>161546</v>
      </c>
      <c r="F3202" s="5">
        <v>116905774</v>
      </c>
      <c r="G3202" s="5">
        <v>9.0789027041244132</v>
      </c>
      <c r="H3202" s="5">
        <v>723.66863927302438</v>
      </c>
      <c r="I3202" s="5">
        <v>65.701171659858957</v>
      </c>
    </row>
    <row r="3203" spans="1:9" x14ac:dyDescent="0.2">
      <c r="A3203" s="5" t="s">
        <v>107</v>
      </c>
      <c r="B3203" s="5" t="s">
        <v>64</v>
      </c>
      <c r="C3203" s="5" t="s">
        <v>60</v>
      </c>
      <c r="D3203" s="5">
        <v>1793683</v>
      </c>
      <c r="E3203" s="5">
        <v>161458</v>
      </c>
      <c r="F3203" s="5">
        <v>117662777</v>
      </c>
      <c r="G3203" s="5">
        <v>9.0014790796367024</v>
      </c>
      <c r="H3203" s="5">
        <v>728.7516072291246</v>
      </c>
      <c r="I3203" s="5">
        <v>65.59842346724588</v>
      </c>
    </row>
    <row r="3204" spans="1:9" x14ac:dyDescent="0.2">
      <c r="A3204" s="5" t="s">
        <v>107</v>
      </c>
      <c r="B3204" s="5" t="s">
        <v>64</v>
      </c>
      <c r="C3204" s="5" t="s">
        <v>61</v>
      </c>
      <c r="D3204" s="5">
        <v>1809479</v>
      </c>
      <c r="E3204" s="5">
        <v>161839</v>
      </c>
      <c r="F3204" s="5">
        <v>119197147</v>
      </c>
      <c r="G3204" s="5">
        <v>8.9439556911132989</v>
      </c>
      <c r="H3204" s="5">
        <v>736.51682845296864</v>
      </c>
      <c r="I3204" s="5">
        <v>65.873738794426458</v>
      </c>
    </row>
    <row r="3205" spans="1:9" x14ac:dyDescent="0.2">
      <c r="A3205" s="5" t="s">
        <v>107</v>
      </c>
      <c r="B3205" s="5" t="s">
        <v>64</v>
      </c>
      <c r="C3205" s="5" t="s">
        <v>62</v>
      </c>
      <c r="D3205" s="5">
        <v>1826390</v>
      </c>
      <c r="E3205" s="5">
        <v>164389</v>
      </c>
      <c r="F3205" s="5">
        <v>122534535</v>
      </c>
      <c r="G3205" s="5">
        <v>9.0007610641757783</v>
      </c>
      <c r="H3205" s="5">
        <v>745.3937611397356</v>
      </c>
      <c r="I3205" s="5">
        <v>67.091111427460731</v>
      </c>
    </row>
    <row r="3206" spans="1:9" x14ac:dyDescent="0.2">
      <c r="A3206" s="5" t="s">
        <v>107</v>
      </c>
      <c r="B3206" s="5" t="s">
        <v>65</v>
      </c>
      <c r="C3206" s="5" t="s">
        <v>45</v>
      </c>
      <c r="D3206" s="5">
        <v>1605418</v>
      </c>
      <c r="E3206" s="5">
        <v>91317</v>
      </c>
      <c r="F3206" s="5">
        <v>225608881</v>
      </c>
      <c r="G3206" s="5">
        <v>5.6880513361629186</v>
      </c>
      <c r="H3206" s="5">
        <v>2470.6120547105138</v>
      </c>
      <c r="I3206" s="5">
        <v>140.52968198936352</v>
      </c>
    </row>
    <row r="3207" spans="1:9" x14ac:dyDescent="0.2">
      <c r="A3207" s="5" t="s">
        <v>107</v>
      </c>
      <c r="B3207" s="5" t="s">
        <v>65</v>
      </c>
      <c r="C3207" s="5" t="s">
        <v>46</v>
      </c>
      <c r="D3207" s="5">
        <v>1610099</v>
      </c>
      <c r="E3207" s="5">
        <v>91637</v>
      </c>
      <c r="F3207" s="5">
        <v>231570176</v>
      </c>
      <c r="G3207" s="5">
        <v>5.6913891630266216</v>
      </c>
      <c r="H3207" s="5">
        <v>2527.0379431888864</v>
      </c>
      <c r="I3207" s="5">
        <v>143.82356364422313</v>
      </c>
    </row>
    <row r="3208" spans="1:9" x14ac:dyDescent="0.2">
      <c r="A3208" s="5" t="s">
        <v>107</v>
      </c>
      <c r="B3208" s="5" t="s">
        <v>65</v>
      </c>
      <c r="C3208" s="5" t="s">
        <v>47</v>
      </c>
      <c r="D3208" s="5">
        <v>1616240</v>
      </c>
      <c r="E3208" s="5">
        <v>91920</v>
      </c>
      <c r="F3208" s="5">
        <v>234748497</v>
      </c>
      <c r="G3208" s="5">
        <v>5.687274167202891</v>
      </c>
      <c r="H3208" s="5">
        <v>2553.8348237597911</v>
      </c>
      <c r="I3208" s="5">
        <v>145.24358820472207</v>
      </c>
    </row>
    <row r="3209" spans="1:9" x14ac:dyDescent="0.2">
      <c r="A3209" s="5" t="s">
        <v>107</v>
      </c>
      <c r="B3209" s="5" t="s">
        <v>65</v>
      </c>
      <c r="C3209" s="5" t="s">
        <v>48</v>
      </c>
      <c r="D3209" s="5">
        <v>1623971</v>
      </c>
      <c r="E3209" s="5">
        <v>93598</v>
      </c>
      <c r="F3209" s="5">
        <v>240365519</v>
      </c>
      <c r="G3209" s="5">
        <v>5.763526565437437</v>
      </c>
      <c r="H3209" s="5">
        <v>2568.0625547554437</v>
      </c>
      <c r="I3209" s="5">
        <v>148.01096756038132</v>
      </c>
    </row>
    <row r="3210" spans="1:9" x14ac:dyDescent="0.2">
      <c r="A3210" s="5" t="s">
        <v>107</v>
      </c>
      <c r="B3210" s="5" t="s">
        <v>65</v>
      </c>
      <c r="C3210" s="5" t="s">
        <v>49</v>
      </c>
      <c r="D3210" s="5">
        <v>1627482</v>
      </c>
      <c r="E3210" s="5">
        <v>92850</v>
      </c>
      <c r="F3210" s="5">
        <v>244353997</v>
      </c>
      <c r="G3210" s="5">
        <v>5.7051322226605272</v>
      </c>
      <c r="H3210" s="5">
        <v>2631.7070220786213</v>
      </c>
      <c r="I3210" s="5">
        <v>150.14236532262723</v>
      </c>
    </row>
    <row r="3211" spans="1:9" x14ac:dyDescent="0.2">
      <c r="A3211" s="5" t="s">
        <v>107</v>
      </c>
      <c r="B3211" s="5" t="s">
        <v>65</v>
      </c>
      <c r="C3211" s="5" t="s">
        <v>50</v>
      </c>
      <c r="D3211" s="5">
        <v>1634081</v>
      </c>
      <c r="E3211" s="5">
        <v>91264</v>
      </c>
      <c r="F3211" s="5">
        <v>242500930</v>
      </c>
      <c r="G3211" s="5">
        <v>5.5850352583501062</v>
      </c>
      <c r="H3211" s="5">
        <v>2657.1367680575036</v>
      </c>
      <c r="I3211" s="5">
        <v>148.40202535859606</v>
      </c>
    </row>
    <row r="3212" spans="1:9" x14ac:dyDescent="0.2">
      <c r="A3212" s="5" t="s">
        <v>107</v>
      </c>
      <c r="B3212" s="5" t="s">
        <v>65</v>
      </c>
      <c r="C3212" s="5" t="s">
        <v>51</v>
      </c>
      <c r="D3212" s="5">
        <v>1636762</v>
      </c>
      <c r="E3212" s="5">
        <v>90036</v>
      </c>
      <c r="F3212" s="5">
        <v>245248053</v>
      </c>
      <c r="G3212" s="5">
        <v>5.5008608459873827</v>
      </c>
      <c r="H3212" s="5">
        <v>2723.8888111422098</v>
      </c>
      <c r="I3212" s="5">
        <v>149.83733310035302</v>
      </c>
    </row>
    <row r="3213" spans="1:9" x14ac:dyDescent="0.2">
      <c r="A3213" s="5" t="s">
        <v>107</v>
      </c>
      <c r="B3213" s="5" t="s">
        <v>65</v>
      </c>
      <c r="C3213" s="5" t="s">
        <v>52</v>
      </c>
      <c r="D3213" s="5">
        <v>1636535</v>
      </c>
      <c r="E3213" s="5">
        <v>89197</v>
      </c>
      <c r="F3213" s="5">
        <v>247030992</v>
      </c>
      <c r="G3213" s="5">
        <v>5.4503570042803853</v>
      </c>
      <c r="H3213" s="5">
        <v>2769.4988844916311</v>
      </c>
      <c r="I3213" s="5">
        <v>150.94757643435673</v>
      </c>
    </row>
    <row r="3214" spans="1:9" x14ac:dyDescent="0.2">
      <c r="A3214" s="5" t="s">
        <v>107</v>
      </c>
      <c r="B3214" s="5" t="s">
        <v>65</v>
      </c>
      <c r="C3214" s="5" t="s">
        <v>53</v>
      </c>
      <c r="D3214" s="5">
        <v>1638633</v>
      </c>
      <c r="E3214" s="5">
        <v>87727</v>
      </c>
      <c r="F3214" s="5">
        <v>242808454</v>
      </c>
      <c r="G3214" s="5">
        <v>5.3536697967147004</v>
      </c>
      <c r="H3214" s="5">
        <v>2767.7733650985442</v>
      </c>
      <c r="I3214" s="5">
        <v>148.17744668879487</v>
      </c>
    </row>
    <row r="3215" spans="1:9" x14ac:dyDescent="0.2">
      <c r="A3215" s="5" t="s">
        <v>107</v>
      </c>
      <c r="B3215" s="5" t="s">
        <v>65</v>
      </c>
      <c r="C3215" s="5" t="s">
        <v>54</v>
      </c>
      <c r="D3215" s="5">
        <v>1638774</v>
      </c>
      <c r="E3215" s="5">
        <v>87676</v>
      </c>
      <c r="F3215" s="5">
        <v>242145823</v>
      </c>
      <c r="G3215" s="5">
        <v>5.3500970847719085</v>
      </c>
      <c r="H3215" s="5">
        <v>2761.8256193256993</v>
      </c>
      <c r="I3215" s="5">
        <v>147.76035194602795</v>
      </c>
    </row>
    <row r="3216" spans="1:9" x14ac:dyDescent="0.2">
      <c r="A3216" s="5" t="s">
        <v>107</v>
      </c>
      <c r="B3216" s="5" t="s">
        <v>65</v>
      </c>
      <c r="C3216" s="5" t="s">
        <v>55</v>
      </c>
      <c r="D3216" s="5">
        <v>1641694</v>
      </c>
      <c r="E3216" s="5">
        <v>86541</v>
      </c>
      <c r="F3216" s="5">
        <v>235974685</v>
      </c>
      <c r="G3216" s="5">
        <v>5.2714452266987637</v>
      </c>
      <c r="H3216" s="5">
        <v>2726.7385978900174</v>
      </c>
      <c r="I3216" s="5">
        <v>143.73853166302612</v>
      </c>
    </row>
    <row r="3217" spans="1:9" x14ac:dyDescent="0.2">
      <c r="A3217" s="5" t="s">
        <v>107</v>
      </c>
      <c r="B3217" s="5" t="s">
        <v>65</v>
      </c>
      <c r="C3217" s="5" t="s">
        <v>56</v>
      </c>
      <c r="D3217" s="5">
        <v>1647195</v>
      </c>
      <c r="E3217" s="5">
        <v>85836</v>
      </c>
      <c r="F3217" s="5">
        <v>234259181</v>
      </c>
      <c r="G3217" s="5">
        <v>5.2110405871800243</v>
      </c>
      <c r="H3217" s="5">
        <v>2729.148387622909</v>
      </c>
      <c r="I3217" s="5">
        <v>142.21703016339899</v>
      </c>
    </row>
    <row r="3218" spans="1:9" x14ac:dyDescent="0.2">
      <c r="A3218" s="5" t="s">
        <v>107</v>
      </c>
      <c r="B3218" s="5" t="s">
        <v>65</v>
      </c>
      <c r="C3218" s="5" t="s">
        <v>57</v>
      </c>
      <c r="D3218" s="5">
        <v>1654466</v>
      </c>
      <c r="E3218" s="5">
        <v>85456</v>
      </c>
      <c r="F3218" s="5">
        <v>233762185</v>
      </c>
      <c r="G3218" s="5">
        <v>5.1651711186570166</v>
      </c>
      <c r="H3218" s="5">
        <v>2735.4683696873244</v>
      </c>
      <c r="I3218" s="5">
        <v>141.29162219108764</v>
      </c>
    </row>
    <row r="3219" spans="1:9" x14ac:dyDescent="0.2">
      <c r="A3219" s="5" t="s">
        <v>107</v>
      </c>
      <c r="B3219" s="5" t="s">
        <v>65</v>
      </c>
      <c r="C3219" s="5" t="s">
        <v>58</v>
      </c>
      <c r="D3219" s="5">
        <v>1664601</v>
      </c>
      <c r="E3219" s="5">
        <v>84180</v>
      </c>
      <c r="F3219" s="5">
        <v>233575275</v>
      </c>
      <c r="G3219" s="5">
        <v>5.0570677297442455</v>
      </c>
      <c r="H3219" s="5">
        <v>2774.7122238061297</v>
      </c>
      <c r="I3219" s="5">
        <v>140.3190764633687</v>
      </c>
    </row>
    <row r="3220" spans="1:9" x14ac:dyDescent="0.2">
      <c r="A3220" s="5" t="s">
        <v>107</v>
      </c>
      <c r="B3220" s="5" t="s">
        <v>65</v>
      </c>
      <c r="C3220" s="5" t="s">
        <v>59</v>
      </c>
      <c r="D3220" s="5">
        <v>1676148</v>
      </c>
      <c r="E3220" s="5">
        <v>84630</v>
      </c>
      <c r="F3220" s="5">
        <v>238305418</v>
      </c>
      <c r="G3220" s="5">
        <v>5.0490768118328457</v>
      </c>
      <c r="H3220" s="5">
        <v>2815.8503840245776</v>
      </c>
      <c r="I3220" s="5">
        <v>142.17444879569106</v>
      </c>
    </row>
    <row r="3221" spans="1:9" x14ac:dyDescent="0.2">
      <c r="A3221" s="5" t="s">
        <v>107</v>
      </c>
      <c r="B3221" s="5" t="s">
        <v>65</v>
      </c>
      <c r="C3221" s="5" t="s">
        <v>60</v>
      </c>
      <c r="D3221" s="5">
        <v>1689240</v>
      </c>
      <c r="E3221" s="5">
        <v>84657</v>
      </c>
      <c r="F3221" s="5">
        <v>240131410</v>
      </c>
      <c r="G3221" s="5">
        <v>5.0115436527669246</v>
      </c>
      <c r="H3221" s="5">
        <v>2836.5216107350839</v>
      </c>
      <c r="I3221" s="5">
        <v>142.15351874215622</v>
      </c>
    </row>
    <row r="3222" spans="1:9" x14ac:dyDescent="0.2">
      <c r="A3222" s="5" t="s">
        <v>107</v>
      </c>
      <c r="B3222" s="5" t="s">
        <v>65</v>
      </c>
      <c r="C3222" s="5" t="s">
        <v>61</v>
      </c>
      <c r="D3222" s="5">
        <v>1703865</v>
      </c>
      <c r="E3222" s="5">
        <v>84679</v>
      </c>
      <c r="F3222" s="5">
        <v>242993930</v>
      </c>
      <c r="G3222" s="5">
        <v>4.969818618259076</v>
      </c>
      <c r="H3222" s="5">
        <v>2869.5890362427522</v>
      </c>
      <c r="I3222" s="5">
        <v>142.61337019071345</v>
      </c>
    </row>
    <row r="3223" spans="1:9" x14ac:dyDescent="0.2">
      <c r="A3223" s="5" t="s">
        <v>107</v>
      </c>
      <c r="B3223" s="5" t="s">
        <v>65</v>
      </c>
      <c r="C3223" s="5" t="s">
        <v>62</v>
      </c>
      <c r="D3223" s="5">
        <v>1719614</v>
      </c>
      <c r="E3223" s="5">
        <v>85627</v>
      </c>
      <c r="F3223" s="5">
        <v>245906660</v>
      </c>
      <c r="G3223" s="5">
        <v>4.9794314305419709</v>
      </c>
      <c r="H3223" s="5">
        <v>2871.8355191703549</v>
      </c>
      <c r="I3223" s="5">
        <v>143.00108047503684</v>
      </c>
    </row>
    <row r="3224" spans="1:9" x14ac:dyDescent="0.2">
      <c r="A3224" s="5" t="s">
        <v>108</v>
      </c>
      <c r="B3224" s="5" t="s">
        <v>44</v>
      </c>
      <c r="C3224" s="5" t="s">
        <v>45</v>
      </c>
      <c r="D3224" s="5">
        <v>292791</v>
      </c>
      <c r="E3224" s="5">
        <v>1582</v>
      </c>
      <c r="F3224" s="5">
        <v>21383053</v>
      </c>
      <c r="G3224" s="5">
        <v>0.54031715455734641</v>
      </c>
      <c r="H3224" s="5">
        <v>13516.468394437421</v>
      </c>
      <c r="I3224" s="5">
        <v>73.031797425467317</v>
      </c>
    </row>
    <row r="3225" spans="1:9" x14ac:dyDescent="0.2">
      <c r="A3225" s="5" t="s">
        <v>108</v>
      </c>
      <c r="B3225" s="5" t="s">
        <v>44</v>
      </c>
      <c r="C3225" s="5" t="s">
        <v>46</v>
      </c>
      <c r="D3225" s="5">
        <v>296421</v>
      </c>
      <c r="E3225" s="5">
        <v>1598</v>
      </c>
      <c r="F3225" s="5">
        <v>22039737</v>
      </c>
      <c r="G3225" s="5">
        <v>0.53909810708418093</v>
      </c>
      <c r="H3225" s="5">
        <v>13792.075719649562</v>
      </c>
      <c r="I3225" s="5">
        <v>74.352819132247717</v>
      </c>
    </row>
    <row r="3226" spans="1:9" x14ac:dyDescent="0.2">
      <c r="A3226" s="5" t="s">
        <v>108</v>
      </c>
      <c r="B3226" s="5" t="s">
        <v>44</v>
      </c>
      <c r="C3226" s="5" t="s">
        <v>47</v>
      </c>
      <c r="D3226" s="5">
        <v>300489</v>
      </c>
      <c r="E3226" s="5">
        <v>1607</v>
      </c>
      <c r="F3226" s="5">
        <v>22125570</v>
      </c>
      <c r="G3226" s="5">
        <v>0.53479495089670503</v>
      </c>
      <c r="H3226" s="5">
        <v>13768.245177349098</v>
      </c>
      <c r="I3226" s="5">
        <v>73.631880035542068</v>
      </c>
    </row>
    <row r="3227" spans="1:9" x14ac:dyDescent="0.2">
      <c r="A3227" s="5" t="s">
        <v>108</v>
      </c>
      <c r="B3227" s="5" t="s">
        <v>44</v>
      </c>
      <c r="C3227" s="5" t="s">
        <v>48</v>
      </c>
      <c r="D3227" s="5">
        <v>304323</v>
      </c>
      <c r="E3227" s="5">
        <v>1607</v>
      </c>
      <c r="F3227" s="5">
        <v>22188602</v>
      </c>
      <c r="G3227" s="5">
        <v>0.52805736010751736</v>
      </c>
      <c r="H3227" s="5">
        <v>13807.468574984443</v>
      </c>
      <c r="I3227" s="5">
        <v>72.911354054737899</v>
      </c>
    </row>
    <row r="3228" spans="1:9" x14ac:dyDescent="0.2">
      <c r="A3228" s="5" t="s">
        <v>108</v>
      </c>
      <c r="B3228" s="5" t="s">
        <v>44</v>
      </c>
      <c r="C3228" s="5" t="s">
        <v>49</v>
      </c>
      <c r="D3228" s="5">
        <v>307469</v>
      </c>
      <c r="E3228" s="5">
        <v>1659</v>
      </c>
      <c r="F3228" s="5">
        <v>22507427</v>
      </c>
      <c r="G3228" s="5">
        <v>0.53956659045302124</v>
      </c>
      <c r="H3228" s="5">
        <v>13566.863773357445</v>
      </c>
      <c r="I3228" s="5">
        <v>73.202264293310876</v>
      </c>
    </row>
    <row r="3229" spans="1:9" x14ac:dyDescent="0.2">
      <c r="A3229" s="5" t="s">
        <v>108</v>
      </c>
      <c r="B3229" s="5" t="s">
        <v>44</v>
      </c>
      <c r="C3229" s="5" t="s">
        <v>50</v>
      </c>
      <c r="D3229" s="5">
        <v>309684</v>
      </c>
      <c r="E3229" s="5">
        <v>1672</v>
      </c>
      <c r="F3229" s="5">
        <v>21744577</v>
      </c>
      <c r="G3229" s="5">
        <v>0.53990519368130097</v>
      </c>
      <c r="H3229" s="5">
        <v>13005.129784688996</v>
      </c>
      <c r="I3229" s="5">
        <v>70.21537115252967</v>
      </c>
    </row>
    <row r="3230" spans="1:9" x14ac:dyDescent="0.2">
      <c r="A3230" s="5" t="s">
        <v>108</v>
      </c>
      <c r="B3230" s="5" t="s">
        <v>44</v>
      </c>
      <c r="C3230" s="5" t="s">
        <v>51</v>
      </c>
      <c r="D3230" s="5">
        <v>311028</v>
      </c>
      <c r="E3230" s="5">
        <v>1714</v>
      </c>
      <c r="F3230" s="5">
        <v>21830400</v>
      </c>
      <c r="G3230" s="5">
        <v>0.55107578738891672</v>
      </c>
      <c r="H3230" s="5">
        <v>12736.522753792298</v>
      </c>
      <c r="I3230" s="5">
        <v>70.187893051429455</v>
      </c>
    </row>
    <row r="3231" spans="1:9" x14ac:dyDescent="0.2">
      <c r="A3231" s="5" t="s">
        <v>108</v>
      </c>
      <c r="B3231" s="5" t="s">
        <v>44</v>
      </c>
      <c r="C3231" s="5" t="s">
        <v>52</v>
      </c>
      <c r="D3231" s="5">
        <v>312184</v>
      </c>
      <c r="E3231" s="5">
        <v>1781</v>
      </c>
      <c r="F3231" s="5">
        <v>22817543</v>
      </c>
      <c r="G3231" s="5">
        <v>0.57049688645157981</v>
      </c>
      <c r="H3231" s="5">
        <v>12811.646827624931</v>
      </c>
      <c r="I3231" s="5">
        <v>73.09004625477283</v>
      </c>
    </row>
    <row r="3232" spans="1:9" x14ac:dyDescent="0.2">
      <c r="A3232" s="5" t="s">
        <v>108</v>
      </c>
      <c r="B3232" s="5" t="s">
        <v>44</v>
      </c>
      <c r="C3232" s="5" t="s">
        <v>53</v>
      </c>
      <c r="D3232" s="5">
        <v>313168</v>
      </c>
      <c r="E3232" s="5">
        <v>1746</v>
      </c>
      <c r="F3232" s="5">
        <v>22576243</v>
      </c>
      <c r="G3232" s="5">
        <v>0.55752822766055277</v>
      </c>
      <c r="H3232" s="5">
        <v>12930.265177548683</v>
      </c>
      <c r="I3232" s="5">
        <v>72.089878276196799</v>
      </c>
    </row>
    <row r="3233" spans="1:9" x14ac:dyDescent="0.2">
      <c r="A3233" s="5" t="s">
        <v>108</v>
      </c>
      <c r="B3233" s="5" t="s">
        <v>44</v>
      </c>
      <c r="C3233" s="5" t="s">
        <v>54</v>
      </c>
      <c r="D3233" s="5">
        <v>314212</v>
      </c>
      <c r="E3233" s="5">
        <v>1801</v>
      </c>
      <c r="F3233" s="5">
        <v>24422474</v>
      </c>
      <c r="G3233" s="5">
        <v>0.57317989128359192</v>
      </c>
      <c r="H3233" s="5">
        <v>13560.507495835647</v>
      </c>
      <c r="I3233" s="5">
        <v>77.726102122134094</v>
      </c>
    </row>
    <row r="3234" spans="1:9" x14ac:dyDescent="0.2">
      <c r="A3234" s="5" t="s">
        <v>108</v>
      </c>
      <c r="B3234" s="5" t="s">
        <v>44</v>
      </c>
      <c r="C3234" s="5" t="s">
        <v>55</v>
      </c>
      <c r="D3234" s="5">
        <v>315476</v>
      </c>
      <c r="E3234" s="5">
        <v>1799</v>
      </c>
      <c r="F3234" s="5">
        <v>23735065</v>
      </c>
      <c r="G3234" s="5">
        <v>0.57024940090529863</v>
      </c>
      <c r="H3234" s="5">
        <v>13193.476931628682</v>
      </c>
      <c r="I3234" s="5">
        <v>75.235723161191345</v>
      </c>
    </row>
    <row r="3235" spans="1:9" x14ac:dyDescent="0.2">
      <c r="A3235" s="5" t="s">
        <v>108</v>
      </c>
      <c r="B3235" s="5" t="s">
        <v>44</v>
      </c>
      <c r="C3235" s="5" t="s">
        <v>56</v>
      </c>
      <c r="D3235" s="5">
        <v>316533</v>
      </c>
      <c r="E3235" s="5">
        <v>1788</v>
      </c>
      <c r="F3235" s="5">
        <v>22459704</v>
      </c>
      <c r="G3235" s="5">
        <v>0.5648700135530893</v>
      </c>
      <c r="H3235" s="5">
        <v>12561.355704697986</v>
      </c>
      <c r="I3235" s="5">
        <v>70.955331671579273</v>
      </c>
    </row>
    <row r="3236" spans="1:9" x14ac:dyDescent="0.2">
      <c r="A3236" s="5" t="s">
        <v>108</v>
      </c>
      <c r="B3236" s="5" t="s">
        <v>44</v>
      </c>
      <c r="C3236" s="5" t="s">
        <v>57</v>
      </c>
      <c r="D3236" s="5">
        <v>317435</v>
      </c>
      <c r="E3236" s="5">
        <v>1756</v>
      </c>
      <c r="F3236" s="5">
        <v>22690843</v>
      </c>
      <c r="G3236" s="5">
        <v>0.55318411643328558</v>
      </c>
      <c r="H3236" s="5">
        <v>12921.892369020501</v>
      </c>
      <c r="I3236" s="5">
        <v>71.481856128026209</v>
      </c>
    </row>
    <row r="3237" spans="1:9" x14ac:dyDescent="0.2">
      <c r="A3237" s="5" t="s">
        <v>108</v>
      </c>
      <c r="B3237" s="5" t="s">
        <v>44</v>
      </c>
      <c r="C3237" s="5" t="s">
        <v>58</v>
      </c>
      <c r="D3237" s="5">
        <v>318198</v>
      </c>
      <c r="E3237" s="5">
        <v>1688</v>
      </c>
      <c r="F3237" s="5">
        <v>21587237</v>
      </c>
      <c r="G3237" s="5">
        <v>0.53048730664554777</v>
      </c>
      <c r="H3237" s="5">
        <v>12788.647511848341</v>
      </c>
      <c r="I3237" s="5">
        <v>67.842151741997128</v>
      </c>
    </row>
    <row r="3238" spans="1:9" x14ac:dyDescent="0.2">
      <c r="A3238" s="5" t="s">
        <v>108</v>
      </c>
      <c r="B3238" s="5" t="s">
        <v>44</v>
      </c>
      <c r="C3238" s="5" t="s">
        <v>59</v>
      </c>
      <c r="D3238" s="5">
        <v>318696</v>
      </c>
      <c r="E3238" s="5">
        <v>1637</v>
      </c>
      <c r="F3238" s="5">
        <v>23383489</v>
      </c>
      <c r="G3238" s="5">
        <v>0.5136556467605492</v>
      </c>
      <c r="H3238" s="5">
        <v>14284.354917532071</v>
      </c>
      <c r="I3238" s="5">
        <v>73.372395637221672</v>
      </c>
    </row>
    <row r="3239" spans="1:9" x14ac:dyDescent="0.2">
      <c r="A3239" s="5" t="s">
        <v>108</v>
      </c>
      <c r="B3239" s="5" t="s">
        <v>44</v>
      </c>
      <c r="C3239" s="5" t="s">
        <v>60</v>
      </c>
      <c r="D3239" s="5">
        <v>319166</v>
      </c>
      <c r="E3239" s="5">
        <v>1598</v>
      </c>
      <c r="F3239" s="5">
        <v>24158169</v>
      </c>
      <c r="G3239" s="5">
        <v>0.50067989698150805</v>
      </c>
      <c r="H3239" s="5">
        <v>15117.752816020025</v>
      </c>
      <c r="I3239" s="5">
        <v>75.691549225168089</v>
      </c>
    </row>
    <row r="3240" spans="1:9" x14ac:dyDescent="0.2">
      <c r="A3240" s="5" t="s">
        <v>108</v>
      </c>
      <c r="B3240" s="5" t="s">
        <v>44</v>
      </c>
      <c r="C3240" s="5" t="s">
        <v>61</v>
      </c>
      <c r="D3240" s="5">
        <v>319846</v>
      </c>
      <c r="E3240" s="5">
        <v>1564</v>
      </c>
      <c r="F3240" s="5">
        <v>23137438</v>
      </c>
      <c r="G3240" s="5">
        <v>0.48898532418726515</v>
      </c>
      <c r="H3240" s="5">
        <v>14793.75831202046</v>
      </c>
      <c r="I3240" s="5">
        <v>72.339307041513734</v>
      </c>
    </row>
    <row r="3241" spans="1:9" x14ac:dyDescent="0.2">
      <c r="A3241" s="5" t="s">
        <v>108</v>
      </c>
      <c r="B3241" s="5" t="s">
        <v>44</v>
      </c>
      <c r="C3241" s="5" t="s">
        <v>62</v>
      </c>
      <c r="D3241" s="5">
        <v>320657</v>
      </c>
      <c r="E3241" s="5">
        <v>1579</v>
      </c>
      <c r="F3241" s="5">
        <v>22320429</v>
      </c>
      <c r="G3241" s="5">
        <v>0.49242648686914681</v>
      </c>
      <c r="H3241" s="5">
        <v>14135.800506649779</v>
      </c>
      <c r="I3241" s="5">
        <v>69.608425825726556</v>
      </c>
    </row>
    <row r="3242" spans="1:9" x14ac:dyDescent="0.2">
      <c r="A3242" s="5" t="s">
        <v>108</v>
      </c>
      <c r="B3242" s="5" t="s">
        <v>63</v>
      </c>
      <c r="C3242" s="5" t="s">
        <v>45</v>
      </c>
      <c r="D3242" s="5">
        <v>292791</v>
      </c>
      <c r="E3242" s="5">
        <v>8901</v>
      </c>
      <c r="F3242" s="5">
        <v>16744456</v>
      </c>
      <c r="G3242" s="5">
        <v>3.040052460628913</v>
      </c>
      <c r="H3242" s="5">
        <v>1881.1881811032467</v>
      </c>
      <c r="I3242" s="5">
        <v>57.189107588689545</v>
      </c>
    </row>
    <row r="3243" spans="1:9" x14ac:dyDescent="0.2">
      <c r="A3243" s="5" t="s">
        <v>108</v>
      </c>
      <c r="B3243" s="5" t="s">
        <v>63</v>
      </c>
      <c r="C3243" s="5" t="s">
        <v>46</v>
      </c>
      <c r="D3243" s="5">
        <v>296421</v>
      </c>
      <c r="E3243" s="5">
        <v>8291</v>
      </c>
      <c r="F3243" s="5">
        <v>15814867</v>
      </c>
      <c r="G3243" s="5">
        <v>2.7970352977690514</v>
      </c>
      <c r="H3243" s="5">
        <v>1907.4740079604389</v>
      </c>
      <c r="I3243" s="5">
        <v>53.352721298423525</v>
      </c>
    </row>
    <row r="3244" spans="1:9" x14ac:dyDescent="0.2">
      <c r="A3244" s="5" t="s">
        <v>108</v>
      </c>
      <c r="B3244" s="5" t="s">
        <v>63</v>
      </c>
      <c r="C3244" s="5" t="s">
        <v>47</v>
      </c>
      <c r="D3244" s="5">
        <v>300489</v>
      </c>
      <c r="E3244" s="5">
        <v>8412</v>
      </c>
      <c r="F3244" s="5">
        <v>16269239</v>
      </c>
      <c r="G3244" s="5">
        <v>2.7994369178239471</v>
      </c>
      <c r="H3244" s="5">
        <v>1934.0512363290538</v>
      </c>
      <c r="I3244" s="5">
        <v>54.142544319426001</v>
      </c>
    </row>
    <row r="3245" spans="1:9" x14ac:dyDescent="0.2">
      <c r="A3245" s="5" t="s">
        <v>108</v>
      </c>
      <c r="B3245" s="5" t="s">
        <v>63</v>
      </c>
      <c r="C3245" s="5" t="s">
        <v>48</v>
      </c>
      <c r="D3245" s="5">
        <v>304323</v>
      </c>
      <c r="E3245" s="5">
        <v>8613</v>
      </c>
      <c r="F3245" s="5">
        <v>16499154</v>
      </c>
      <c r="G3245" s="5">
        <v>2.8302165790952376</v>
      </c>
      <c r="H3245" s="5">
        <v>1915.6105886450714</v>
      </c>
      <c r="I3245" s="5">
        <v>54.215928470736685</v>
      </c>
    </row>
    <row r="3246" spans="1:9" x14ac:dyDescent="0.2">
      <c r="A3246" s="5" t="s">
        <v>108</v>
      </c>
      <c r="B3246" s="5" t="s">
        <v>63</v>
      </c>
      <c r="C3246" s="5" t="s">
        <v>49</v>
      </c>
      <c r="D3246" s="5">
        <v>307469</v>
      </c>
      <c r="E3246" s="5">
        <v>8617</v>
      </c>
      <c r="F3246" s="5">
        <v>16759227</v>
      </c>
      <c r="G3246" s="5">
        <v>2.8025589571631611</v>
      </c>
      <c r="H3246" s="5">
        <v>1944.9027503771615</v>
      </c>
      <c r="I3246" s="5">
        <v>54.507046238807817</v>
      </c>
    </row>
    <row r="3247" spans="1:9" x14ac:dyDescent="0.2">
      <c r="A3247" s="5" t="s">
        <v>108</v>
      </c>
      <c r="B3247" s="5" t="s">
        <v>63</v>
      </c>
      <c r="C3247" s="5" t="s">
        <v>50</v>
      </c>
      <c r="D3247" s="5">
        <v>309684</v>
      </c>
      <c r="E3247" s="5">
        <v>8677</v>
      </c>
      <c r="F3247" s="5">
        <v>17162787</v>
      </c>
      <c r="G3247" s="5">
        <v>2.8018883765386651</v>
      </c>
      <c r="H3247" s="5">
        <v>1977.9632361415236</v>
      </c>
      <c r="I3247" s="5">
        <v>55.420322005657383</v>
      </c>
    </row>
    <row r="3248" spans="1:9" x14ac:dyDescent="0.2">
      <c r="A3248" s="5" t="s">
        <v>108</v>
      </c>
      <c r="B3248" s="5" t="s">
        <v>63</v>
      </c>
      <c r="C3248" s="5" t="s">
        <v>51</v>
      </c>
      <c r="D3248" s="5">
        <v>311028</v>
      </c>
      <c r="E3248" s="5">
        <v>8423</v>
      </c>
      <c r="F3248" s="5">
        <v>16768360</v>
      </c>
      <c r="G3248" s="5">
        <v>2.7081163110716719</v>
      </c>
      <c r="H3248" s="5">
        <v>1990.7823815742609</v>
      </c>
      <c r="I3248" s="5">
        <v>53.912702393353655</v>
      </c>
    </row>
    <row r="3249" spans="1:9" x14ac:dyDescent="0.2">
      <c r="A3249" s="5" t="s">
        <v>108</v>
      </c>
      <c r="B3249" s="5" t="s">
        <v>63</v>
      </c>
      <c r="C3249" s="5" t="s">
        <v>52</v>
      </c>
      <c r="D3249" s="5">
        <v>312184</v>
      </c>
      <c r="E3249" s="5">
        <v>8323</v>
      </c>
      <c r="F3249" s="5">
        <v>16648191</v>
      </c>
      <c r="G3249" s="5">
        <v>2.6660559157419983</v>
      </c>
      <c r="H3249" s="5">
        <v>2000.2632464255678</v>
      </c>
      <c r="I3249" s="5">
        <v>53.32813661174179</v>
      </c>
    </row>
    <row r="3250" spans="1:9" x14ac:dyDescent="0.2">
      <c r="A3250" s="5" t="s">
        <v>108</v>
      </c>
      <c r="B3250" s="5" t="s">
        <v>63</v>
      </c>
      <c r="C3250" s="5" t="s">
        <v>53</v>
      </c>
      <c r="D3250" s="5">
        <v>313168</v>
      </c>
      <c r="E3250" s="5">
        <v>8227</v>
      </c>
      <c r="F3250" s="5">
        <v>16535549</v>
      </c>
      <c r="G3250" s="5">
        <v>2.6270244724876104</v>
      </c>
      <c r="H3250" s="5">
        <v>2009.9123617357482</v>
      </c>
      <c r="I3250" s="5">
        <v>52.80088961835181</v>
      </c>
    </row>
    <row r="3251" spans="1:9" x14ac:dyDescent="0.2">
      <c r="A3251" s="5" t="s">
        <v>108</v>
      </c>
      <c r="B3251" s="5" t="s">
        <v>63</v>
      </c>
      <c r="C3251" s="5" t="s">
        <v>54</v>
      </c>
      <c r="D3251" s="5">
        <v>314212</v>
      </c>
      <c r="E3251" s="5">
        <v>8374</v>
      </c>
      <c r="F3251" s="5">
        <v>17027217</v>
      </c>
      <c r="G3251" s="5">
        <v>2.6650796277672399</v>
      </c>
      <c r="H3251" s="5">
        <v>2033.3433245760689</v>
      </c>
      <c r="I3251" s="5">
        <v>54.190218705841914</v>
      </c>
    </row>
    <row r="3252" spans="1:9" x14ac:dyDescent="0.2">
      <c r="A3252" s="5" t="s">
        <v>108</v>
      </c>
      <c r="B3252" s="5" t="s">
        <v>63</v>
      </c>
      <c r="C3252" s="5" t="s">
        <v>55</v>
      </c>
      <c r="D3252" s="5">
        <v>315476</v>
      </c>
      <c r="E3252" s="5">
        <v>8386</v>
      </c>
      <c r="F3252" s="5">
        <v>17082159</v>
      </c>
      <c r="G3252" s="5">
        <v>2.6582053785390967</v>
      </c>
      <c r="H3252" s="5">
        <v>2036.9853326973528</v>
      </c>
      <c r="I3252" s="5">
        <v>54.147253673813537</v>
      </c>
    </row>
    <row r="3253" spans="1:9" x14ac:dyDescent="0.2">
      <c r="A3253" s="5" t="s">
        <v>108</v>
      </c>
      <c r="B3253" s="5" t="s">
        <v>63</v>
      </c>
      <c r="C3253" s="5" t="s">
        <v>56</v>
      </c>
      <c r="D3253" s="5">
        <v>316533</v>
      </c>
      <c r="E3253" s="5">
        <v>8305</v>
      </c>
      <c r="F3253" s="5">
        <v>16920184</v>
      </c>
      <c r="G3253" s="5">
        <v>2.6237390730192427</v>
      </c>
      <c r="H3253" s="5">
        <v>2037.3490668272125</v>
      </c>
      <c r="I3253" s="5">
        <v>53.454723520138501</v>
      </c>
    </row>
    <row r="3254" spans="1:9" x14ac:dyDescent="0.2">
      <c r="A3254" s="5" t="s">
        <v>108</v>
      </c>
      <c r="B3254" s="5" t="s">
        <v>63</v>
      </c>
      <c r="C3254" s="5" t="s">
        <v>57</v>
      </c>
      <c r="D3254" s="5">
        <v>317435</v>
      </c>
      <c r="E3254" s="5">
        <v>8187</v>
      </c>
      <c r="F3254" s="5">
        <v>16748711</v>
      </c>
      <c r="G3254" s="5">
        <v>2.579110684077055</v>
      </c>
      <c r="H3254" s="5">
        <v>2045.7690240625382</v>
      </c>
      <c r="I3254" s="5">
        <v>52.762647471135821</v>
      </c>
    </row>
    <row r="3255" spans="1:9" x14ac:dyDescent="0.2">
      <c r="A3255" s="5" t="s">
        <v>108</v>
      </c>
      <c r="B3255" s="5" t="s">
        <v>63</v>
      </c>
      <c r="C3255" s="5" t="s">
        <v>58</v>
      </c>
      <c r="D3255" s="5">
        <v>318198</v>
      </c>
      <c r="E3255" s="5">
        <v>7800</v>
      </c>
      <c r="F3255" s="5">
        <v>15720959</v>
      </c>
      <c r="G3255" s="5">
        <v>2.4513039051156826</v>
      </c>
      <c r="H3255" s="5">
        <v>2015.5075641025642</v>
      </c>
      <c r="I3255" s="5">
        <v>49.406215626748128</v>
      </c>
    </row>
    <row r="3256" spans="1:9" x14ac:dyDescent="0.2">
      <c r="A3256" s="5" t="s">
        <v>108</v>
      </c>
      <c r="B3256" s="5" t="s">
        <v>63</v>
      </c>
      <c r="C3256" s="5" t="s">
        <v>59</v>
      </c>
      <c r="D3256" s="5">
        <v>318696</v>
      </c>
      <c r="E3256" s="5">
        <v>7698</v>
      </c>
      <c r="F3256" s="5">
        <v>15811989</v>
      </c>
      <c r="G3256" s="5">
        <v>2.4154680322313427</v>
      </c>
      <c r="H3256" s="5">
        <v>2054.0385814497272</v>
      </c>
      <c r="I3256" s="5">
        <v>49.61464530461631</v>
      </c>
    </row>
    <row r="3257" spans="1:9" x14ac:dyDescent="0.2">
      <c r="A3257" s="5" t="s">
        <v>108</v>
      </c>
      <c r="B3257" s="5" t="s">
        <v>63</v>
      </c>
      <c r="C3257" s="5" t="s">
        <v>60</v>
      </c>
      <c r="D3257" s="5">
        <v>319166</v>
      </c>
      <c r="E3257" s="5">
        <v>7635</v>
      </c>
      <c r="F3257" s="5">
        <v>16115961</v>
      </c>
      <c r="G3257" s="5">
        <v>2.3921720985317987</v>
      </c>
      <c r="H3257" s="5">
        <v>2110.8003929273086</v>
      </c>
      <c r="I3257" s="5">
        <v>50.493978055306641</v>
      </c>
    </row>
    <row r="3258" spans="1:9" x14ac:dyDescent="0.2">
      <c r="A3258" s="5" t="s">
        <v>108</v>
      </c>
      <c r="B3258" s="5" t="s">
        <v>63</v>
      </c>
      <c r="C3258" s="5" t="s">
        <v>61</v>
      </c>
      <c r="D3258" s="5">
        <v>319846</v>
      </c>
      <c r="E3258" s="5">
        <v>7690</v>
      </c>
      <c r="F3258" s="5">
        <v>16285828</v>
      </c>
      <c r="G3258" s="5">
        <v>2.4042820607417319</v>
      </c>
      <c r="H3258" s="5">
        <v>2117.7929778933681</v>
      </c>
      <c r="I3258" s="5">
        <v>50.917716651138363</v>
      </c>
    </row>
    <row r="3259" spans="1:9" x14ac:dyDescent="0.2">
      <c r="A3259" s="5" t="s">
        <v>108</v>
      </c>
      <c r="B3259" s="5" t="s">
        <v>63</v>
      </c>
      <c r="C3259" s="5" t="s">
        <v>62</v>
      </c>
      <c r="D3259" s="5">
        <v>320657</v>
      </c>
      <c r="E3259" s="5">
        <v>7772</v>
      </c>
      <c r="F3259" s="5">
        <v>16702922</v>
      </c>
      <c r="G3259" s="5">
        <v>2.423773689643451</v>
      </c>
      <c r="H3259" s="5">
        <v>2149.1150283067423</v>
      </c>
      <c r="I3259" s="5">
        <v>52.089684616272216</v>
      </c>
    </row>
    <row r="3260" spans="1:9" x14ac:dyDescent="0.2">
      <c r="A3260" s="5" t="s">
        <v>108</v>
      </c>
      <c r="B3260" s="5" t="s">
        <v>64</v>
      </c>
      <c r="C3260" s="5" t="s">
        <v>45</v>
      </c>
      <c r="D3260" s="5">
        <v>215150</v>
      </c>
      <c r="E3260" s="5">
        <v>42485</v>
      </c>
      <c r="F3260" s="5">
        <v>33096935</v>
      </c>
      <c r="G3260" s="5">
        <v>19.746688356960259</v>
      </c>
      <c r="H3260" s="5">
        <v>779.02636224549838</v>
      </c>
      <c r="I3260" s="5">
        <v>153.83190797118289</v>
      </c>
    </row>
    <row r="3261" spans="1:9" x14ac:dyDescent="0.2">
      <c r="A3261" s="5" t="s">
        <v>108</v>
      </c>
      <c r="B3261" s="5" t="s">
        <v>64</v>
      </c>
      <c r="C3261" s="5" t="s">
        <v>46</v>
      </c>
      <c r="D3261" s="5">
        <v>218232</v>
      </c>
      <c r="E3261" s="5">
        <v>42852</v>
      </c>
      <c r="F3261" s="5">
        <v>33689579</v>
      </c>
      <c r="G3261" s="5">
        <v>19.635983723743539</v>
      </c>
      <c r="H3261" s="5">
        <v>786.18451880892371</v>
      </c>
      <c r="I3261" s="5">
        <v>154.37506415191172</v>
      </c>
    </row>
    <row r="3262" spans="1:9" x14ac:dyDescent="0.2">
      <c r="A3262" s="5" t="s">
        <v>108</v>
      </c>
      <c r="B3262" s="5" t="s">
        <v>64</v>
      </c>
      <c r="C3262" s="5" t="s">
        <v>47</v>
      </c>
      <c r="D3262" s="5">
        <v>221538</v>
      </c>
      <c r="E3262" s="5">
        <v>40754</v>
      </c>
      <c r="F3262" s="5">
        <v>30180903</v>
      </c>
      <c r="G3262" s="5">
        <v>18.395941102655076</v>
      </c>
      <c r="H3262" s="5">
        <v>740.56296314472195</v>
      </c>
      <c r="I3262" s="5">
        <v>136.23352652818028</v>
      </c>
    </row>
    <row r="3263" spans="1:9" x14ac:dyDescent="0.2">
      <c r="A3263" s="5" t="s">
        <v>108</v>
      </c>
      <c r="B3263" s="5" t="s">
        <v>64</v>
      </c>
      <c r="C3263" s="5" t="s">
        <v>48</v>
      </c>
      <c r="D3263" s="5">
        <v>224775</v>
      </c>
      <c r="E3263" s="5">
        <v>41528</v>
      </c>
      <c r="F3263" s="5">
        <v>30778519</v>
      </c>
      <c r="G3263" s="5">
        <v>18.475364253142033</v>
      </c>
      <c r="H3263" s="5">
        <v>741.15100654979767</v>
      </c>
      <c r="I3263" s="5">
        <v>136.93034812590369</v>
      </c>
    </row>
    <row r="3264" spans="1:9" x14ac:dyDescent="0.2">
      <c r="A3264" s="5" t="s">
        <v>108</v>
      </c>
      <c r="B3264" s="5" t="s">
        <v>64</v>
      </c>
      <c r="C3264" s="5" t="s">
        <v>49</v>
      </c>
      <c r="D3264" s="5">
        <v>227286</v>
      </c>
      <c r="E3264" s="5">
        <v>41878</v>
      </c>
      <c r="F3264" s="5">
        <v>31672878</v>
      </c>
      <c r="G3264" s="5">
        <v>18.425243965752401</v>
      </c>
      <c r="H3264" s="5">
        <v>756.31305219924548</v>
      </c>
      <c r="I3264" s="5">
        <v>139.35252501253927</v>
      </c>
    </row>
    <row r="3265" spans="1:9" x14ac:dyDescent="0.2">
      <c r="A3265" s="5" t="s">
        <v>108</v>
      </c>
      <c r="B3265" s="5" t="s">
        <v>64</v>
      </c>
      <c r="C3265" s="5" t="s">
        <v>50</v>
      </c>
      <c r="D3265" s="5">
        <v>229111</v>
      </c>
      <c r="E3265" s="5">
        <v>41079</v>
      </c>
      <c r="F3265" s="5">
        <v>31542449</v>
      </c>
      <c r="G3265" s="5">
        <v>17.929737114324499</v>
      </c>
      <c r="H3265" s="5">
        <v>767.84851140485409</v>
      </c>
      <c r="I3265" s="5">
        <v>137.6732195311443</v>
      </c>
    </row>
    <row r="3266" spans="1:9" x14ac:dyDescent="0.2">
      <c r="A3266" s="5" t="s">
        <v>108</v>
      </c>
      <c r="B3266" s="5" t="s">
        <v>64</v>
      </c>
      <c r="C3266" s="5" t="s">
        <v>51</v>
      </c>
      <c r="D3266" s="5">
        <v>230158</v>
      </c>
      <c r="E3266" s="5">
        <v>39651</v>
      </c>
      <c r="F3266" s="5">
        <v>31015354</v>
      </c>
      <c r="G3266" s="5">
        <v>17.227730515558878</v>
      </c>
      <c r="H3266" s="5">
        <v>782.20862021134394</v>
      </c>
      <c r="I3266" s="5">
        <v>134.75679315948176</v>
      </c>
    </row>
    <row r="3267" spans="1:9" x14ac:dyDescent="0.2">
      <c r="A3267" s="5" t="s">
        <v>108</v>
      </c>
      <c r="B3267" s="5" t="s">
        <v>64</v>
      </c>
      <c r="C3267" s="5" t="s">
        <v>52</v>
      </c>
      <c r="D3267" s="5">
        <v>230679</v>
      </c>
      <c r="E3267" s="5">
        <v>36280</v>
      </c>
      <c r="F3267" s="5">
        <v>25421788</v>
      </c>
      <c r="G3267" s="5">
        <v>15.727482779099962</v>
      </c>
      <c r="H3267" s="5">
        <v>700.71080485115772</v>
      </c>
      <c r="I3267" s="5">
        <v>110.20417116425855</v>
      </c>
    </row>
    <row r="3268" spans="1:9" x14ac:dyDescent="0.2">
      <c r="A3268" s="5" t="s">
        <v>108</v>
      </c>
      <c r="B3268" s="5" t="s">
        <v>64</v>
      </c>
      <c r="C3268" s="5" t="s">
        <v>53</v>
      </c>
      <c r="D3268" s="5">
        <v>230939</v>
      </c>
      <c r="E3268" s="5">
        <v>34540</v>
      </c>
      <c r="F3268" s="5">
        <v>23833324</v>
      </c>
      <c r="G3268" s="5">
        <v>14.956330459558584</v>
      </c>
      <c r="H3268" s="5">
        <v>690.02096120440069</v>
      </c>
      <c r="I3268" s="5">
        <v>103.20181519795271</v>
      </c>
    </row>
    <row r="3269" spans="1:9" x14ac:dyDescent="0.2">
      <c r="A3269" s="5" t="s">
        <v>108</v>
      </c>
      <c r="B3269" s="5" t="s">
        <v>64</v>
      </c>
      <c r="C3269" s="5" t="s">
        <v>54</v>
      </c>
      <c r="D3269" s="5">
        <v>230965</v>
      </c>
      <c r="E3269" s="5">
        <v>34255</v>
      </c>
      <c r="F3269" s="5">
        <v>23616161</v>
      </c>
      <c r="G3269" s="5">
        <v>14.831251488320742</v>
      </c>
      <c r="H3269" s="5">
        <v>689.42230331338487</v>
      </c>
      <c r="I3269" s="5">
        <v>102.24995562098154</v>
      </c>
    </row>
    <row r="3270" spans="1:9" x14ac:dyDescent="0.2">
      <c r="A3270" s="5" t="s">
        <v>108</v>
      </c>
      <c r="B3270" s="5" t="s">
        <v>64</v>
      </c>
      <c r="C3270" s="5" t="s">
        <v>55</v>
      </c>
      <c r="D3270" s="5">
        <v>230972</v>
      </c>
      <c r="E3270" s="5">
        <v>35086</v>
      </c>
      <c r="F3270" s="5">
        <v>25995803</v>
      </c>
      <c r="G3270" s="5">
        <v>15.190585871880574</v>
      </c>
      <c r="H3270" s="5">
        <v>740.91669041783052</v>
      </c>
      <c r="I3270" s="5">
        <v>112.54958609701609</v>
      </c>
    </row>
    <row r="3271" spans="1:9" x14ac:dyDescent="0.2">
      <c r="A3271" s="5" t="s">
        <v>108</v>
      </c>
      <c r="B3271" s="5" t="s">
        <v>64</v>
      </c>
      <c r="C3271" s="5" t="s">
        <v>56</v>
      </c>
      <c r="D3271" s="5">
        <v>230846</v>
      </c>
      <c r="E3271" s="5">
        <v>32296</v>
      </c>
      <c r="F3271" s="5">
        <v>22306821</v>
      </c>
      <c r="G3271" s="5">
        <v>13.990279233774897</v>
      </c>
      <c r="H3271" s="5">
        <v>690.69918875402527</v>
      </c>
      <c r="I3271" s="5">
        <v>96.630745172106074</v>
      </c>
    </row>
    <row r="3272" spans="1:9" x14ac:dyDescent="0.2">
      <c r="A3272" s="5" t="s">
        <v>108</v>
      </c>
      <c r="B3272" s="5" t="s">
        <v>64</v>
      </c>
      <c r="C3272" s="5" t="s">
        <v>57</v>
      </c>
      <c r="D3272" s="5">
        <v>230645</v>
      </c>
      <c r="E3272" s="5">
        <v>31948</v>
      </c>
      <c r="F3272" s="5">
        <v>22262600</v>
      </c>
      <c r="G3272" s="5">
        <v>13.851590106007068</v>
      </c>
      <c r="H3272" s="5">
        <v>696.83861274571177</v>
      </c>
      <c r="I3272" s="5">
        <v>96.523228337921921</v>
      </c>
    </row>
    <row r="3273" spans="1:9" x14ac:dyDescent="0.2">
      <c r="A3273" s="5" t="s">
        <v>108</v>
      </c>
      <c r="B3273" s="5" t="s">
        <v>64</v>
      </c>
      <c r="C3273" s="5" t="s">
        <v>58</v>
      </c>
      <c r="D3273" s="5">
        <v>230548</v>
      </c>
      <c r="E3273" s="5">
        <v>31673</v>
      </c>
      <c r="F3273" s="5">
        <v>22081822</v>
      </c>
      <c r="G3273" s="5">
        <v>13.738136960632927</v>
      </c>
      <c r="H3273" s="5">
        <v>697.18125848514512</v>
      </c>
      <c r="I3273" s="5">
        <v>95.779716154553498</v>
      </c>
    </row>
    <row r="3274" spans="1:9" x14ac:dyDescent="0.2">
      <c r="A3274" s="5" t="s">
        <v>108</v>
      </c>
      <c r="B3274" s="5" t="s">
        <v>64</v>
      </c>
      <c r="C3274" s="5" t="s">
        <v>59</v>
      </c>
      <c r="D3274" s="5">
        <v>230537</v>
      </c>
      <c r="E3274" s="5">
        <v>29818</v>
      </c>
      <c r="F3274" s="5">
        <v>19601276</v>
      </c>
      <c r="G3274" s="5">
        <v>12.934149399011872</v>
      </c>
      <c r="H3274" s="5">
        <v>657.36387416996445</v>
      </c>
      <c r="I3274" s="5">
        <v>85.024425580275619</v>
      </c>
    </row>
    <row r="3275" spans="1:9" x14ac:dyDescent="0.2">
      <c r="A3275" s="5" t="s">
        <v>108</v>
      </c>
      <c r="B3275" s="5" t="s">
        <v>64</v>
      </c>
      <c r="C3275" s="5" t="s">
        <v>60</v>
      </c>
      <c r="D3275" s="5">
        <v>230755</v>
      </c>
      <c r="E3275" s="5">
        <v>29895</v>
      </c>
      <c r="F3275" s="5">
        <v>20671777</v>
      </c>
      <c r="G3275" s="5">
        <v>12.955298910099456</v>
      </c>
      <c r="H3275" s="5">
        <v>691.47941127278807</v>
      </c>
      <c r="I3275" s="5">
        <v>89.583224632185647</v>
      </c>
    </row>
    <row r="3276" spans="1:9" x14ac:dyDescent="0.2">
      <c r="A3276" s="5" t="s">
        <v>108</v>
      </c>
      <c r="B3276" s="5" t="s">
        <v>64</v>
      </c>
      <c r="C3276" s="5" t="s">
        <v>61</v>
      </c>
      <c r="D3276" s="5">
        <v>231189</v>
      </c>
      <c r="E3276" s="5">
        <v>28865</v>
      </c>
      <c r="F3276" s="5">
        <v>20589202</v>
      </c>
      <c r="G3276" s="5">
        <v>12.485455622888633</v>
      </c>
      <c r="H3276" s="5">
        <v>713.29298458340554</v>
      </c>
      <c r="I3276" s="5">
        <v>89.057879051338944</v>
      </c>
    </row>
    <row r="3277" spans="1:9" x14ac:dyDescent="0.2">
      <c r="A3277" s="5" t="s">
        <v>108</v>
      </c>
      <c r="B3277" s="5" t="s">
        <v>64</v>
      </c>
      <c r="C3277" s="5" t="s">
        <v>62</v>
      </c>
      <c r="D3277" s="5">
        <v>231771</v>
      </c>
      <c r="E3277" s="5">
        <v>28478</v>
      </c>
      <c r="F3277" s="5">
        <v>20643159</v>
      </c>
      <c r="G3277" s="5">
        <v>12.287128242963961</v>
      </c>
      <c r="H3277" s="5">
        <v>724.88092562679958</v>
      </c>
      <c r="I3277" s="5">
        <v>89.067048940549071</v>
      </c>
    </row>
    <row r="3278" spans="1:9" x14ac:dyDescent="0.2">
      <c r="A3278" s="5" t="s">
        <v>108</v>
      </c>
      <c r="B3278" s="5" t="s">
        <v>65</v>
      </c>
      <c r="C3278" s="5" t="s">
        <v>45</v>
      </c>
      <c r="D3278" s="5">
        <v>207888</v>
      </c>
      <c r="E3278" s="5">
        <v>10532</v>
      </c>
      <c r="F3278" s="5">
        <v>23595423</v>
      </c>
      <c r="G3278" s="5">
        <v>5.0661894866466559</v>
      </c>
      <c r="H3278" s="5">
        <v>2240.3553930877324</v>
      </c>
      <c r="I3278" s="5">
        <v>113.50064938813208</v>
      </c>
    </row>
    <row r="3279" spans="1:9" x14ac:dyDescent="0.2">
      <c r="A3279" s="5" t="s">
        <v>108</v>
      </c>
      <c r="B3279" s="5" t="s">
        <v>65</v>
      </c>
      <c r="C3279" s="5" t="s">
        <v>46</v>
      </c>
      <c r="D3279" s="5">
        <v>211115</v>
      </c>
      <c r="E3279" s="5">
        <v>9754</v>
      </c>
      <c r="F3279" s="5">
        <v>21582839</v>
      </c>
      <c r="G3279" s="5">
        <v>4.6202306799611588</v>
      </c>
      <c r="H3279" s="5">
        <v>2212.7167315972933</v>
      </c>
      <c r="I3279" s="5">
        <v>102.23261729389195</v>
      </c>
    </row>
    <row r="3280" spans="1:9" x14ac:dyDescent="0.2">
      <c r="A3280" s="5" t="s">
        <v>108</v>
      </c>
      <c r="B3280" s="5" t="s">
        <v>65</v>
      </c>
      <c r="C3280" s="5" t="s">
        <v>47</v>
      </c>
      <c r="D3280" s="5">
        <v>214582</v>
      </c>
      <c r="E3280" s="5">
        <v>9735</v>
      </c>
      <c r="F3280" s="5">
        <v>22446476</v>
      </c>
      <c r="G3280" s="5">
        <v>4.5367272184992213</v>
      </c>
      <c r="H3280" s="5">
        <v>2305.7499743194658</v>
      </c>
      <c r="I3280" s="5">
        <v>104.60558667549002</v>
      </c>
    </row>
    <row r="3281" spans="1:9" x14ac:dyDescent="0.2">
      <c r="A3281" s="5" t="s">
        <v>108</v>
      </c>
      <c r="B3281" s="5" t="s">
        <v>65</v>
      </c>
      <c r="C3281" s="5" t="s">
        <v>48</v>
      </c>
      <c r="D3281" s="5">
        <v>217998</v>
      </c>
      <c r="E3281" s="5">
        <v>9838</v>
      </c>
      <c r="F3281" s="5">
        <v>22775996</v>
      </c>
      <c r="G3281" s="5">
        <v>4.5128854393159568</v>
      </c>
      <c r="H3281" s="5">
        <v>2315.1042894897337</v>
      </c>
      <c r="I3281" s="5">
        <v>104.47800438536133</v>
      </c>
    </row>
    <row r="3282" spans="1:9" x14ac:dyDescent="0.2">
      <c r="A3282" s="5" t="s">
        <v>108</v>
      </c>
      <c r="B3282" s="5" t="s">
        <v>65</v>
      </c>
      <c r="C3282" s="5" t="s">
        <v>49</v>
      </c>
      <c r="D3282" s="5">
        <v>220734</v>
      </c>
      <c r="E3282" s="5">
        <v>9867</v>
      </c>
      <c r="F3282" s="5">
        <v>23200738</v>
      </c>
      <c r="G3282" s="5">
        <v>4.4700861670608063</v>
      </c>
      <c r="H3282" s="5">
        <v>2351.3467112597546</v>
      </c>
      <c r="I3282" s="5">
        <v>105.10722407966149</v>
      </c>
    </row>
    <row r="3283" spans="1:9" x14ac:dyDescent="0.2">
      <c r="A3283" s="5" t="s">
        <v>108</v>
      </c>
      <c r="B3283" s="5" t="s">
        <v>65</v>
      </c>
      <c r="C3283" s="5" t="s">
        <v>50</v>
      </c>
      <c r="D3283" s="5">
        <v>222748</v>
      </c>
      <c r="E3283" s="5">
        <v>9905</v>
      </c>
      <c r="F3283" s="5">
        <v>24601145</v>
      </c>
      <c r="G3283" s="5">
        <v>4.4467290390935048</v>
      </c>
      <c r="H3283" s="5">
        <v>2483.7097425542656</v>
      </c>
      <c r="I3283" s="5">
        <v>110.44384236895505</v>
      </c>
    </row>
    <row r="3284" spans="1:9" x14ac:dyDescent="0.2">
      <c r="A3284" s="5" t="s">
        <v>108</v>
      </c>
      <c r="B3284" s="5" t="s">
        <v>65</v>
      </c>
      <c r="C3284" s="5" t="s">
        <v>51</v>
      </c>
      <c r="D3284" s="5">
        <v>224015</v>
      </c>
      <c r="E3284" s="5">
        <v>9550</v>
      </c>
      <c r="F3284" s="5">
        <v>23891490</v>
      </c>
      <c r="G3284" s="5">
        <v>4.2631073812021514</v>
      </c>
      <c r="H3284" s="5">
        <v>2501.7267015706807</v>
      </c>
      <c r="I3284" s="5">
        <v>106.65129567216481</v>
      </c>
    </row>
    <row r="3285" spans="1:9" x14ac:dyDescent="0.2">
      <c r="A3285" s="5" t="s">
        <v>108</v>
      </c>
      <c r="B3285" s="5" t="s">
        <v>65</v>
      </c>
      <c r="C3285" s="5" t="s">
        <v>52</v>
      </c>
      <c r="D3285" s="5">
        <v>224795</v>
      </c>
      <c r="E3285" s="5">
        <v>9257</v>
      </c>
      <c r="F3285" s="5">
        <v>23906355</v>
      </c>
      <c r="G3285" s="5">
        <v>4.117974154229409</v>
      </c>
      <c r="H3285" s="5">
        <v>2582.516474019661</v>
      </c>
      <c r="I3285" s="5">
        <v>106.34736092884629</v>
      </c>
    </row>
    <row r="3286" spans="1:9" x14ac:dyDescent="0.2">
      <c r="A3286" s="5" t="s">
        <v>108</v>
      </c>
      <c r="B3286" s="5" t="s">
        <v>65</v>
      </c>
      <c r="C3286" s="5" t="s">
        <v>53</v>
      </c>
      <c r="D3286" s="5">
        <v>225317</v>
      </c>
      <c r="E3286" s="5">
        <v>9063</v>
      </c>
      <c r="F3286" s="5">
        <v>24414845</v>
      </c>
      <c r="G3286" s="5">
        <v>4.0223329797574081</v>
      </c>
      <c r="H3286" s="5">
        <v>2693.9032329250799</v>
      </c>
      <c r="I3286" s="5">
        <v>108.35775818069654</v>
      </c>
    </row>
    <row r="3287" spans="1:9" x14ac:dyDescent="0.2">
      <c r="A3287" s="5" t="s">
        <v>108</v>
      </c>
      <c r="B3287" s="5" t="s">
        <v>65</v>
      </c>
      <c r="C3287" s="5" t="s">
        <v>54</v>
      </c>
      <c r="D3287" s="5">
        <v>225644</v>
      </c>
      <c r="E3287" s="5">
        <v>9060</v>
      </c>
      <c r="F3287" s="5">
        <v>24235445</v>
      </c>
      <c r="G3287" s="5">
        <v>4.0151743454290827</v>
      </c>
      <c r="H3287" s="5">
        <v>2674.9939293598236</v>
      </c>
      <c r="I3287" s="5">
        <v>107.40566999344099</v>
      </c>
    </row>
    <row r="3288" spans="1:9" x14ac:dyDescent="0.2">
      <c r="A3288" s="5" t="s">
        <v>108</v>
      </c>
      <c r="B3288" s="5" t="s">
        <v>65</v>
      </c>
      <c r="C3288" s="5" t="s">
        <v>55</v>
      </c>
      <c r="D3288" s="5">
        <v>225959</v>
      </c>
      <c r="E3288" s="5">
        <v>8933</v>
      </c>
      <c r="F3288" s="5">
        <v>23880433</v>
      </c>
      <c r="G3288" s="5">
        <v>3.9533720719245529</v>
      </c>
      <c r="H3288" s="5">
        <v>2673.2825478562631</v>
      </c>
      <c r="I3288" s="5">
        <v>105.68480565058263</v>
      </c>
    </row>
    <row r="3289" spans="1:9" x14ac:dyDescent="0.2">
      <c r="A3289" s="5" t="s">
        <v>108</v>
      </c>
      <c r="B3289" s="5" t="s">
        <v>65</v>
      </c>
      <c r="C3289" s="5" t="s">
        <v>56</v>
      </c>
      <c r="D3289" s="5">
        <v>226153</v>
      </c>
      <c r="E3289" s="5">
        <v>8806</v>
      </c>
      <c r="F3289" s="5">
        <v>23287242</v>
      </c>
      <c r="G3289" s="5">
        <v>3.8938240925391217</v>
      </c>
      <c r="H3289" s="5">
        <v>2644.4744492391551</v>
      </c>
      <c r="I3289" s="5">
        <v>102.97118322551547</v>
      </c>
    </row>
    <row r="3290" spans="1:9" x14ac:dyDescent="0.2">
      <c r="A3290" s="5" t="s">
        <v>108</v>
      </c>
      <c r="B3290" s="5" t="s">
        <v>65</v>
      </c>
      <c r="C3290" s="5" t="s">
        <v>57</v>
      </c>
      <c r="D3290" s="5">
        <v>226292</v>
      </c>
      <c r="E3290" s="5">
        <v>8587</v>
      </c>
      <c r="F3290" s="5">
        <v>22400655</v>
      </c>
      <c r="G3290" s="5">
        <v>3.7946546939352697</v>
      </c>
      <c r="H3290" s="5">
        <v>2608.6706649586586</v>
      </c>
      <c r="I3290" s="5">
        <v>98.990043837166141</v>
      </c>
    </row>
    <row r="3291" spans="1:9" x14ac:dyDescent="0.2">
      <c r="A3291" s="5" t="s">
        <v>108</v>
      </c>
      <c r="B3291" s="5" t="s">
        <v>65</v>
      </c>
      <c r="C3291" s="5" t="s">
        <v>58</v>
      </c>
      <c r="D3291" s="5">
        <v>226516</v>
      </c>
      <c r="E3291" s="5">
        <v>8119</v>
      </c>
      <c r="F3291" s="5">
        <v>21283610</v>
      </c>
      <c r="G3291" s="5">
        <v>3.5842942661887021</v>
      </c>
      <c r="H3291" s="5">
        <v>2621.4570759945805</v>
      </c>
      <c r="I3291" s="5">
        <v>93.960735665471759</v>
      </c>
    </row>
    <row r="3292" spans="1:9" x14ac:dyDescent="0.2">
      <c r="A3292" s="5" t="s">
        <v>108</v>
      </c>
      <c r="B3292" s="5" t="s">
        <v>65</v>
      </c>
      <c r="C3292" s="5" t="s">
        <v>59</v>
      </c>
      <c r="D3292" s="5">
        <v>226824</v>
      </c>
      <c r="E3292" s="5">
        <v>8061</v>
      </c>
      <c r="F3292" s="5">
        <v>21661884</v>
      </c>
      <c r="G3292" s="5">
        <v>3.5538567347370646</v>
      </c>
      <c r="H3292" s="5">
        <v>2687.2452549311502</v>
      </c>
      <c r="I3292" s="5">
        <v>95.50084647127288</v>
      </c>
    </row>
    <row r="3293" spans="1:9" x14ac:dyDescent="0.2">
      <c r="A3293" s="5" t="s">
        <v>108</v>
      </c>
      <c r="B3293" s="5" t="s">
        <v>65</v>
      </c>
      <c r="C3293" s="5" t="s">
        <v>60</v>
      </c>
      <c r="D3293" s="5">
        <v>227344</v>
      </c>
      <c r="E3293" s="5">
        <v>7932</v>
      </c>
      <c r="F3293" s="5">
        <v>21957503</v>
      </c>
      <c r="G3293" s="5">
        <v>3.4889858540361742</v>
      </c>
      <c r="H3293" s="5">
        <v>2768.2177256681794</v>
      </c>
      <c r="I3293" s="5">
        <v>96.582724857484692</v>
      </c>
    </row>
    <row r="3294" spans="1:9" x14ac:dyDescent="0.2">
      <c r="A3294" s="5" t="s">
        <v>108</v>
      </c>
      <c r="B3294" s="5" t="s">
        <v>65</v>
      </c>
      <c r="C3294" s="5" t="s">
        <v>61</v>
      </c>
      <c r="D3294" s="5">
        <v>228071</v>
      </c>
      <c r="E3294" s="5">
        <v>8028</v>
      </c>
      <c r="F3294" s="5">
        <v>21937697</v>
      </c>
      <c r="G3294" s="5">
        <v>3.5199565047726367</v>
      </c>
      <c r="H3294" s="5">
        <v>2732.6478574987545</v>
      </c>
      <c r="I3294" s="5">
        <v>96.188016012557497</v>
      </c>
    </row>
    <row r="3295" spans="1:9" x14ac:dyDescent="0.2">
      <c r="A3295" s="5" t="s">
        <v>108</v>
      </c>
      <c r="B3295" s="5" t="s">
        <v>65</v>
      </c>
      <c r="C3295" s="5" t="s">
        <v>62</v>
      </c>
      <c r="D3295" s="5">
        <v>228998</v>
      </c>
      <c r="E3295" s="5">
        <v>8060</v>
      </c>
      <c r="F3295" s="5">
        <v>22080993</v>
      </c>
      <c r="G3295" s="5">
        <v>3.5196813945973329</v>
      </c>
      <c r="H3295" s="5">
        <v>2739.5772952853599</v>
      </c>
      <c r="I3295" s="5">
        <v>96.424392352771633</v>
      </c>
    </row>
    <row r="3296" spans="1:9" x14ac:dyDescent="0.2">
      <c r="A3296" s="5" t="s">
        <v>109</v>
      </c>
      <c r="B3296" s="5" t="s">
        <v>44</v>
      </c>
      <c r="C3296" s="5" t="s">
        <v>45</v>
      </c>
      <c r="D3296" s="5">
        <v>1839007</v>
      </c>
      <c r="E3296" s="5">
        <v>15768</v>
      </c>
      <c r="F3296" s="5">
        <v>149785689</v>
      </c>
      <c r="G3296" s="5">
        <v>0.85741924854010887</v>
      </c>
      <c r="H3296" s="5">
        <v>9499.3460806697112</v>
      </c>
      <c r="I3296" s="5">
        <v>81.449221781102523</v>
      </c>
    </row>
    <row r="3297" spans="1:9" x14ac:dyDescent="0.2">
      <c r="A3297" s="5" t="s">
        <v>109</v>
      </c>
      <c r="B3297" s="5" t="s">
        <v>44</v>
      </c>
      <c r="C3297" s="5" t="s">
        <v>46</v>
      </c>
      <c r="D3297" s="5">
        <v>1854722</v>
      </c>
      <c r="E3297" s="5">
        <v>15751</v>
      </c>
      <c r="F3297" s="5">
        <v>151882561</v>
      </c>
      <c r="G3297" s="5">
        <v>0.84923778334435029</v>
      </c>
      <c r="H3297" s="5">
        <v>9642.7249698431842</v>
      </c>
      <c r="I3297" s="5">
        <v>81.889663787888423</v>
      </c>
    </row>
    <row r="3298" spans="1:9" x14ac:dyDescent="0.2">
      <c r="A3298" s="5" t="s">
        <v>109</v>
      </c>
      <c r="B3298" s="5" t="s">
        <v>44</v>
      </c>
      <c r="C3298" s="5" t="s">
        <v>47</v>
      </c>
      <c r="D3298" s="5">
        <v>1869722</v>
      </c>
      <c r="E3298" s="5">
        <v>15870</v>
      </c>
      <c r="F3298" s="5">
        <v>153608081</v>
      </c>
      <c r="G3298" s="5">
        <v>0.84878928525203212</v>
      </c>
      <c r="H3298" s="5">
        <v>9679.1481411468176</v>
      </c>
      <c r="I3298" s="5">
        <v>82.15557232572543</v>
      </c>
    </row>
    <row r="3299" spans="1:9" x14ac:dyDescent="0.2">
      <c r="A3299" s="5" t="s">
        <v>109</v>
      </c>
      <c r="B3299" s="5" t="s">
        <v>44</v>
      </c>
      <c r="C3299" s="5" t="s">
        <v>48</v>
      </c>
      <c r="D3299" s="5">
        <v>1884016</v>
      </c>
      <c r="E3299" s="5">
        <v>15877</v>
      </c>
      <c r="F3299" s="5">
        <v>158001881</v>
      </c>
      <c r="G3299" s="5">
        <v>0.84272108092500275</v>
      </c>
      <c r="H3299" s="5">
        <v>9951.6206462177997</v>
      </c>
      <c r="I3299" s="5">
        <v>83.864405079362385</v>
      </c>
    </row>
    <row r="3300" spans="1:9" x14ac:dyDescent="0.2">
      <c r="A3300" s="5" t="s">
        <v>109</v>
      </c>
      <c r="B3300" s="5" t="s">
        <v>44</v>
      </c>
      <c r="C3300" s="5" t="s">
        <v>49</v>
      </c>
      <c r="D3300" s="5">
        <v>1896053</v>
      </c>
      <c r="E3300" s="5">
        <v>15795</v>
      </c>
      <c r="F3300" s="5">
        <v>159439909</v>
      </c>
      <c r="G3300" s="5">
        <v>0.83304633362042091</v>
      </c>
      <c r="H3300" s="5">
        <v>10094.327888572334</v>
      </c>
      <c r="I3300" s="5">
        <v>84.090428379375467</v>
      </c>
    </row>
    <row r="3301" spans="1:9" x14ac:dyDescent="0.2">
      <c r="A3301" s="5" t="s">
        <v>109</v>
      </c>
      <c r="B3301" s="5" t="s">
        <v>44</v>
      </c>
      <c r="C3301" s="5" t="s">
        <v>50</v>
      </c>
      <c r="D3301" s="5">
        <v>1899457</v>
      </c>
      <c r="E3301" s="5">
        <v>15613</v>
      </c>
      <c r="F3301" s="5">
        <v>155455539</v>
      </c>
      <c r="G3301" s="5">
        <v>0.82197175297993053</v>
      </c>
      <c r="H3301" s="5">
        <v>9956.8013194133091</v>
      </c>
      <c r="I3301" s="5">
        <v>81.842094345910439</v>
      </c>
    </row>
    <row r="3302" spans="1:9" x14ac:dyDescent="0.2">
      <c r="A3302" s="5" t="s">
        <v>109</v>
      </c>
      <c r="B3302" s="5" t="s">
        <v>44</v>
      </c>
      <c r="C3302" s="5" t="s">
        <v>51</v>
      </c>
      <c r="D3302" s="5">
        <v>1902055</v>
      </c>
      <c r="E3302" s="5">
        <v>15379</v>
      </c>
      <c r="F3302" s="5">
        <v>155879835</v>
      </c>
      <c r="G3302" s="5">
        <v>0.8085465457097718</v>
      </c>
      <c r="H3302" s="5">
        <v>10135.88887443917</v>
      </c>
      <c r="I3302" s="5">
        <v>81.953379371258976</v>
      </c>
    </row>
    <row r="3303" spans="1:9" x14ac:dyDescent="0.2">
      <c r="A3303" s="5" t="s">
        <v>109</v>
      </c>
      <c r="B3303" s="5" t="s">
        <v>44</v>
      </c>
      <c r="C3303" s="5" t="s">
        <v>52</v>
      </c>
      <c r="D3303" s="5">
        <v>1906461</v>
      </c>
      <c r="E3303" s="5">
        <v>15349</v>
      </c>
      <c r="F3303" s="5">
        <v>157976042</v>
      </c>
      <c r="G3303" s="5">
        <v>0.80510432681287469</v>
      </c>
      <c r="H3303" s="5">
        <v>10292.269333507069</v>
      </c>
      <c r="I3303" s="5">
        <v>82.863505731300037</v>
      </c>
    </row>
    <row r="3304" spans="1:9" x14ac:dyDescent="0.2">
      <c r="A3304" s="5" t="s">
        <v>109</v>
      </c>
      <c r="B3304" s="5" t="s">
        <v>44</v>
      </c>
      <c r="C3304" s="5" t="s">
        <v>53</v>
      </c>
      <c r="D3304" s="5">
        <v>1915620</v>
      </c>
      <c r="E3304" s="5">
        <v>15616</v>
      </c>
      <c r="F3304" s="5">
        <v>162566896</v>
      </c>
      <c r="G3304" s="5">
        <v>0.81519299234712517</v>
      </c>
      <c r="H3304" s="5">
        <v>10410.277663934427</v>
      </c>
      <c r="I3304" s="5">
        <v>84.863854000271459</v>
      </c>
    </row>
    <row r="3305" spans="1:9" x14ac:dyDescent="0.2">
      <c r="A3305" s="5" t="s">
        <v>109</v>
      </c>
      <c r="B3305" s="5" t="s">
        <v>44</v>
      </c>
      <c r="C3305" s="5" t="s">
        <v>54</v>
      </c>
      <c r="D3305" s="5">
        <v>1927035</v>
      </c>
      <c r="E3305" s="5">
        <v>15949</v>
      </c>
      <c r="F3305" s="5">
        <v>171670588</v>
      </c>
      <c r="G3305" s="5">
        <v>0.82764454200364812</v>
      </c>
      <c r="H3305" s="5">
        <v>10763.721111041445</v>
      </c>
      <c r="I3305" s="5">
        <v>89.085350292028949</v>
      </c>
    </row>
    <row r="3306" spans="1:9" x14ac:dyDescent="0.2">
      <c r="A3306" s="5" t="s">
        <v>109</v>
      </c>
      <c r="B3306" s="5" t="s">
        <v>44</v>
      </c>
      <c r="C3306" s="5" t="s">
        <v>55</v>
      </c>
      <c r="D3306" s="5">
        <v>1941597</v>
      </c>
      <c r="E3306" s="5">
        <v>16169</v>
      </c>
      <c r="F3306" s="5">
        <v>174295668</v>
      </c>
      <c r="G3306" s="5">
        <v>0.83276807700053102</v>
      </c>
      <c r="H3306" s="5">
        <v>10779.619518832333</v>
      </c>
      <c r="I3306" s="5">
        <v>89.769230174953918</v>
      </c>
    </row>
    <row r="3307" spans="1:9" x14ac:dyDescent="0.2">
      <c r="A3307" s="5" t="s">
        <v>109</v>
      </c>
      <c r="B3307" s="5" t="s">
        <v>44</v>
      </c>
      <c r="C3307" s="5" t="s">
        <v>56</v>
      </c>
      <c r="D3307" s="5">
        <v>1956968</v>
      </c>
      <c r="E3307" s="5">
        <v>16393</v>
      </c>
      <c r="F3307" s="5">
        <v>180334963</v>
      </c>
      <c r="G3307" s="5">
        <v>0.83767338045384487</v>
      </c>
      <c r="H3307" s="5">
        <v>11000.729762703593</v>
      </c>
      <c r="I3307" s="5">
        <v>92.150184877831421</v>
      </c>
    </row>
    <row r="3308" spans="1:9" x14ac:dyDescent="0.2">
      <c r="A3308" s="5" t="s">
        <v>109</v>
      </c>
      <c r="B3308" s="5" t="s">
        <v>44</v>
      </c>
      <c r="C3308" s="5" t="s">
        <v>57</v>
      </c>
      <c r="D3308" s="5">
        <v>1972479</v>
      </c>
      <c r="E3308" s="5">
        <v>16294</v>
      </c>
      <c r="F3308" s="5">
        <v>182104986</v>
      </c>
      <c r="G3308" s="5">
        <v>0.82606709627833808</v>
      </c>
      <c r="H3308" s="5">
        <v>11176.198968945624</v>
      </c>
      <c r="I3308" s="5">
        <v>92.322902297058675</v>
      </c>
    </row>
    <row r="3309" spans="1:9" x14ac:dyDescent="0.2">
      <c r="A3309" s="5" t="s">
        <v>109</v>
      </c>
      <c r="B3309" s="5" t="s">
        <v>44</v>
      </c>
      <c r="C3309" s="5" t="s">
        <v>58</v>
      </c>
      <c r="D3309" s="5">
        <v>1989834</v>
      </c>
      <c r="E3309" s="5">
        <v>16201</v>
      </c>
      <c r="F3309" s="5">
        <v>184549781</v>
      </c>
      <c r="G3309" s="5">
        <v>0.8141885202484227</v>
      </c>
      <c r="H3309" s="5">
        <v>11391.25862601074</v>
      </c>
      <c r="I3309" s="5">
        <v>92.746320044787652</v>
      </c>
    </row>
    <row r="3310" spans="1:9" x14ac:dyDescent="0.2">
      <c r="A3310" s="5" t="s">
        <v>109</v>
      </c>
      <c r="B3310" s="5" t="s">
        <v>44</v>
      </c>
      <c r="C3310" s="5" t="s">
        <v>59</v>
      </c>
      <c r="D3310" s="5">
        <v>2007479</v>
      </c>
      <c r="E3310" s="5">
        <v>16344</v>
      </c>
      <c r="F3310" s="5">
        <v>186209012</v>
      </c>
      <c r="G3310" s="5">
        <v>0.81415546563625318</v>
      </c>
      <c r="H3310" s="5">
        <v>11393.111355849242</v>
      </c>
      <c r="I3310" s="5">
        <v>92.757638809671235</v>
      </c>
    </row>
    <row r="3311" spans="1:9" x14ac:dyDescent="0.2">
      <c r="A3311" s="5" t="s">
        <v>109</v>
      </c>
      <c r="B3311" s="5" t="s">
        <v>44</v>
      </c>
      <c r="C3311" s="5" t="s">
        <v>60</v>
      </c>
      <c r="D3311" s="5">
        <v>2026810</v>
      </c>
      <c r="E3311" s="5">
        <v>16305</v>
      </c>
      <c r="F3311" s="5">
        <v>185702788</v>
      </c>
      <c r="G3311" s="5">
        <v>0.80446613150714674</v>
      </c>
      <c r="H3311" s="5">
        <v>11389.315424716344</v>
      </c>
      <c r="I3311" s="5">
        <v>91.623185202362336</v>
      </c>
    </row>
    <row r="3312" spans="1:9" x14ac:dyDescent="0.2">
      <c r="A3312" s="5" t="s">
        <v>109</v>
      </c>
      <c r="B3312" s="5" t="s">
        <v>44</v>
      </c>
      <c r="C3312" s="5" t="s">
        <v>61</v>
      </c>
      <c r="D3312" s="5">
        <v>2047569</v>
      </c>
      <c r="E3312" s="5">
        <v>16157</v>
      </c>
      <c r="F3312" s="5">
        <v>183679244</v>
      </c>
      <c r="G3312" s="5">
        <v>0.7890820773317041</v>
      </c>
      <c r="H3312" s="5">
        <v>11368.400321841926</v>
      </c>
      <c r="I3312" s="5">
        <v>89.706009418974404</v>
      </c>
    </row>
    <row r="3313" spans="1:9" x14ac:dyDescent="0.2">
      <c r="A3313" s="5" t="s">
        <v>109</v>
      </c>
      <c r="B3313" s="5" t="s">
        <v>44</v>
      </c>
      <c r="C3313" s="5" t="s">
        <v>62</v>
      </c>
      <c r="D3313" s="5">
        <v>2067301</v>
      </c>
      <c r="E3313" s="5">
        <v>16154</v>
      </c>
      <c r="F3313" s="5">
        <v>181034322</v>
      </c>
      <c r="G3313" s="5">
        <v>0.78140532027024612</v>
      </c>
      <c r="H3313" s="5">
        <v>11206.779868763155</v>
      </c>
      <c r="I3313" s="5">
        <v>87.57037412549019</v>
      </c>
    </row>
    <row r="3314" spans="1:9" x14ac:dyDescent="0.2">
      <c r="A3314" s="5" t="s">
        <v>109</v>
      </c>
      <c r="B3314" s="5" t="s">
        <v>63</v>
      </c>
      <c r="C3314" s="5" t="s">
        <v>45</v>
      </c>
      <c r="D3314" s="5">
        <v>1839007</v>
      </c>
      <c r="E3314" s="5">
        <v>62996</v>
      </c>
      <c r="F3314" s="5">
        <v>155723051</v>
      </c>
      <c r="G3314" s="5">
        <v>3.425544329086295</v>
      </c>
      <c r="H3314" s="5">
        <v>2471.9514096133089</v>
      </c>
      <c r="I3314" s="5">
        <v>84.677791329777435</v>
      </c>
    </row>
    <row r="3315" spans="1:9" x14ac:dyDescent="0.2">
      <c r="A3315" s="5" t="s">
        <v>109</v>
      </c>
      <c r="B3315" s="5" t="s">
        <v>63</v>
      </c>
      <c r="C3315" s="5" t="s">
        <v>46</v>
      </c>
      <c r="D3315" s="5">
        <v>1854722</v>
      </c>
      <c r="E3315" s="5">
        <v>62795</v>
      </c>
      <c r="F3315" s="5">
        <v>156844133</v>
      </c>
      <c r="G3315" s="5">
        <v>3.385682598254617</v>
      </c>
      <c r="H3315" s="5">
        <v>2497.7169042121186</v>
      </c>
      <c r="I3315" s="5">
        <v>84.564766579573657</v>
      </c>
    </row>
    <row r="3316" spans="1:9" x14ac:dyDescent="0.2">
      <c r="A3316" s="5" t="s">
        <v>109</v>
      </c>
      <c r="B3316" s="5" t="s">
        <v>63</v>
      </c>
      <c r="C3316" s="5" t="s">
        <v>47</v>
      </c>
      <c r="D3316" s="5">
        <v>1869722</v>
      </c>
      <c r="E3316" s="5">
        <v>63464</v>
      </c>
      <c r="F3316" s="5">
        <v>159324418</v>
      </c>
      <c r="G3316" s="5">
        <v>3.3943013988175781</v>
      </c>
      <c r="H3316" s="5">
        <v>2510.4692108912141</v>
      </c>
      <c r="I3316" s="5">
        <v>85.212891542165096</v>
      </c>
    </row>
    <row r="3317" spans="1:9" x14ac:dyDescent="0.2">
      <c r="A3317" s="5" t="s">
        <v>109</v>
      </c>
      <c r="B3317" s="5" t="s">
        <v>63</v>
      </c>
      <c r="C3317" s="5" t="s">
        <v>48</v>
      </c>
      <c r="D3317" s="5">
        <v>1884016</v>
      </c>
      <c r="E3317" s="5">
        <v>64386</v>
      </c>
      <c r="F3317" s="5">
        <v>162342278</v>
      </c>
      <c r="G3317" s="5">
        <v>3.4174869003235639</v>
      </c>
      <c r="H3317" s="5">
        <v>2521.3909545553383</v>
      </c>
      <c r="I3317" s="5">
        <v>86.168205577871944</v>
      </c>
    </row>
    <row r="3318" spans="1:9" x14ac:dyDescent="0.2">
      <c r="A3318" s="5" t="s">
        <v>109</v>
      </c>
      <c r="B3318" s="5" t="s">
        <v>63</v>
      </c>
      <c r="C3318" s="5" t="s">
        <v>49</v>
      </c>
      <c r="D3318" s="5">
        <v>1896053</v>
      </c>
      <c r="E3318" s="5">
        <v>64593</v>
      </c>
      <c r="F3318" s="5">
        <v>162919788</v>
      </c>
      <c r="G3318" s="5">
        <v>3.4067085677457327</v>
      </c>
      <c r="H3318" s="5">
        <v>2522.2514513956621</v>
      </c>
      <c r="I3318" s="5">
        <v>85.925756294787121</v>
      </c>
    </row>
    <row r="3319" spans="1:9" x14ac:dyDescent="0.2">
      <c r="A3319" s="5" t="s">
        <v>109</v>
      </c>
      <c r="B3319" s="5" t="s">
        <v>63</v>
      </c>
      <c r="C3319" s="5" t="s">
        <v>50</v>
      </c>
      <c r="D3319" s="5">
        <v>1899457</v>
      </c>
      <c r="E3319" s="5">
        <v>64616</v>
      </c>
      <c r="F3319" s="5">
        <v>164523591</v>
      </c>
      <c r="G3319" s="5">
        <v>3.4018143079838081</v>
      </c>
      <c r="H3319" s="5">
        <v>2546.1741828649251</v>
      </c>
      <c r="I3319" s="5">
        <v>86.616117658888825</v>
      </c>
    </row>
    <row r="3320" spans="1:9" x14ac:dyDescent="0.2">
      <c r="A3320" s="5" t="s">
        <v>109</v>
      </c>
      <c r="B3320" s="5" t="s">
        <v>63</v>
      </c>
      <c r="C3320" s="5" t="s">
        <v>51</v>
      </c>
      <c r="D3320" s="5">
        <v>1902055</v>
      </c>
      <c r="E3320" s="5">
        <v>63871</v>
      </c>
      <c r="F3320" s="5">
        <v>163893652</v>
      </c>
      <c r="G3320" s="5">
        <v>3.3579996372344647</v>
      </c>
      <c r="H3320" s="5">
        <v>2566.0104272674612</v>
      </c>
      <c r="I3320" s="5">
        <v>86.166620839039879</v>
      </c>
    </row>
    <row r="3321" spans="1:9" x14ac:dyDescent="0.2">
      <c r="A3321" s="5" t="s">
        <v>109</v>
      </c>
      <c r="B3321" s="5" t="s">
        <v>63</v>
      </c>
      <c r="C3321" s="5" t="s">
        <v>52</v>
      </c>
      <c r="D3321" s="5">
        <v>1906461</v>
      </c>
      <c r="E3321" s="5">
        <v>62995</v>
      </c>
      <c r="F3321" s="5">
        <v>163702237</v>
      </c>
      <c r="G3321" s="5">
        <v>3.3042899907210272</v>
      </c>
      <c r="H3321" s="5">
        <v>2598.6544487657752</v>
      </c>
      <c r="I3321" s="5">
        <v>85.867078843994193</v>
      </c>
    </row>
    <row r="3322" spans="1:9" x14ac:dyDescent="0.2">
      <c r="A3322" s="5" t="s">
        <v>109</v>
      </c>
      <c r="B3322" s="5" t="s">
        <v>63</v>
      </c>
      <c r="C3322" s="5" t="s">
        <v>53</v>
      </c>
      <c r="D3322" s="5">
        <v>1915620</v>
      </c>
      <c r="E3322" s="5">
        <v>62820</v>
      </c>
      <c r="F3322" s="5">
        <v>165599814</v>
      </c>
      <c r="G3322" s="5">
        <v>3.2793560309455945</v>
      </c>
      <c r="H3322" s="5">
        <v>2636.1001910219675</v>
      </c>
      <c r="I3322" s="5">
        <v>86.447110596047239</v>
      </c>
    </row>
    <row r="3323" spans="1:9" x14ac:dyDescent="0.2">
      <c r="A3323" s="5" t="s">
        <v>109</v>
      </c>
      <c r="B3323" s="5" t="s">
        <v>63</v>
      </c>
      <c r="C3323" s="5" t="s">
        <v>54</v>
      </c>
      <c r="D3323" s="5">
        <v>1927035</v>
      </c>
      <c r="E3323" s="5">
        <v>63130</v>
      </c>
      <c r="F3323" s="5">
        <v>167519261</v>
      </c>
      <c r="G3323" s="5">
        <v>3.2760173011906892</v>
      </c>
      <c r="H3323" s="5">
        <v>2653.5602882939966</v>
      </c>
      <c r="I3323" s="5">
        <v>86.931094142036855</v>
      </c>
    </row>
    <row r="3324" spans="1:9" x14ac:dyDescent="0.2">
      <c r="A3324" s="5" t="s">
        <v>109</v>
      </c>
      <c r="B3324" s="5" t="s">
        <v>63</v>
      </c>
      <c r="C3324" s="5" t="s">
        <v>55</v>
      </c>
      <c r="D3324" s="5">
        <v>1941597</v>
      </c>
      <c r="E3324" s="5">
        <v>64265</v>
      </c>
      <c r="F3324" s="5">
        <v>169979268</v>
      </c>
      <c r="G3324" s="5">
        <v>3.3099041665185926</v>
      </c>
      <c r="H3324" s="5">
        <v>2644.9742161363106</v>
      </c>
      <c r="I3324" s="5">
        <v>87.546111783238231</v>
      </c>
    </row>
    <row r="3325" spans="1:9" x14ac:dyDescent="0.2">
      <c r="A3325" s="5" t="s">
        <v>109</v>
      </c>
      <c r="B3325" s="5" t="s">
        <v>63</v>
      </c>
      <c r="C3325" s="5" t="s">
        <v>56</v>
      </c>
      <c r="D3325" s="5">
        <v>1956968</v>
      </c>
      <c r="E3325" s="5">
        <v>65246</v>
      </c>
      <c r="F3325" s="5">
        <v>171795595</v>
      </c>
      <c r="G3325" s="5">
        <v>3.334035099194264</v>
      </c>
      <c r="H3325" s="5">
        <v>2633.0440946571439</v>
      </c>
      <c r="I3325" s="5">
        <v>87.786614293131009</v>
      </c>
    </row>
    <row r="3326" spans="1:9" x14ac:dyDescent="0.2">
      <c r="A3326" s="5" t="s">
        <v>109</v>
      </c>
      <c r="B3326" s="5" t="s">
        <v>63</v>
      </c>
      <c r="C3326" s="5" t="s">
        <v>57</v>
      </c>
      <c r="D3326" s="5">
        <v>1972479</v>
      </c>
      <c r="E3326" s="5">
        <v>65084</v>
      </c>
      <c r="F3326" s="5">
        <v>170912180</v>
      </c>
      <c r="G3326" s="5">
        <v>3.2996042036442468</v>
      </c>
      <c r="H3326" s="5">
        <v>2626.024522155983</v>
      </c>
      <c r="I3326" s="5">
        <v>86.648415521787555</v>
      </c>
    </row>
    <row r="3327" spans="1:9" x14ac:dyDescent="0.2">
      <c r="A3327" s="5" t="s">
        <v>109</v>
      </c>
      <c r="B3327" s="5" t="s">
        <v>63</v>
      </c>
      <c r="C3327" s="5" t="s">
        <v>58</v>
      </c>
      <c r="D3327" s="5">
        <v>1989834</v>
      </c>
      <c r="E3327" s="5">
        <v>65691</v>
      </c>
      <c r="F3327" s="5">
        <v>171394430</v>
      </c>
      <c r="G3327" s="5">
        <v>3.3013306637639119</v>
      </c>
      <c r="H3327" s="5">
        <v>2609.1006378347111</v>
      </c>
      <c r="I3327" s="5">
        <v>86.135039405297121</v>
      </c>
    </row>
    <row r="3328" spans="1:9" x14ac:dyDescent="0.2">
      <c r="A3328" s="5" t="s">
        <v>109</v>
      </c>
      <c r="B3328" s="5" t="s">
        <v>63</v>
      </c>
      <c r="C3328" s="5" t="s">
        <v>59</v>
      </c>
      <c r="D3328" s="5">
        <v>2007479</v>
      </c>
      <c r="E3328" s="5">
        <v>66313</v>
      </c>
      <c r="F3328" s="5">
        <v>174263182</v>
      </c>
      <c r="G3328" s="5">
        <v>3.3032973196730824</v>
      </c>
      <c r="H3328" s="5">
        <v>2627.8886794444529</v>
      </c>
      <c r="I3328" s="5">
        <v>86.806976312080977</v>
      </c>
    </row>
    <row r="3329" spans="1:9" x14ac:dyDescent="0.2">
      <c r="A3329" s="5" t="s">
        <v>109</v>
      </c>
      <c r="B3329" s="5" t="s">
        <v>63</v>
      </c>
      <c r="C3329" s="5" t="s">
        <v>60</v>
      </c>
      <c r="D3329" s="5">
        <v>2026810</v>
      </c>
      <c r="E3329" s="5">
        <v>66725</v>
      </c>
      <c r="F3329" s="5">
        <v>175746085</v>
      </c>
      <c r="G3329" s="5">
        <v>3.2921191428895655</v>
      </c>
      <c r="H3329" s="5">
        <v>2633.8866242038216</v>
      </c>
      <c r="I3329" s="5">
        <v>86.710685757421757</v>
      </c>
    </row>
    <row r="3330" spans="1:9" x14ac:dyDescent="0.2">
      <c r="A3330" s="5" t="s">
        <v>109</v>
      </c>
      <c r="B3330" s="5" t="s">
        <v>63</v>
      </c>
      <c r="C3330" s="5" t="s">
        <v>61</v>
      </c>
      <c r="D3330" s="5">
        <v>2047569</v>
      </c>
      <c r="E3330" s="5">
        <v>66625</v>
      </c>
      <c r="F3330" s="5">
        <v>176085076</v>
      </c>
      <c r="G3330" s="5">
        <v>3.2538586001253194</v>
      </c>
      <c r="H3330" s="5">
        <v>2642.9279699812382</v>
      </c>
      <c r="I3330" s="5">
        <v>85.997139046352046</v>
      </c>
    </row>
    <row r="3331" spans="1:9" x14ac:dyDescent="0.2">
      <c r="A3331" s="5" t="s">
        <v>109</v>
      </c>
      <c r="B3331" s="5" t="s">
        <v>63</v>
      </c>
      <c r="C3331" s="5" t="s">
        <v>62</v>
      </c>
      <c r="D3331" s="5">
        <v>2067301</v>
      </c>
      <c r="E3331" s="5">
        <v>66356</v>
      </c>
      <c r="F3331" s="5">
        <v>176786795</v>
      </c>
      <c r="G3331" s="5">
        <v>3.2097889954099572</v>
      </c>
      <c r="H3331" s="5">
        <v>2664.21717704503</v>
      </c>
      <c r="I3331" s="5">
        <v>85.515749762613183</v>
      </c>
    </row>
    <row r="3332" spans="1:9" x14ac:dyDescent="0.2">
      <c r="A3332" s="5" t="s">
        <v>109</v>
      </c>
      <c r="B3332" s="5" t="s">
        <v>64</v>
      </c>
      <c r="C3332" s="5" t="s">
        <v>45</v>
      </c>
      <c r="D3332" s="5">
        <v>1592188</v>
      </c>
      <c r="E3332" s="5">
        <v>79249</v>
      </c>
      <c r="F3332" s="5">
        <v>83268596</v>
      </c>
      <c r="G3332" s="5">
        <v>4.9773644820837744</v>
      </c>
      <c r="H3332" s="5">
        <v>1050.721094272483</v>
      </c>
      <c r="I3332" s="5">
        <v>52.298218552080534</v>
      </c>
    </row>
    <row r="3333" spans="1:9" x14ac:dyDescent="0.2">
      <c r="A3333" s="5" t="s">
        <v>109</v>
      </c>
      <c r="B3333" s="5" t="s">
        <v>64</v>
      </c>
      <c r="C3333" s="5" t="s">
        <v>46</v>
      </c>
      <c r="D3333" s="5">
        <v>1601831</v>
      </c>
      <c r="E3333" s="5">
        <v>77880</v>
      </c>
      <c r="F3333" s="5">
        <v>82627197</v>
      </c>
      <c r="G3333" s="5">
        <v>4.8619361218505572</v>
      </c>
      <c r="H3333" s="5">
        <v>1060.9552773497689</v>
      </c>
      <c r="I3333" s="5">
        <v>51.582967866148174</v>
      </c>
    </row>
    <row r="3334" spans="1:9" x14ac:dyDescent="0.2">
      <c r="A3334" s="5" t="s">
        <v>109</v>
      </c>
      <c r="B3334" s="5" t="s">
        <v>64</v>
      </c>
      <c r="C3334" s="5" t="s">
        <v>47</v>
      </c>
      <c r="D3334" s="5">
        <v>1609115</v>
      </c>
      <c r="E3334" s="5">
        <v>86335</v>
      </c>
      <c r="F3334" s="5">
        <v>104457470</v>
      </c>
      <c r="G3334" s="5">
        <v>5.3653716483905747</v>
      </c>
      <c r="H3334" s="5">
        <v>1209.9087276307407</v>
      </c>
      <c r="I3334" s="5">
        <v>64.916099843702909</v>
      </c>
    </row>
    <row r="3335" spans="1:9" x14ac:dyDescent="0.2">
      <c r="A3335" s="5" t="s">
        <v>109</v>
      </c>
      <c r="B3335" s="5" t="s">
        <v>64</v>
      </c>
      <c r="C3335" s="5" t="s">
        <v>48</v>
      </c>
      <c r="D3335" s="5">
        <v>1615124</v>
      </c>
      <c r="E3335" s="5">
        <v>86280</v>
      </c>
      <c r="F3335" s="5">
        <v>105714341</v>
      </c>
      <c r="G3335" s="5">
        <v>5.3420047005678821</v>
      </c>
      <c r="H3335" s="5">
        <v>1225.2473458507186</v>
      </c>
      <c r="I3335" s="5">
        <v>65.452770808928605</v>
      </c>
    </row>
    <row r="3336" spans="1:9" x14ac:dyDescent="0.2">
      <c r="A3336" s="5" t="s">
        <v>109</v>
      </c>
      <c r="B3336" s="5" t="s">
        <v>64</v>
      </c>
      <c r="C3336" s="5" t="s">
        <v>49</v>
      </c>
      <c r="D3336" s="5">
        <v>1618400</v>
      </c>
      <c r="E3336" s="5">
        <v>89283</v>
      </c>
      <c r="F3336" s="5">
        <v>112888001</v>
      </c>
      <c r="G3336" s="5">
        <v>5.5167449332674243</v>
      </c>
      <c r="H3336" s="5">
        <v>1264.3840484750735</v>
      </c>
      <c r="I3336" s="5">
        <v>69.752842931290161</v>
      </c>
    </row>
    <row r="3337" spans="1:9" x14ac:dyDescent="0.2">
      <c r="A3337" s="5" t="s">
        <v>109</v>
      </c>
      <c r="B3337" s="5" t="s">
        <v>64</v>
      </c>
      <c r="C3337" s="5" t="s">
        <v>50</v>
      </c>
      <c r="D3337" s="5">
        <v>1617386</v>
      </c>
      <c r="E3337" s="5">
        <v>90222</v>
      </c>
      <c r="F3337" s="5">
        <v>115488717</v>
      </c>
      <c r="G3337" s="5">
        <v>5.5782602297781727</v>
      </c>
      <c r="H3337" s="5">
        <v>1280.0505087450954</v>
      </c>
      <c r="I3337" s="5">
        <v>71.404548450400839</v>
      </c>
    </row>
    <row r="3338" spans="1:9" x14ac:dyDescent="0.2">
      <c r="A3338" s="5" t="s">
        <v>109</v>
      </c>
      <c r="B3338" s="5" t="s">
        <v>64</v>
      </c>
      <c r="C3338" s="5" t="s">
        <v>51</v>
      </c>
      <c r="D3338" s="5">
        <v>1616105</v>
      </c>
      <c r="E3338" s="5">
        <v>99101</v>
      </c>
      <c r="F3338" s="5">
        <v>144792642</v>
      </c>
      <c r="G3338" s="5">
        <v>6.1320891897494283</v>
      </c>
      <c r="H3338" s="5">
        <v>1461.061361641154</v>
      </c>
      <c r="I3338" s="5">
        <v>89.593585812802999</v>
      </c>
    </row>
    <row r="3339" spans="1:9" x14ac:dyDescent="0.2">
      <c r="A3339" s="5" t="s">
        <v>109</v>
      </c>
      <c r="B3339" s="5" t="s">
        <v>64</v>
      </c>
      <c r="C3339" s="5" t="s">
        <v>52</v>
      </c>
      <c r="D3339" s="5">
        <v>1615231</v>
      </c>
      <c r="E3339" s="5">
        <v>102734</v>
      </c>
      <c r="F3339" s="5">
        <v>154830614</v>
      </c>
      <c r="G3339" s="5">
        <v>6.3603286464908111</v>
      </c>
      <c r="H3339" s="5">
        <v>1507.1019720832442</v>
      </c>
      <c r="I3339" s="5">
        <v>95.856638462238521</v>
      </c>
    </row>
    <row r="3340" spans="1:9" x14ac:dyDescent="0.2">
      <c r="A3340" s="5" t="s">
        <v>109</v>
      </c>
      <c r="B3340" s="5" t="s">
        <v>64</v>
      </c>
      <c r="C3340" s="5" t="s">
        <v>53</v>
      </c>
      <c r="D3340" s="5">
        <v>1617595</v>
      </c>
      <c r="E3340" s="5">
        <v>99198</v>
      </c>
      <c r="F3340" s="5">
        <v>148125487</v>
      </c>
      <c r="G3340" s="5">
        <v>6.1324373529839047</v>
      </c>
      <c r="H3340" s="5">
        <v>1493.2305792455493</v>
      </c>
      <c r="I3340" s="5">
        <v>91.571429807832004</v>
      </c>
    </row>
    <row r="3341" spans="1:9" x14ac:dyDescent="0.2">
      <c r="A3341" s="5" t="s">
        <v>109</v>
      </c>
      <c r="B3341" s="5" t="s">
        <v>64</v>
      </c>
      <c r="C3341" s="5" t="s">
        <v>54</v>
      </c>
      <c r="D3341" s="5">
        <v>1621480</v>
      </c>
      <c r="E3341" s="5">
        <v>97843</v>
      </c>
      <c r="F3341" s="5">
        <v>146322824</v>
      </c>
      <c r="G3341" s="5">
        <v>6.0341786516022395</v>
      </c>
      <c r="H3341" s="5">
        <v>1495.4858702206595</v>
      </c>
      <c r="I3341" s="5">
        <v>90.240289118583021</v>
      </c>
    </row>
    <row r="3342" spans="1:9" x14ac:dyDescent="0.2">
      <c r="A3342" s="5" t="s">
        <v>109</v>
      </c>
      <c r="B3342" s="5" t="s">
        <v>64</v>
      </c>
      <c r="C3342" s="5" t="s">
        <v>55</v>
      </c>
      <c r="D3342" s="5">
        <v>1627643</v>
      </c>
      <c r="E3342" s="5">
        <v>79469</v>
      </c>
      <c r="F3342" s="5">
        <v>95264754</v>
      </c>
      <c r="G3342" s="5">
        <v>4.8824588684373662</v>
      </c>
      <c r="H3342" s="5">
        <v>1198.7662358907246</v>
      </c>
      <c r="I3342" s="5">
        <v>58.529268396079488</v>
      </c>
    </row>
    <row r="3343" spans="1:9" x14ac:dyDescent="0.2">
      <c r="A3343" s="5" t="s">
        <v>109</v>
      </c>
      <c r="B3343" s="5" t="s">
        <v>64</v>
      </c>
      <c r="C3343" s="5" t="s">
        <v>56</v>
      </c>
      <c r="D3343" s="5">
        <v>1635146</v>
      </c>
      <c r="E3343" s="5">
        <v>73523</v>
      </c>
      <c r="F3343" s="5">
        <v>81451141</v>
      </c>
      <c r="G3343" s="5">
        <v>4.4964180568585315</v>
      </c>
      <c r="H3343" s="5">
        <v>1107.8321205609129</v>
      </c>
      <c r="I3343" s="5">
        <v>49.812763508579664</v>
      </c>
    </row>
    <row r="3344" spans="1:9" x14ac:dyDescent="0.2">
      <c r="A3344" s="5" t="s">
        <v>109</v>
      </c>
      <c r="B3344" s="5" t="s">
        <v>64</v>
      </c>
      <c r="C3344" s="5" t="s">
        <v>57</v>
      </c>
      <c r="D3344" s="5">
        <v>1643834</v>
      </c>
      <c r="E3344" s="5">
        <v>72117</v>
      </c>
      <c r="F3344" s="5">
        <v>78843484</v>
      </c>
      <c r="G3344" s="5">
        <v>4.387121814003117</v>
      </c>
      <c r="H3344" s="5">
        <v>1093.2718221778498</v>
      </c>
      <c r="I3344" s="5">
        <v>47.963166597113819</v>
      </c>
    </row>
    <row r="3345" spans="1:9" x14ac:dyDescent="0.2">
      <c r="A3345" s="5" t="s">
        <v>109</v>
      </c>
      <c r="B3345" s="5" t="s">
        <v>64</v>
      </c>
      <c r="C3345" s="5" t="s">
        <v>58</v>
      </c>
      <c r="D3345" s="5">
        <v>1654216</v>
      </c>
      <c r="E3345" s="5">
        <v>73498</v>
      </c>
      <c r="F3345" s="5">
        <v>78992057</v>
      </c>
      <c r="G3345" s="5">
        <v>4.4430715214941703</v>
      </c>
      <c r="H3345" s="5">
        <v>1074.7511088737108</v>
      </c>
      <c r="I3345" s="5">
        <v>47.751960445310651</v>
      </c>
    </row>
    <row r="3346" spans="1:9" x14ac:dyDescent="0.2">
      <c r="A3346" s="5" t="s">
        <v>109</v>
      </c>
      <c r="B3346" s="5" t="s">
        <v>64</v>
      </c>
      <c r="C3346" s="5" t="s">
        <v>59</v>
      </c>
      <c r="D3346" s="5">
        <v>1665590</v>
      </c>
      <c r="E3346" s="5">
        <v>74101</v>
      </c>
      <c r="F3346" s="5">
        <v>79374911</v>
      </c>
      <c r="G3346" s="5">
        <v>4.448934011371346</v>
      </c>
      <c r="H3346" s="5">
        <v>1071.1719275043522</v>
      </c>
      <c r="I3346" s="5">
        <v>47.65573220300314</v>
      </c>
    </row>
    <row r="3347" spans="1:9" x14ac:dyDescent="0.2">
      <c r="A3347" s="5" t="s">
        <v>109</v>
      </c>
      <c r="B3347" s="5" t="s">
        <v>64</v>
      </c>
      <c r="C3347" s="5" t="s">
        <v>60</v>
      </c>
      <c r="D3347" s="5">
        <v>1679090</v>
      </c>
      <c r="E3347" s="5">
        <v>73731</v>
      </c>
      <c r="F3347" s="5">
        <v>80328794</v>
      </c>
      <c r="G3347" s="5">
        <v>4.3911285279526409</v>
      </c>
      <c r="H3347" s="5">
        <v>1089.4846672363049</v>
      </c>
      <c r="I3347" s="5">
        <v>47.840672030683287</v>
      </c>
    </row>
    <row r="3348" spans="1:9" x14ac:dyDescent="0.2">
      <c r="A3348" s="5" t="s">
        <v>109</v>
      </c>
      <c r="B3348" s="5" t="s">
        <v>64</v>
      </c>
      <c r="C3348" s="5" t="s">
        <v>61</v>
      </c>
      <c r="D3348" s="5">
        <v>1694051</v>
      </c>
      <c r="E3348" s="5">
        <v>73612</v>
      </c>
      <c r="F3348" s="5">
        <v>81882874</v>
      </c>
      <c r="G3348" s="5">
        <v>4.3453237240201155</v>
      </c>
      <c r="H3348" s="5">
        <v>1112.3576862468076</v>
      </c>
      <c r="I3348" s="5">
        <v>48.335542436443767</v>
      </c>
    </row>
    <row r="3349" spans="1:9" x14ac:dyDescent="0.2">
      <c r="A3349" s="5" t="s">
        <v>109</v>
      </c>
      <c r="B3349" s="5" t="s">
        <v>64</v>
      </c>
      <c r="C3349" s="5" t="s">
        <v>62</v>
      </c>
      <c r="D3349" s="5">
        <v>1708998</v>
      </c>
      <c r="E3349" s="5">
        <v>71572</v>
      </c>
      <c r="F3349" s="5">
        <v>80252732</v>
      </c>
      <c r="G3349" s="5">
        <v>4.1879510684038248</v>
      </c>
      <c r="H3349" s="5">
        <v>1121.28670429777</v>
      </c>
      <c r="I3349" s="5">
        <v>46.958938512508496</v>
      </c>
    </row>
    <row r="3350" spans="1:9" x14ac:dyDescent="0.2">
      <c r="A3350" s="5" t="s">
        <v>109</v>
      </c>
      <c r="B3350" s="5" t="s">
        <v>65</v>
      </c>
      <c r="C3350" s="5" t="s">
        <v>45</v>
      </c>
      <c r="D3350" s="5">
        <v>1489567</v>
      </c>
      <c r="E3350" s="5">
        <v>93064</v>
      </c>
      <c r="F3350" s="5">
        <v>263808943</v>
      </c>
      <c r="G3350" s="5">
        <v>6.2477216533395277</v>
      </c>
      <c r="H3350" s="5">
        <v>2834.7045366629418</v>
      </c>
      <c r="I3350" s="5">
        <v>177.10444914528853</v>
      </c>
    </row>
    <row r="3351" spans="1:9" x14ac:dyDescent="0.2">
      <c r="A3351" s="5" t="s">
        <v>109</v>
      </c>
      <c r="B3351" s="5" t="s">
        <v>65</v>
      </c>
      <c r="C3351" s="5" t="s">
        <v>46</v>
      </c>
      <c r="D3351" s="5">
        <v>1498658</v>
      </c>
      <c r="E3351" s="5">
        <v>91469</v>
      </c>
      <c r="F3351" s="5">
        <v>259314779</v>
      </c>
      <c r="G3351" s="5">
        <v>6.1033938363522564</v>
      </c>
      <c r="H3351" s="5">
        <v>2835.0017929571768</v>
      </c>
      <c r="I3351" s="5">
        <v>173.0313246918243</v>
      </c>
    </row>
    <row r="3352" spans="1:9" x14ac:dyDescent="0.2">
      <c r="A3352" s="5" t="s">
        <v>109</v>
      </c>
      <c r="B3352" s="5" t="s">
        <v>65</v>
      </c>
      <c r="C3352" s="5" t="s">
        <v>47</v>
      </c>
      <c r="D3352" s="5">
        <v>1505431</v>
      </c>
      <c r="E3352" s="5">
        <v>92283</v>
      </c>
      <c r="F3352" s="5">
        <v>262006111</v>
      </c>
      <c r="G3352" s="5">
        <v>6.1300052941649268</v>
      </c>
      <c r="H3352" s="5">
        <v>2839.1590108687406</v>
      </c>
      <c r="I3352" s="5">
        <v>174.04059767601439</v>
      </c>
    </row>
    <row r="3353" spans="1:9" x14ac:dyDescent="0.2">
      <c r="A3353" s="5" t="s">
        <v>109</v>
      </c>
      <c r="B3353" s="5" t="s">
        <v>65</v>
      </c>
      <c r="C3353" s="5" t="s">
        <v>48</v>
      </c>
      <c r="D3353" s="5">
        <v>1511001</v>
      </c>
      <c r="E3353" s="5">
        <v>92157</v>
      </c>
      <c r="F3353" s="5">
        <v>262137785</v>
      </c>
      <c r="G3353" s="5">
        <v>6.0990694248382367</v>
      </c>
      <c r="H3353" s="5">
        <v>2844.4696007899561</v>
      </c>
      <c r="I3353" s="5">
        <v>173.48617572059845</v>
      </c>
    </row>
    <row r="3354" spans="1:9" x14ac:dyDescent="0.2">
      <c r="A3354" s="5" t="s">
        <v>109</v>
      </c>
      <c r="B3354" s="5" t="s">
        <v>65</v>
      </c>
      <c r="C3354" s="5" t="s">
        <v>49</v>
      </c>
      <c r="D3354" s="5">
        <v>1513950</v>
      </c>
      <c r="E3354" s="5">
        <v>91627</v>
      </c>
      <c r="F3354" s="5">
        <v>262455728</v>
      </c>
      <c r="G3354" s="5">
        <v>6.0521813798342086</v>
      </c>
      <c r="H3354" s="5">
        <v>2864.3928972900999</v>
      </c>
      <c r="I3354" s="5">
        <v>173.35825357508503</v>
      </c>
    </row>
    <row r="3355" spans="1:9" x14ac:dyDescent="0.2">
      <c r="A3355" s="5" t="s">
        <v>109</v>
      </c>
      <c r="B3355" s="5" t="s">
        <v>65</v>
      </c>
      <c r="C3355" s="5" t="s">
        <v>50</v>
      </c>
      <c r="D3355" s="5">
        <v>1512837</v>
      </c>
      <c r="E3355" s="5">
        <v>92269</v>
      </c>
      <c r="F3355" s="5">
        <v>266090312</v>
      </c>
      <c r="G3355" s="5">
        <v>6.0990708186010787</v>
      </c>
      <c r="H3355" s="5">
        <v>2883.8538620771874</v>
      </c>
      <c r="I3355" s="5">
        <v>175.88828935304994</v>
      </c>
    </row>
    <row r="3356" spans="1:9" x14ac:dyDescent="0.2">
      <c r="A3356" s="5" t="s">
        <v>109</v>
      </c>
      <c r="B3356" s="5" t="s">
        <v>65</v>
      </c>
      <c r="C3356" s="5" t="s">
        <v>51</v>
      </c>
      <c r="D3356" s="5">
        <v>1511321</v>
      </c>
      <c r="E3356" s="5">
        <v>90691</v>
      </c>
      <c r="F3356" s="5">
        <v>265381338</v>
      </c>
      <c r="G3356" s="5">
        <v>6.0007768038689333</v>
      </c>
      <c r="H3356" s="5">
        <v>2926.2147070822903</v>
      </c>
      <c r="I3356" s="5">
        <v>175.59561337399532</v>
      </c>
    </row>
    <row r="3357" spans="1:9" x14ac:dyDescent="0.2">
      <c r="A3357" s="5" t="s">
        <v>109</v>
      </c>
      <c r="B3357" s="5" t="s">
        <v>65</v>
      </c>
      <c r="C3357" s="5" t="s">
        <v>52</v>
      </c>
      <c r="D3357" s="5">
        <v>1510146</v>
      </c>
      <c r="E3357" s="5">
        <v>89567</v>
      </c>
      <c r="F3357" s="5">
        <v>265643076</v>
      </c>
      <c r="G3357" s="5">
        <v>5.9310159415049934</v>
      </c>
      <c r="H3357" s="5">
        <v>2965.8588096062167</v>
      </c>
      <c r="I3357" s="5">
        <v>175.90555880027495</v>
      </c>
    </row>
    <row r="3358" spans="1:9" x14ac:dyDescent="0.2">
      <c r="A3358" s="5" t="s">
        <v>109</v>
      </c>
      <c r="B3358" s="5" t="s">
        <v>65</v>
      </c>
      <c r="C3358" s="5" t="s">
        <v>53</v>
      </c>
      <c r="D3358" s="5">
        <v>1512043</v>
      </c>
      <c r="E3358" s="5">
        <v>88644</v>
      </c>
      <c r="F3358" s="5">
        <v>265284295</v>
      </c>
      <c r="G3358" s="5">
        <v>5.8625316872602165</v>
      </c>
      <c r="H3358" s="5">
        <v>2992.6931884842743</v>
      </c>
      <c r="I3358" s="5">
        <v>175.4475864773687</v>
      </c>
    </row>
    <row r="3359" spans="1:9" x14ac:dyDescent="0.2">
      <c r="A3359" s="5" t="s">
        <v>109</v>
      </c>
      <c r="B3359" s="5" t="s">
        <v>65</v>
      </c>
      <c r="C3359" s="5" t="s">
        <v>54</v>
      </c>
      <c r="D3359" s="5">
        <v>1515493</v>
      </c>
      <c r="E3359" s="5">
        <v>87059</v>
      </c>
      <c r="F3359" s="5">
        <v>261656699</v>
      </c>
      <c r="G3359" s="5">
        <v>5.744599282213775</v>
      </c>
      <c r="H3359" s="5">
        <v>3005.510044912071</v>
      </c>
      <c r="I3359" s="5">
        <v>172.65450846688174</v>
      </c>
    </row>
    <row r="3360" spans="1:9" x14ac:dyDescent="0.2">
      <c r="A3360" s="5" t="s">
        <v>109</v>
      </c>
      <c r="B3360" s="5" t="s">
        <v>65</v>
      </c>
      <c r="C3360" s="5" t="s">
        <v>55</v>
      </c>
      <c r="D3360" s="5">
        <v>1521371</v>
      </c>
      <c r="E3360" s="5">
        <v>87252</v>
      </c>
      <c r="F3360" s="5">
        <v>262309597</v>
      </c>
      <c r="G3360" s="5">
        <v>5.7350902574059841</v>
      </c>
      <c r="H3360" s="5">
        <v>3006.3448058497224</v>
      </c>
      <c r="I3360" s="5">
        <v>172.41658806431829</v>
      </c>
    </row>
    <row r="3361" spans="1:9" x14ac:dyDescent="0.2">
      <c r="A3361" s="5" t="s">
        <v>109</v>
      </c>
      <c r="B3361" s="5" t="s">
        <v>65</v>
      </c>
      <c r="C3361" s="5" t="s">
        <v>56</v>
      </c>
      <c r="D3361" s="5">
        <v>1528477</v>
      </c>
      <c r="E3361" s="5">
        <v>86922</v>
      </c>
      <c r="F3361" s="5">
        <v>261698577</v>
      </c>
      <c r="G3361" s="5">
        <v>5.6868372896680812</v>
      </c>
      <c r="H3361" s="5">
        <v>3010.7288948712639</v>
      </c>
      <c r="I3361" s="5">
        <v>171.21525348435077</v>
      </c>
    </row>
    <row r="3362" spans="1:9" x14ac:dyDescent="0.2">
      <c r="A3362" s="5" t="s">
        <v>109</v>
      </c>
      <c r="B3362" s="5" t="s">
        <v>65</v>
      </c>
      <c r="C3362" s="5" t="s">
        <v>57</v>
      </c>
      <c r="D3362" s="5">
        <v>1536620</v>
      </c>
      <c r="E3362" s="5">
        <v>86478</v>
      </c>
      <c r="F3362" s="5">
        <v>257807550</v>
      </c>
      <c r="G3362" s="5">
        <v>5.6278064843617814</v>
      </c>
      <c r="H3362" s="5">
        <v>2981.192326372025</v>
      </c>
      <c r="I3362" s="5">
        <v>167.77573505486066</v>
      </c>
    </row>
    <row r="3363" spans="1:9" x14ac:dyDescent="0.2">
      <c r="A3363" s="5" t="s">
        <v>109</v>
      </c>
      <c r="B3363" s="5" t="s">
        <v>65</v>
      </c>
      <c r="C3363" s="5" t="s">
        <v>58</v>
      </c>
      <c r="D3363" s="5">
        <v>1546475</v>
      </c>
      <c r="E3363" s="5">
        <v>87873</v>
      </c>
      <c r="F3363" s="5">
        <v>263214401</v>
      </c>
      <c r="G3363" s="5">
        <v>5.6821481110266898</v>
      </c>
      <c r="H3363" s="5">
        <v>2995.3956391610618</v>
      </c>
      <c r="I3363" s="5">
        <v>170.20281672836612</v>
      </c>
    </row>
    <row r="3364" spans="1:9" x14ac:dyDescent="0.2">
      <c r="A3364" s="5" t="s">
        <v>109</v>
      </c>
      <c r="B3364" s="5" t="s">
        <v>65</v>
      </c>
      <c r="C3364" s="5" t="s">
        <v>59</v>
      </c>
      <c r="D3364" s="5">
        <v>1557295</v>
      </c>
      <c r="E3364" s="5">
        <v>88918</v>
      </c>
      <c r="F3364" s="5">
        <v>268221986</v>
      </c>
      <c r="G3364" s="5">
        <v>5.7097723937982208</v>
      </c>
      <c r="H3364" s="5">
        <v>3016.5094356598215</v>
      </c>
      <c r="I3364" s="5">
        <v>172.23582301362299</v>
      </c>
    </row>
    <row r="3365" spans="1:9" x14ac:dyDescent="0.2">
      <c r="A3365" s="5" t="s">
        <v>109</v>
      </c>
      <c r="B3365" s="5" t="s">
        <v>65</v>
      </c>
      <c r="C3365" s="5" t="s">
        <v>60</v>
      </c>
      <c r="D3365" s="5">
        <v>1570381</v>
      </c>
      <c r="E3365" s="5">
        <v>89408</v>
      </c>
      <c r="F3365" s="5">
        <v>269141954</v>
      </c>
      <c r="G3365" s="5">
        <v>5.6933954244224809</v>
      </c>
      <c r="H3365" s="5">
        <v>3010.2670230851827</v>
      </c>
      <c r="I3365" s="5">
        <v>171.3864049552306</v>
      </c>
    </row>
    <row r="3366" spans="1:9" x14ac:dyDescent="0.2">
      <c r="A3366" s="5" t="s">
        <v>109</v>
      </c>
      <c r="B3366" s="5" t="s">
        <v>65</v>
      </c>
      <c r="C3366" s="5" t="s">
        <v>61</v>
      </c>
      <c r="D3366" s="5">
        <v>1584773</v>
      </c>
      <c r="E3366" s="5">
        <v>89202</v>
      </c>
      <c r="F3366" s="5">
        <v>269379048</v>
      </c>
      <c r="G3366" s="5">
        <v>5.6286925635406462</v>
      </c>
      <c r="H3366" s="5">
        <v>3019.8767740633616</v>
      </c>
      <c r="I3366" s="5">
        <v>169.9795794097956</v>
      </c>
    </row>
    <row r="3367" spans="1:9" x14ac:dyDescent="0.2">
      <c r="A3367" s="5" t="s">
        <v>109</v>
      </c>
      <c r="B3367" s="5" t="s">
        <v>65</v>
      </c>
      <c r="C3367" s="5" t="s">
        <v>62</v>
      </c>
      <c r="D3367" s="5">
        <v>1599235</v>
      </c>
      <c r="E3367" s="5">
        <v>87891</v>
      </c>
      <c r="F3367" s="5">
        <v>269248143</v>
      </c>
      <c r="G3367" s="5">
        <v>5.4958151866361105</v>
      </c>
      <c r="H3367" s="5">
        <v>3063.4324674881386</v>
      </c>
      <c r="I3367" s="5">
        <v>168.36058678055446</v>
      </c>
    </row>
    <row r="3368" spans="1:9" x14ac:dyDescent="0.2">
      <c r="A3368" s="5" t="s">
        <v>110</v>
      </c>
      <c r="B3368" s="5" t="s">
        <v>44</v>
      </c>
      <c r="C3368" s="5" t="s">
        <v>45</v>
      </c>
      <c r="D3368" s="5">
        <v>8321940</v>
      </c>
      <c r="E3368" s="5">
        <v>118327</v>
      </c>
      <c r="F3368" s="5">
        <v>840715635</v>
      </c>
      <c r="G3368" s="5">
        <v>1.4218679778993841</v>
      </c>
      <c r="H3368" s="5">
        <v>7105.0194376600439</v>
      </c>
      <c r="I3368" s="5">
        <v>101.02399620761506</v>
      </c>
    </row>
    <row r="3369" spans="1:9" x14ac:dyDescent="0.2">
      <c r="A3369" s="5" t="s">
        <v>110</v>
      </c>
      <c r="B3369" s="5" t="s">
        <v>44</v>
      </c>
      <c r="C3369" s="5" t="s">
        <v>46</v>
      </c>
      <c r="D3369" s="5">
        <v>8273587</v>
      </c>
      <c r="E3369" s="5">
        <v>117015</v>
      </c>
      <c r="F3369" s="5">
        <v>836526937</v>
      </c>
      <c r="G3369" s="5">
        <v>1.4143200524754258</v>
      </c>
      <c r="H3369" s="5">
        <v>7148.886356450028</v>
      </c>
      <c r="I3369" s="5">
        <v>101.10813326795258</v>
      </c>
    </row>
    <row r="3370" spans="1:9" x14ac:dyDescent="0.2">
      <c r="A3370" s="5" t="s">
        <v>110</v>
      </c>
      <c r="B3370" s="5" t="s">
        <v>44</v>
      </c>
      <c r="C3370" s="5" t="s">
        <v>47</v>
      </c>
      <c r="D3370" s="5">
        <v>8203220</v>
      </c>
      <c r="E3370" s="5">
        <v>115289</v>
      </c>
      <c r="F3370" s="5">
        <v>832358022</v>
      </c>
      <c r="G3370" s="5">
        <v>1.4054115335197641</v>
      </c>
      <c r="H3370" s="5">
        <v>7219.7522920660258</v>
      </c>
      <c r="I3370" s="5">
        <v>101.46723140425345</v>
      </c>
    </row>
    <row r="3371" spans="1:9" x14ac:dyDescent="0.2">
      <c r="A3371" s="5" t="s">
        <v>110</v>
      </c>
      <c r="B3371" s="5" t="s">
        <v>44</v>
      </c>
      <c r="C3371" s="5" t="s">
        <v>48</v>
      </c>
      <c r="D3371" s="5">
        <v>8110207</v>
      </c>
      <c r="E3371" s="5">
        <v>113280</v>
      </c>
      <c r="F3371" s="5">
        <v>833712988</v>
      </c>
      <c r="G3371" s="5">
        <v>1.3967584304568306</v>
      </c>
      <c r="H3371" s="5">
        <v>7359.7544844632766</v>
      </c>
      <c r="I3371" s="5">
        <v>102.79799122266546</v>
      </c>
    </row>
    <row r="3372" spans="1:9" x14ac:dyDescent="0.2">
      <c r="A3372" s="5" t="s">
        <v>110</v>
      </c>
      <c r="B3372" s="5" t="s">
        <v>44</v>
      </c>
      <c r="C3372" s="5" t="s">
        <v>49</v>
      </c>
      <c r="D3372" s="5">
        <v>7996333</v>
      </c>
      <c r="E3372" s="5">
        <v>110863</v>
      </c>
      <c r="F3372" s="5">
        <v>834597307</v>
      </c>
      <c r="G3372" s="5">
        <v>1.3864230016433783</v>
      </c>
      <c r="H3372" s="5">
        <v>7528.1862027908319</v>
      </c>
      <c r="I3372" s="5">
        <v>104.37250512203531</v>
      </c>
    </row>
    <row r="3373" spans="1:9" x14ac:dyDescent="0.2">
      <c r="A3373" s="5" t="s">
        <v>110</v>
      </c>
      <c r="B3373" s="5" t="s">
        <v>44</v>
      </c>
      <c r="C3373" s="5" t="s">
        <v>50</v>
      </c>
      <c r="D3373" s="5">
        <v>7884280</v>
      </c>
      <c r="E3373" s="5">
        <v>109375</v>
      </c>
      <c r="F3373" s="5">
        <v>846148282</v>
      </c>
      <c r="G3373" s="5">
        <v>1.3872541310049871</v>
      </c>
      <c r="H3373" s="5">
        <v>7736.2128640000001</v>
      </c>
      <c r="I3373" s="5">
        <v>107.32093253917922</v>
      </c>
    </row>
    <row r="3374" spans="1:9" x14ac:dyDescent="0.2">
      <c r="A3374" s="5" t="s">
        <v>110</v>
      </c>
      <c r="B3374" s="5" t="s">
        <v>44</v>
      </c>
      <c r="C3374" s="5" t="s">
        <v>51</v>
      </c>
      <c r="D3374" s="5">
        <v>7786505</v>
      </c>
      <c r="E3374" s="5">
        <v>108157</v>
      </c>
      <c r="F3374" s="5">
        <v>858997442</v>
      </c>
      <c r="G3374" s="5">
        <v>1.3890314075442063</v>
      </c>
      <c r="H3374" s="5">
        <v>7942.1345081686804</v>
      </c>
      <c r="I3374" s="5">
        <v>110.31874274786955</v>
      </c>
    </row>
    <row r="3375" spans="1:9" x14ac:dyDescent="0.2">
      <c r="A3375" s="5" t="s">
        <v>110</v>
      </c>
      <c r="B3375" s="5" t="s">
        <v>44</v>
      </c>
      <c r="C3375" s="5" t="s">
        <v>52</v>
      </c>
      <c r="D3375" s="5">
        <v>7724227</v>
      </c>
      <c r="E3375" s="5">
        <v>106961</v>
      </c>
      <c r="F3375" s="5">
        <v>861837937</v>
      </c>
      <c r="G3375" s="5">
        <v>1.3847469785649749</v>
      </c>
      <c r="H3375" s="5">
        <v>8057.4970035807446</v>
      </c>
      <c r="I3375" s="5">
        <v>111.57594630504774</v>
      </c>
    </row>
    <row r="3376" spans="1:9" x14ac:dyDescent="0.2">
      <c r="A3376" s="5" t="s">
        <v>110</v>
      </c>
      <c r="B3376" s="5" t="s">
        <v>44</v>
      </c>
      <c r="C3376" s="5" t="s">
        <v>53</v>
      </c>
      <c r="D3376" s="5">
        <v>7689051</v>
      </c>
      <c r="E3376" s="5">
        <v>105145</v>
      </c>
      <c r="F3376" s="5">
        <v>844274643</v>
      </c>
      <c r="G3376" s="5">
        <v>1.3674639432096367</v>
      </c>
      <c r="H3376" s="5">
        <v>8029.6223595986494</v>
      </c>
      <c r="I3376" s="5">
        <v>109.80219054341036</v>
      </c>
    </row>
    <row r="3377" spans="1:9" x14ac:dyDescent="0.2">
      <c r="A3377" s="5" t="s">
        <v>110</v>
      </c>
      <c r="B3377" s="5" t="s">
        <v>44</v>
      </c>
      <c r="C3377" s="5" t="s">
        <v>54</v>
      </c>
      <c r="D3377" s="5">
        <v>7672627</v>
      </c>
      <c r="E3377" s="5">
        <v>104576</v>
      </c>
      <c r="F3377" s="5">
        <v>826870255</v>
      </c>
      <c r="G3377" s="5">
        <v>1.3629751583127916</v>
      </c>
      <c r="H3377" s="5">
        <v>7906.8835583690334</v>
      </c>
      <c r="I3377" s="5">
        <v>107.76885869728842</v>
      </c>
    </row>
    <row r="3378" spans="1:9" x14ac:dyDescent="0.2">
      <c r="A3378" s="5" t="s">
        <v>110</v>
      </c>
      <c r="B3378" s="5" t="s">
        <v>44</v>
      </c>
      <c r="C3378" s="5" t="s">
        <v>55</v>
      </c>
      <c r="D3378" s="5">
        <v>7659650</v>
      </c>
      <c r="E3378" s="5">
        <v>103421</v>
      </c>
      <c r="F3378" s="5">
        <v>815865507</v>
      </c>
      <c r="G3378" s="5">
        <v>1.3502052965866587</v>
      </c>
      <c r="H3378" s="5">
        <v>7888.7799093027525</v>
      </c>
      <c r="I3378" s="5">
        <v>106.51472417146998</v>
      </c>
    </row>
    <row r="3379" spans="1:9" x14ac:dyDescent="0.2">
      <c r="A3379" s="5" t="s">
        <v>110</v>
      </c>
      <c r="B3379" s="5" t="s">
        <v>44</v>
      </c>
      <c r="C3379" s="5" t="s">
        <v>56</v>
      </c>
      <c r="D3379" s="5">
        <v>7649528</v>
      </c>
      <c r="E3379" s="5">
        <v>102023</v>
      </c>
      <c r="F3379" s="5">
        <v>808095200</v>
      </c>
      <c r="G3379" s="5">
        <v>1.3337162763506454</v>
      </c>
      <c r="H3379" s="5">
        <v>7920.7159169991082</v>
      </c>
      <c r="I3379" s="5">
        <v>105.63987738851338</v>
      </c>
    </row>
    <row r="3380" spans="1:9" x14ac:dyDescent="0.2">
      <c r="A3380" s="5" t="s">
        <v>110</v>
      </c>
      <c r="B3380" s="5" t="s">
        <v>44</v>
      </c>
      <c r="C3380" s="5" t="s">
        <v>57</v>
      </c>
      <c r="D3380" s="5">
        <v>7635538</v>
      </c>
      <c r="E3380" s="5">
        <v>100815</v>
      </c>
      <c r="F3380" s="5">
        <v>810039376</v>
      </c>
      <c r="G3380" s="5">
        <v>1.3203391823863624</v>
      </c>
      <c r="H3380" s="5">
        <v>8034.9092496156327</v>
      </c>
      <c r="I3380" s="5">
        <v>106.08805509186124</v>
      </c>
    </row>
    <row r="3381" spans="1:9" x14ac:dyDescent="0.2">
      <c r="A3381" s="5" t="s">
        <v>110</v>
      </c>
      <c r="B3381" s="5" t="s">
        <v>44</v>
      </c>
      <c r="C3381" s="5" t="s">
        <v>58</v>
      </c>
      <c r="D3381" s="5">
        <v>7636463</v>
      </c>
      <c r="E3381" s="5">
        <v>98287</v>
      </c>
      <c r="F3381" s="5">
        <v>807529808</v>
      </c>
      <c r="G3381" s="5">
        <v>1.2870749193703943</v>
      </c>
      <c r="H3381" s="5">
        <v>8216.0388250735086</v>
      </c>
      <c r="I3381" s="5">
        <v>105.74657508325517</v>
      </c>
    </row>
    <row r="3382" spans="1:9" x14ac:dyDescent="0.2">
      <c r="A3382" s="5" t="s">
        <v>110</v>
      </c>
      <c r="B3382" s="5" t="s">
        <v>44</v>
      </c>
      <c r="C3382" s="5" t="s">
        <v>59</v>
      </c>
      <c r="D3382" s="5">
        <v>7653680</v>
      </c>
      <c r="E3382" s="5">
        <v>97017</v>
      </c>
      <c r="F3382" s="5">
        <v>798323927</v>
      </c>
      <c r="G3382" s="5">
        <v>1.2675863114214339</v>
      </c>
      <c r="H3382" s="5">
        <v>8228.7014337693399</v>
      </c>
      <c r="I3382" s="5">
        <v>104.30589298219941</v>
      </c>
    </row>
    <row r="3383" spans="1:9" x14ac:dyDescent="0.2">
      <c r="A3383" s="5" t="s">
        <v>110</v>
      </c>
      <c r="B3383" s="5" t="s">
        <v>44</v>
      </c>
      <c r="C3383" s="5" t="s">
        <v>60</v>
      </c>
      <c r="D3383" s="5">
        <v>7682191</v>
      </c>
      <c r="E3383" s="5">
        <v>95790</v>
      </c>
      <c r="F3383" s="5">
        <v>788665949</v>
      </c>
      <c r="G3383" s="5">
        <v>1.2469098984911986</v>
      </c>
      <c r="H3383" s="5">
        <v>8233.2806034032783</v>
      </c>
      <c r="I3383" s="5">
        <v>102.66159081439136</v>
      </c>
    </row>
    <row r="3384" spans="1:9" x14ac:dyDescent="0.2">
      <c r="A3384" s="5" t="s">
        <v>110</v>
      </c>
      <c r="B3384" s="5" t="s">
        <v>44</v>
      </c>
      <c r="C3384" s="5" t="s">
        <v>61</v>
      </c>
      <c r="D3384" s="5">
        <v>7723077</v>
      </c>
      <c r="E3384" s="5">
        <v>94143</v>
      </c>
      <c r="F3384" s="5">
        <v>774010350</v>
      </c>
      <c r="G3384" s="5">
        <v>1.2189830555878183</v>
      </c>
      <c r="H3384" s="5">
        <v>8221.6452630572639</v>
      </c>
      <c r="I3384" s="5">
        <v>100.22046264720655</v>
      </c>
    </row>
    <row r="3385" spans="1:9" x14ac:dyDescent="0.2">
      <c r="A3385" s="5" t="s">
        <v>110</v>
      </c>
      <c r="B3385" s="5" t="s">
        <v>44</v>
      </c>
      <c r="C3385" s="5" t="s">
        <v>62</v>
      </c>
      <c r="D3385" s="5">
        <v>7761518</v>
      </c>
      <c r="E3385" s="5">
        <v>93867</v>
      </c>
      <c r="F3385" s="5">
        <v>776810052</v>
      </c>
      <c r="G3385" s="5">
        <v>1.2093897095903148</v>
      </c>
      <c r="H3385" s="5">
        <v>8275.6458819393392</v>
      </c>
      <c r="I3385" s="5">
        <v>100.08480969830902</v>
      </c>
    </row>
    <row r="3386" spans="1:9" x14ac:dyDescent="0.2">
      <c r="A3386" s="5" t="s">
        <v>110</v>
      </c>
      <c r="B3386" s="5" t="s">
        <v>63</v>
      </c>
      <c r="C3386" s="5" t="s">
        <v>45</v>
      </c>
      <c r="D3386" s="5">
        <v>8321940</v>
      </c>
      <c r="E3386" s="5">
        <v>416361</v>
      </c>
      <c r="F3386" s="5">
        <v>1068348686</v>
      </c>
      <c r="G3386" s="5">
        <v>5.0031723372194463</v>
      </c>
      <c r="H3386" s="5">
        <v>2565.9192047285887</v>
      </c>
      <c r="I3386" s="5">
        <v>128.37735984638198</v>
      </c>
    </row>
    <row r="3387" spans="1:9" x14ac:dyDescent="0.2">
      <c r="A3387" s="5" t="s">
        <v>110</v>
      </c>
      <c r="B3387" s="5" t="s">
        <v>63</v>
      </c>
      <c r="C3387" s="5" t="s">
        <v>46</v>
      </c>
      <c r="D3387" s="5">
        <v>8273587</v>
      </c>
      <c r="E3387" s="5">
        <v>413034</v>
      </c>
      <c r="F3387" s="5">
        <v>1068205849</v>
      </c>
      <c r="G3387" s="5">
        <v>4.9921998765468958</v>
      </c>
      <c r="H3387" s="5">
        <v>2586.24192923585</v>
      </c>
      <c r="I3387" s="5">
        <v>129.11036639851613</v>
      </c>
    </row>
    <row r="3388" spans="1:9" x14ac:dyDescent="0.2">
      <c r="A3388" s="5" t="s">
        <v>110</v>
      </c>
      <c r="B3388" s="5" t="s">
        <v>63</v>
      </c>
      <c r="C3388" s="5" t="s">
        <v>47</v>
      </c>
      <c r="D3388" s="5">
        <v>8203220</v>
      </c>
      <c r="E3388" s="5">
        <v>408957</v>
      </c>
      <c r="F3388" s="5">
        <v>1065411840</v>
      </c>
      <c r="G3388" s="5">
        <v>4.9853228366421964</v>
      </c>
      <c r="H3388" s="5">
        <v>2605.1928197830089</v>
      </c>
      <c r="I3388" s="5">
        <v>129.87727258320513</v>
      </c>
    </row>
    <row r="3389" spans="1:9" x14ac:dyDescent="0.2">
      <c r="A3389" s="5" t="s">
        <v>110</v>
      </c>
      <c r="B3389" s="5" t="s">
        <v>63</v>
      </c>
      <c r="C3389" s="5" t="s">
        <v>48</v>
      </c>
      <c r="D3389" s="5">
        <v>8110207</v>
      </c>
      <c r="E3389" s="5">
        <v>403178</v>
      </c>
      <c r="F3389" s="5">
        <v>1055457959</v>
      </c>
      <c r="G3389" s="5">
        <v>4.9712417944449507</v>
      </c>
      <c r="H3389" s="5">
        <v>2617.8461101548201</v>
      </c>
      <c r="I3389" s="5">
        <v>130.13945994226782</v>
      </c>
    </row>
    <row r="3390" spans="1:9" x14ac:dyDescent="0.2">
      <c r="A3390" s="5" t="s">
        <v>110</v>
      </c>
      <c r="B3390" s="5" t="s">
        <v>63</v>
      </c>
      <c r="C3390" s="5" t="s">
        <v>49</v>
      </c>
      <c r="D3390" s="5">
        <v>7996333</v>
      </c>
      <c r="E3390" s="5">
        <v>391313</v>
      </c>
      <c r="F3390" s="5">
        <v>1032018805</v>
      </c>
      <c r="G3390" s="5">
        <v>4.8936556293991256</v>
      </c>
      <c r="H3390" s="5">
        <v>2637.3230764119771</v>
      </c>
      <c r="I3390" s="5">
        <v>129.06150919427694</v>
      </c>
    </row>
    <row r="3391" spans="1:9" x14ac:dyDescent="0.2">
      <c r="A3391" s="5" t="s">
        <v>110</v>
      </c>
      <c r="B3391" s="5" t="s">
        <v>63</v>
      </c>
      <c r="C3391" s="5" t="s">
        <v>50</v>
      </c>
      <c r="D3391" s="5">
        <v>7884280</v>
      </c>
      <c r="E3391" s="5">
        <v>376451</v>
      </c>
      <c r="F3391" s="5">
        <v>999793848</v>
      </c>
      <c r="G3391" s="5">
        <v>4.7747035873916195</v>
      </c>
      <c r="H3391" s="5">
        <v>2655.8405954559821</v>
      </c>
      <c r="I3391" s="5">
        <v>126.80851618663975</v>
      </c>
    </row>
    <row r="3392" spans="1:9" x14ac:dyDescent="0.2">
      <c r="A3392" s="5" t="s">
        <v>110</v>
      </c>
      <c r="B3392" s="5" t="s">
        <v>63</v>
      </c>
      <c r="C3392" s="5" t="s">
        <v>51</v>
      </c>
      <c r="D3392" s="5">
        <v>7786505</v>
      </c>
      <c r="E3392" s="5">
        <v>363854</v>
      </c>
      <c r="F3392" s="5">
        <v>973336193</v>
      </c>
      <c r="G3392" s="5">
        <v>4.6728795525078324</v>
      </c>
      <c r="H3392" s="5">
        <v>2675.0734992606926</v>
      </c>
      <c r="I3392" s="5">
        <v>125.00296256150867</v>
      </c>
    </row>
    <row r="3393" spans="1:9" x14ac:dyDescent="0.2">
      <c r="A3393" s="5" t="s">
        <v>110</v>
      </c>
      <c r="B3393" s="5" t="s">
        <v>63</v>
      </c>
      <c r="C3393" s="5" t="s">
        <v>52</v>
      </c>
      <c r="D3393" s="5">
        <v>7724227</v>
      </c>
      <c r="E3393" s="5">
        <v>354944</v>
      </c>
      <c r="F3393" s="5">
        <v>951064549</v>
      </c>
      <c r="G3393" s="5">
        <v>4.5952041544092372</v>
      </c>
      <c r="H3393" s="5">
        <v>2679.4777457852506</v>
      </c>
      <c r="I3393" s="5">
        <v>123.12747269079482</v>
      </c>
    </row>
    <row r="3394" spans="1:9" x14ac:dyDescent="0.2">
      <c r="A3394" s="5" t="s">
        <v>110</v>
      </c>
      <c r="B3394" s="5" t="s">
        <v>63</v>
      </c>
      <c r="C3394" s="5" t="s">
        <v>53</v>
      </c>
      <c r="D3394" s="5">
        <v>7689051</v>
      </c>
      <c r="E3394" s="5">
        <v>348586</v>
      </c>
      <c r="F3394" s="5">
        <v>935531399</v>
      </c>
      <c r="G3394" s="5">
        <v>4.5335373637136751</v>
      </c>
      <c r="H3394" s="5">
        <v>2683.7893633135009</v>
      </c>
      <c r="I3394" s="5">
        <v>121.67059354919093</v>
      </c>
    </row>
    <row r="3395" spans="1:9" x14ac:dyDescent="0.2">
      <c r="A3395" s="5" t="s">
        <v>110</v>
      </c>
      <c r="B3395" s="5" t="s">
        <v>63</v>
      </c>
      <c r="C3395" s="5" t="s">
        <v>54</v>
      </c>
      <c r="D3395" s="5">
        <v>7672627</v>
      </c>
      <c r="E3395" s="5">
        <v>348647</v>
      </c>
      <c r="F3395" s="5">
        <v>930221302</v>
      </c>
      <c r="G3395" s="5">
        <v>4.5440368728989435</v>
      </c>
      <c r="H3395" s="5">
        <v>2668.0892191815792</v>
      </c>
      <c r="I3395" s="5">
        <v>121.23895792145245</v>
      </c>
    </row>
    <row r="3396" spans="1:9" x14ac:dyDescent="0.2">
      <c r="A3396" s="5" t="s">
        <v>110</v>
      </c>
      <c r="B3396" s="5" t="s">
        <v>63</v>
      </c>
      <c r="C3396" s="5" t="s">
        <v>55</v>
      </c>
      <c r="D3396" s="5">
        <v>7659650</v>
      </c>
      <c r="E3396" s="5">
        <v>346811</v>
      </c>
      <c r="F3396" s="5">
        <v>918310312</v>
      </c>
      <c r="G3396" s="5">
        <v>4.527765628977825</v>
      </c>
      <c r="H3396" s="5">
        <v>2647.8696235125185</v>
      </c>
      <c r="I3396" s="5">
        <v>119.88933071354435</v>
      </c>
    </row>
    <row r="3397" spans="1:9" x14ac:dyDescent="0.2">
      <c r="A3397" s="5" t="s">
        <v>110</v>
      </c>
      <c r="B3397" s="5" t="s">
        <v>63</v>
      </c>
      <c r="C3397" s="5" t="s">
        <v>56</v>
      </c>
      <c r="D3397" s="5">
        <v>7649528</v>
      </c>
      <c r="E3397" s="5">
        <v>342498</v>
      </c>
      <c r="F3397" s="5">
        <v>905746520</v>
      </c>
      <c r="G3397" s="5">
        <v>4.4773742902830085</v>
      </c>
      <c r="H3397" s="5">
        <v>2644.5308293771059</v>
      </c>
      <c r="I3397" s="5">
        <v>118.40554345313855</v>
      </c>
    </row>
    <row r="3398" spans="1:9" x14ac:dyDescent="0.2">
      <c r="A3398" s="5" t="s">
        <v>110</v>
      </c>
      <c r="B3398" s="5" t="s">
        <v>63</v>
      </c>
      <c r="C3398" s="5" t="s">
        <v>57</v>
      </c>
      <c r="D3398" s="5">
        <v>7635538</v>
      </c>
      <c r="E3398" s="5">
        <v>338779</v>
      </c>
      <c r="F3398" s="5">
        <v>890092100</v>
      </c>
      <c r="G3398" s="5">
        <v>4.4368713769743531</v>
      </c>
      <c r="H3398" s="5">
        <v>2627.3532302769654</v>
      </c>
      <c r="I3398" s="5">
        <v>116.57228344616973</v>
      </c>
    </row>
    <row r="3399" spans="1:9" x14ac:dyDescent="0.2">
      <c r="A3399" s="5" t="s">
        <v>110</v>
      </c>
      <c r="B3399" s="5" t="s">
        <v>63</v>
      </c>
      <c r="C3399" s="5" t="s">
        <v>58</v>
      </c>
      <c r="D3399" s="5">
        <v>7636463</v>
      </c>
      <c r="E3399" s="5">
        <v>336379</v>
      </c>
      <c r="F3399" s="5">
        <v>882394623</v>
      </c>
      <c r="G3399" s="5">
        <v>4.404905779023613</v>
      </c>
      <c r="H3399" s="5">
        <v>2623.2155485330536</v>
      </c>
      <c r="I3399" s="5">
        <v>115.55017329357845</v>
      </c>
    </row>
    <row r="3400" spans="1:9" x14ac:dyDescent="0.2">
      <c r="A3400" s="5" t="s">
        <v>110</v>
      </c>
      <c r="B3400" s="5" t="s">
        <v>63</v>
      </c>
      <c r="C3400" s="5" t="s">
        <v>59</v>
      </c>
      <c r="D3400" s="5">
        <v>7653680</v>
      </c>
      <c r="E3400" s="5">
        <v>340656</v>
      </c>
      <c r="F3400" s="5">
        <v>892873321</v>
      </c>
      <c r="G3400" s="5">
        <v>4.4508785316344559</v>
      </c>
      <c r="H3400" s="5">
        <v>2621.0409357240146</v>
      </c>
      <c r="I3400" s="5">
        <v>116.65934831349102</v>
      </c>
    </row>
    <row r="3401" spans="1:9" x14ac:dyDescent="0.2">
      <c r="A3401" s="5" t="s">
        <v>110</v>
      </c>
      <c r="B3401" s="5" t="s">
        <v>63</v>
      </c>
      <c r="C3401" s="5" t="s">
        <v>60</v>
      </c>
      <c r="D3401" s="5">
        <v>7682191</v>
      </c>
      <c r="E3401" s="5">
        <v>344799</v>
      </c>
      <c r="F3401" s="5">
        <v>903772142</v>
      </c>
      <c r="G3401" s="5">
        <v>4.4882898641806745</v>
      </c>
      <c r="H3401" s="5">
        <v>2621.1565056743202</v>
      </c>
      <c r="I3401" s="5">
        <v>117.64510176849286</v>
      </c>
    </row>
    <row r="3402" spans="1:9" x14ac:dyDescent="0.2">
      <c r="A3402" s="5" t="s">
        <v>110</v>
      </c>
      <c r="B3402" s="5" t="s">
        <v>63</v>
      </c>
      <c r="C3402" s="5" t="s">
        <v>61</v>
      </c>
      <c r="D3402" s="5">
        <v>7723077</v>
      </c>
      <c r="E3402" s="5">
        <v>345482</v>
      </c>
      <c r="F3402" s="5">
        <v>914572596</v>
      </c>
      <c r="G3402" s="5">
        <v>4.4733724654046565</v>
      </c>
      <c r="H3402" s="5">
        <v>2647.2366027752532</v>
      </c>
      <c r="I3402" s="5">
        <v>118.42075328266182</v>
      </c>
    </row>
    <row r="3403" spans="1:9" x14ac:dyDescent="0.2">
      <c r="A3403" s="5" t="s">
        <v>110</v>
      </c>
      <c r="B3403" s="5" t="s">
        <v>63</v>
      </c>
      <c r="C3403" s="5" t="s">
        <v>62</v>
      </c>
      <c r="D3403" s="5">
        <v>7761518</v>
      </c>
      <c r="E3403" s="5">
        <v>346101</v>
      </c>
      <c r="F3403" s="5">
        <v>928419487</v>
      </c>
      <c r="G3403" s="5">
        <v>4.4591921322607249</v>
      </c>
      <c r="H3403" s="5">
        <v>2682.5102701234609</v>
      </c>
      <c r="I3403" s="5">
        <v>119.6182869124313</v>
      </c>
    </row>
    <row r="3404" spans="1:9" x14ac:dyDescent="0.2">
      <c r="A3404" s="5" t="s">
        <v>110</v>
      </c>
      <c r="B3404" s="5" t="s">
        <v>73</v>
      </c>
      <c r="C3404" s="5" t="s">
        <v>45</v>
      </c>
      <c r="D3404" s="5">
        <v>5889304</v>
      </c>
      <c r="E3404" s="5">
        <v>87209</v>
      </c>
      <c r="F3404" s="5">
        <v>204705253</v>
      </c>
      <c r="G3404" s="5">
        <v>1.480803164516554</v>
      </c>
      <c r="H3404" s="5">
        <v>2347.2950383561329</v>
      </c>
      <c r="I3404" s="5">
        <v>34.758819208517679</v>
      </c>
    </row>
    <row r="3405" spans="1:9" x14ac:dyDescent="0.2">
      <c r="A3405" s="5" t="s">
        <v>110</v>
      </c>
      <c r="B3405" s="5" t="s">
        <v>73</v>
      </c>
      <c r="C3405" s="5" t="s">
        <v>46</v>
      </c>
      <c r="D3405" s="5">
        <v>5837013</v>
      </c>
      <c r="E3405" s="5">
        <v>88228</v>
      </c>
      <c r="F3405" s="5">
        <v>208362237</v>
      </c>
      <c r="G3405" s="5">
        <v>1.5115265290654656</v>
      </c>
      <c r="H3405" s="5">
        <v>2361.6339144035906</v>
      </c>
      <c r="I3405" s="5">
        <v>35.696723135617482</v>
      </c>
    </row>
    <row r="3406" spans="1:9" x14ac:dyDescent="0.2">
      <c r="A3406" s="5" t="s">
        <v>110</v>
      </c>
      <c r="B3406" s="5" t="s">
        <v>73</v>
      </c>
      <c r="C3406" s="5" t="s">
        <v>47</v>
      </c>
      <c r="D3406" s="5">
        <v>5762073</v>
      </c>
      <c r="E3406" s="5">
        <v>86912</v>
      </c>
      <c r="F3406" s="5">
        <v>210028361</v>
      </c>
      <c r="G3406" s="5">
        <v>1.5083460414333523</v>
      </c>
      <c r="H3406" s="5">
        <v>2416.5634319771725</v>
      </c>
      <c r="I3406" s="5">
        <v>36.450138864953637</v>
      </c>
    </row>
    <row r="3407" spans="1:9" x14ac:dyDescent="0.2">
      <c r="A3407" s="5" t="s">
        <v>110</v>
      </c>
      <c r="B3407" s="5" t="s">
        <v>73</v>
      </c>
      <c r="C3407" s="5" t="s">
        <v>48</v>
      </c>
      <c r="D3407" s="5">
        <v>5673000</v>
      </c>
      <c r="E3407" s="5">
        <v>86836</v>
      </c>
      <c r="F3407" s="5">
        <v>211101641</v>
      </c>
      <c r="G3407" s="5">
        <v>1.5306892296844703</v>
      </c>
      <c r="H3407" s="5">
        <v>2431.0382905707311</v>
      </c>
      <c r="I3407" s="5">
        <v>37.211641283271639</v>
      </c>
    </row>
    <row r="3408" spans="1:9" x14ac:dyDescent="0.2">
      <c r="A3408" s="5" t="s">
        <v>110</v>
      </c>
      <c r="B3408" s="5" t="s">
        <v>73</v>
      </c>
      <c r="C3408" s="5" t="s">
        <v>49</v>
      </c>
      <c r="D3408" s="5">
        <v>5572901</v>
      </c>
      <c r="E3408" s="5">
        <v>84625</v>
      </c>
      <c r="F3408" s="5">
        <v>209366628</v>
      </c>
      <c r="G3408" s="5">
        <v>1.5185089417522399</v>
      </c>
      <c r="H3408" s="5">
        <v>2474.0517341211225</v>
      </c>
      <c r="I3408" s="5">
        <v>37.568696806205601</v>
      </c>
    </row>
    <row r="3409" spans="1:9" x14ac:dyDescent="0.2">
      <c r="A3409" s="5" t="s">
        <v>110</v>
      </c>
      <c r="B3409" s="5" t="s">
        <v>73</v>
      </c>
      <c r="C3409" s="5" t="s">
        <v>50</v>
      </c>
      <c r="D3409" s="5">
        <v>5472550</v>
      </c>
      <c r="E3409" s="5">
        <v>80991</v>
      </c>
      <c r="F3409" s="5">
        <v>200955625</v>
      </c>
      <c r="G3409" s="5">
        <v>1.4799499319330112</v>
      </c>
      <c r="H3409" s="5">
        <v>2481.2093319010755</v>
      </c>
      <c r="I3409" s="5">
        <v>36.720655818585485</v>
      </c>
    </row>
    <row r="3410" spans="1:9" x14ac:dyDescent="0.2">
      <c r="A3410" s="5" t="s">
        <v>110</v>
      </c>
      <c r="B3410" s="5" t="s">
        <v>73</v>
      </c>
      <c r="C3410" s="5" t="s">
        <v>51</v>
      </c>
      <c r="D3410" s="5">
        <v>5389752</v>
      </c>
      <c r="E3410" s="5">
        <v>77229</v>
      </c>
      <c r="F3410" s="5">
        <v>193364471</v>
      </c>
      <c r="G3410" s="5">
        <v>1.4328859658106718</v>
      </c>
      <c r="H3410" s="5">
        <v>2503.7805876031025</v>
      </c>
      <c r="I3410" s="5">
        <v>35.876320654456826</v>
      </c>
    </row>
    <row r="3411" spans="1:9" x14ac:dyDescent="0.2">
      <c r="A3411" s="5" t="s">
        <v>110</v>
      </c>
      <c r="B3411" s="5" t="s">
        <v>73</v>
      </c>
      <c r="C3411" s="5" t="s">
        <v>52</v>
      </c>
      <c r="D3411" s="5">
        <v>5332802</v>
      </c>
      <c r="E3411" s="5">
        <v>74143</v>
      </c>
      <c r="F3411" s="5">
        <v>186631194</v>
      </c>
      <c r="G3411" s="5">
        <v>1.3903197606061504</v>
      </c>
      <c r="H3411" s="5">
        <v>2517.1788840483928</v>
      </c>
      <c r="I3411" s="5">
        <v>34.996835434730187</v>
      </c>
    </row>
    <row r="3412" spans="1:9" x14ac:dyDescent="0.2">
      <c r="A3412" s="5" t="s">
        <v>110</v>
      </c>
      <c r="B3412" s="5" t="s">
        <v>73</v>
      </c>
      <c r="C3412" s="5" t="s">
        <v>53</v>
      </c>
      <c r="D3412" s="5">
        <v>5298238</v>
      </c>
      <c r="E3412" s="5">
        <v>71903</v>
      </c>
      <c r="F3412" s="5">
        <v>180471879</v>
      </c>
      <c r="G3412" s="5">
        <v>1.3571115529351456</v>
      </c>
      <c r="H3412" s="5">
        <v>2509.9353156335619</v>
      </c>
      <c r="I3412" s="5">
        <v>34.062622139662281</v>
      </c>
    </row>
    <row r="3413" spans="1:9" x14ac:dyDescent="0.2">
      <c r="A3413" s="5" t="s">
        <v>110</v>
      </c>
      <c r="B3413" s="5" t="s">
        <v>73</v>
      </c>
      <c r="C3413" s="5" t="s">
        <v>54</v>
      </c>
      <c r="D3413" s="5">
        <v>5283783</v>
      </c>
      <c r="E3413" s="5">
        <v>71601</v>
      </c>
      <c r="F3413" s="5">
        <v>179965547</v>
      </c>
      <c r="G3413" s="5">
        <v>1.3551086409112563</v>
      </c>
      <c r="H3413" s="5">
        <v>2513.4501892431672</v>
      </c>
      <c r="I3413" s="5">
        <v>34.059980699434476</v>
      </c>
    </row>
    <row r="3414" spans="1:9" x14ac:dyDescent="0.2">
      <c r="A3414" s="5" t="s">
        <v>110</v>
      </c>
      <c r="B3414" s="5" t="s">
        <v>73</v>
      </c>
      <c r="C3414" s="5" t="s">
        <v>55</v>
      </c>
      <c r="D3414" s="5">
        <v>5278546</v>
      </c>
      <c r="E3414" s="5">
        <v>70729</v>
      </c>
      <c r="F3414" s="5">
        <v>178518500</v>
      </c>
      <c r="G3414" s="5">
        <v>1.3399333831702898</v>
      </c>
      <c r="H3414" s="5">
        <v>2523.9788488455938</v>
      </c>
      <c r="I3414" s="5">
        <v>33.819635179839295</v>
      </c>
    </row>
    <row r="3415" spans="1:9" x14ac:dyDescent="0.2">
      <c r="A3415" s="5" t="s">
        <v>110</v>
      </c>
      <c r="B3415" s="5" t="s">
        <v>73</v>
      </c>
      <c r="C3415" s="5" t="s">
        <v>56</v>
      </c>
      <c r="D3415" s="5">
        <v>5272391</v>
      </c>
      <c r="E3415" s="5">
        <v>70724</v>
      </c>
      <c r="F3415" s="5">
        <v>175272653</v>
      </c>
      <c r="G3415" s="5">
        <v>1.3414027904986561</v>
      </c>
      <c r="H3415" s="5">
        <v>2478.2627255245743</v>
      </c>
      <c r="I3415" s="5">
        <v>33.243485356074693</v>
      </c>
    </row>
    <row r="3416" spans="1:9" x14ac:dyDescent="0.2">
      <c r="A3416" s="5" t="s">
        <v>110</v>
      </c>
      <c r="B3416" s="5" t="s">
        <v>73</v>
      </c>
      <c r="C3416" s="5" t="s">
        <v>57</v>
      </c>
      <c r="D3416" s="5">
        <v>5264580</v>
      </c>
      <c r="E3416" s="5">
        <v>69634</v>
      </c>
      <c r="F3416" s="5">
        <v>174713685</v>
      </c>
      <c r="G3416" s="5">
        <v>1.3226886095377028</v>
      </c>
      <c r="H3416" s="5">
        <v>2509.0284200247006</v>
      </c>
      <c r="I3416" s="5">
        <v>33.186633121730509</v>
      </c>
    </row>
    <row r="3417" spans="1:9" x14ac:dyDescent="0.2">
      <c r="A3417" s="5" t="s">
        <v>110</v>
      </c>
      <c r="B3417" s="5" t="s">
        <v>73</v>
      </c>
      <c r="C3417" s="5" t="s">
        <v>58</v>
      </c>
      <c r="D3417" s="5">
        <v>5260517</v>
      </c>
      <c r="E3417" s="5">
        <v>66915</v>
      </c>
      <c r="F3417" s="5">
        <v>171389818</v>
      </c>
      <c r="G3417" s="5">
        <v>1.2720232631127322</v>
      </c>
      <c r="H3417" s="5">
        <v>2561.306403646417</v>
      </c>
      <c r="I3417" s="5">
        <v>32.580413293978516</v>
      </c>
    </row>
    <row r="3418" spans="1:9" x14ac:dyDescent="0.2">
      <c r="A3418" s="5" t="s">
        <v>110</v>
      </c>
      <c r="B3418" s="5" t="s">
        <v>73</v>
      </c>
      <c r="C3418" s="5" t="s">
        <v>59</v>
      </c>
      <c r="D3418" s="5">
        <v>5266680</v>
      </c>
      <c r="E3418" s="5">
        <v>63455</v>
      </c>
      <c r="F3418" s="5">
        <v>166969368</v>
      </c>
      <c r="G3418" s="5">
        <v>1.2048387219272862</v>
      </c>
      <c r="H3418" s="5">
        <v>2631.3035694586715</v>
      </c>
      <c r="I3418" s="5">
        <v>31.702964296292922</v>
      </c>
    </row>
    <row r="3419" spans="1:9" x14ac:dyDescent="0.2">
      <c r="A3419" s="5" t="s">
        <v>110</v>
      </c>
      <c r="B3419" s="5" t="s">
        <v>73</v>
      </c>
      <c r="C3419" s="5" t="s">
        <v>60</v>
      </c>
      <c r="D3419" s="5">
        <v>5278076</v>
      </c>
      <c r="E3419" s="5">
        <v>60257</v>
      </c>
      <c r="F3419" s="5">
        <v>166081190</v>
      </c>
      <c r="G3419" s="5">
        <v>1.1416470698792514</v>
      </c>
      <c r="H3419" s="5">
        <v>2756.2140498199378</v>
      </c>
      <c r="I3419" s="5">
        <v>31.466236939369573</v>
      </c>
    </row>
    <row r="3420" spans="1:9" x14ac:dyDescent="0.2">
      <c r="A3420" s="5" t="s">
        <v>110</v>
      </c>
      <c r="B3420" s="5" t="s">
        <v>73</v>
      </c>
      <c r="C3420" s="5" t="s">
        <v>61</v>
      </c>
      <c r="D3420" s="5">
        <v>5295253</v>
      </c>
      <c r="E3420" s="5">
        <v>59157</v>
      </c>
      <c r="F3420" s="5">
        <v>162518841</v>
      </c>
      <c r="G3420" s="5">
        <v>1.1171704165976584</v>
      </c>
      <c r="H3420" s="5">
        <v>2747.2461585273086</v>
      </c>
      <c r="I3420" s="5">
        <v>30.691421354182697</v>
      </c>
    </row>
    <row r="3421" spans="1:9" x14ac:dyDescent="0.2">
      <c r="A3421" s="5" t="s">
        <v>110</v>
      </c>
      <c r="B3421" s="5" t="s">
        <v>73</v>
      </c>
      <c r="C3421" s="5" t="s">
        <v>62</v>
      </c>
      <c r="D3421" s="5">
        <v>5306314</v>
      </c>
      <c r="E3421" s="5">
        <v>59945</v>
      </c>
      <c r="F3421" s="5">
        <v>161463046</v>
      </c>
      <c r="G3421" s="5">
        <v>1.1296919104297258</v>
      </c>
      <c r="H3421" s="5">
        <v>2693.5198265076319</v>
      </c>
      <c r="I3421" s="5">
        <v>30.428475585877504</v>
      </c>
    </row>
    <row r="3422" spans="1:9" x14ac:dyDescent="0.2">
      <c r="A3422" s="5" t="s">
        <v>110</v>
      </c>
      <c r="B3422" s="5" t="s">
        <v>64</v>
      </c>
      <c r="C3422" s="5" t="s">
        <v>45</v>
      </c>
      <c r="D3422" s="5">
        <v>6743532</v>
      </c>
      <c r="E3422" s="5">
        <v>591087</v>
      </c>
      <c r="F3422" s="5">
        <v>843521852</v>
      </c>
      <c r="G3422" s="5">
        <v>8.7652434955450644</v>
      </c>
      <c r="H3422" s="5">
        <v>1427.0688612674614</v>
      </c>
      <c r="I3422" s="5">
        <v>125.08606053919519</v>
      </c>
    </row>
    <row r="3423" spans="1:9" x14ac:dyDescent="0.2">
      <c r="A3423" s="5" t="s">
        <v>110</v>
      </c>
      <c r="B3423" s="5" t="s">
        <v>64</v>
      </c>
      <c r="C3423" s="5" t="s">
        <v>46</v>
      </c>
      <c r="D3423" s="5">
        <v>6737681</v>
      </c>
      <c r="E3423" s="5">
        <v>598685</v>
      </c>
      <c r="F3423" s="5">
        <v>852022972</v>
      </c>
      <c r="G3423" s="5">
        <v>8.8856240003051497</v>
      </c>
      <c r="H3423" s="5">
        <v>1423.1573732430243</v>
      </c>
      <c r="I3423" s="5">
        <v>126.4564131189945</v>
      </c>
    </row>
    <row r="3424" spans="1:9" x14ac:dyDescent="0.2">
      <c r="A3424" s="5" t="s">
        <v>110</v>
      </c>
      <c r="B3424" s="5" t="s">
        <v>64</v>
      </c>
      <c r="C3424" s="5" t="s">
        <v>47</v>
      </c>
      <c r="D3424" s="5">
        <v>6713106</v>
      </c>
      <c r="E3424" s="5">
        <v>590768</v>
      </c>
      <c r="F3424" s="5">
        <v>802462605</v>
      </c>
      <c r="G3424" s="5">
        <v>8.8002185575499627</v>
      </c>
      <c r="H3424" s="5">
        <v>1358.3379685426428</v>
      </c>
      <c r="I3424" s="5">
        <v>119.53670998193682</v>
      </c>
    </row>
    <row r="3425" spans="1:9" x14ac:dyDescent="0.2">
      <c r="A3425" s="5" t="s">
        <v>110</v>
      </c>
      <c r="B3425" s="5" t="s">
        <v>64</v>
      </c>
      <c r="C3425" s="5" t="s">
        <v>48</v>
      </c>
      <c r="D3425" s="5">
        <v>6665965</v>
      </c>
      <c r="E3425" s="5">
        <v>559920</v>
      </c>
      <c r="F3425" s="5">
        <v>621656107</v>
      </c>
      <c r="G3425" s="5">
        <v>8.3996840667480246</v>
      </c>
      <c r="H3425" s="5">
        <v>1110.2587994713531</v>
      </c>
      <c r="I3425" s="5">
        <v>93.258231478863152</v>
      </c>
    </row>
    <row r="3426" spans="1:9" x14ac:dyDescent="0.2">
      <c r="A3426" s="5" t="s">
        <v>110</v>
      </c>
      <c r="B3426" s="5" t="s">
        <v>64</v>
      </c>
      <c r="C3426" s="5" t="s">
        <v>49</v>
      </c>
      <c r="D3426" s="5">
        <v>6596297</v>
      </c>
      <c r="E3426" s="5">
        <v>558140</v>
      </c>
      <c r="F3426" s="5">
        <v>659352006</v>
      </c>
      <c r="G3426" s="5">
        <v>8.4614140327520122</v>
      </c>
      <c r="H3426" s="5">
        <v>1181.3380263016447</v>
      </c>
      <c r="I3426" s="5">
        <v>99.957901531723024</v>
      </c>
    </row>
    <row r="3427" spans="1:9" x14ac:dyDescent="0.2">
      <c r="A3427" s="5" t="s">
        <v>110</v>
      </c>
      <c r="B3427" s="5" t="s">
        <v>64</v>
      </c>
      <c r="C3427" s="5" t="s">
        <v>50</v>
      </c>
      <c r="D3427" s="5">
        <v>6523285</v>
      </c>
      <c r="E3427" s="5">
        <v>548910</v>
      </c>
      <c r="F3427" s="5">
        <v>656521329</v>
      </c>
      <c r="G3427" s="5">
        <v>8.414625453280058</v>
      </c>
      <c r="H3427" s="5">
        <v>1196.0454883314205</v>
      </c>
      <c r="I3427" s="5">
        <v>100.64274809394347</v>
      </c>
    </row>
    <row r="3428" spans="1:9" x14ac:dyDescent="0.2">
      <c r="A3428" s="5" t="s">
        <v>110</v>
      </c>
      <c r="B3428" s="5" t="s">
        <v>64</v>
      </c>
      <c r="C3428" s="5" t="s">
        <v>51</v>
      </c>
      <c r="D3428" s="5">
        <v>6451318</v>
      </c>
      <c r="E3428" s="5">
        <v>634933</v>
      </c>
      <c r="F3428" s="5">
        <v>935488177</v>
      </c>
      <c r="G3428" s="5">
        <v>9.8419113737688946</v>
      </c>
      <c r="H3428" s="5">
        <v>1473.3651849880223</v>
      </c>
      <c r="I3428" s="5">
        <v>145.00729571848728</v>
      </c>
    </row>
    <row r="3429" spans="1:9" x14ac:dyDescent="0.2">
      <c r="A3429" s="5" t="s">
        <v>110</v>
      </c>
      <c r="B3429" s="5" t="s">
        <v>64</v>
      </c>
      <c r="C3429" s="5" t="s">
        <v>52</v>
      </c>
      <c r="D3429" s="5">
        <v>6403999</v>
      </c>
      <c r="E3429" s="5">
        <v>635677</v>
      </c>
      <c r="F3429" s="5">
        <v>953294462</v>
      </c>
      <c r="G3429" s="5">
        <v>9.9262507692459039</v>
      </c>
      <c r="H3429" s="5">
        <v>1499.6522793808806</v>
      </c>
      <c r="I3429" s="5">
        <v>148.85924591805838</v>
      </c>
    </row>
    <row r="3430" spans="1:9" x14ac:dyDescent="0.2">
      <c r="A3430" s="5" t="s">
        <v>110</v>
      </c>
      <c r="B3430" s="5" t="s">
        <v>64</v>
      </c>
      <c r="C3430" s="5" t="s">
        <v>53</v>
      </c>
      <c r="D3430" s="5">
        <v>6373979</v>
      </c>
      <c r="E3430" s="5">
        <v>615918</v>
      </c>
      <c r="F3430" s="5">
        <v>925760313</v>
      </c>
      <c r="G3430" s="5">
        <v>9.6630064203223771</v>
      </c>
      <c r="H3430" s="5">
        <v>1503.0577333346323</v>
      </c>
      <c r="I3430" s="5">
        <v>145.2405652732775</v>
      </c>
    </row>
    <row r="3431" spans="1:9" x14ac:dyDescent="0.2">
      <c r="A3431" s="5" t="s">
        <v>110</v>
      </c>
      <c r="B3431" s="5" t="s">
        <v>64</v>
      </c>
      <c r="C3431" s="5" t="s">
        <v>54</v>
      </c>
      <c r="D3431" s="5">
        <v>6360387</v>
      </c>
      <c r="E3431" s="5">
        <v>602311</v>
      </c>
      <c r="F3431" s="5">
        <v>903784709</v>
      </c>
      <c r="G3431" s="5">
        <v>9.4697225184568179</v>
      </c>
      <c r="H3431" s="5">
        <v>1500.5283134460437</v>
      </c>
      <c r="I3431" s="5">
        <v>142.09586759422029</v>
      </c>
    </row>
    <row r="3432" spans="1:9" x14ac:dyDescent="0.2">
      <c r="A3432" s="5" t="s">
        <v>110</v>
      </c>
      <c r="B3432" s="5" t="s">
        <v>64</v>
      </c>
      <c r="C3432" s="5" t="s">
        <v>55</v>
      </c>
      <c r="D3432" s="5">
        <v>6349881</v>
      </c>
      <c r="E3432" s="5">
        <v>471453</v>
      </c>
      <c r="F3432" s="5">
        <v>545773330</v>
      </c>
      <c r="G3432" s="5">
        <v>7.424595831008487</v>
      </c>
      <c r="H3432" s="5">
        <v>1157.6410161776466</v>
      </c>
      <c r="I3432" s="5">
        <v>85.950166625169828</v>
      </c>
    </row>
    <row r="3433" spans="1:9" x14ac:dyDescent="0.2">
      <c r="A3433" s="5" t="s">
        <v>110</v>
      </c>
      <c r="B3433" s="5" t="s">
        <v>64</v>
      </c>
      <c r="C3433" s="5" t="s">
        <v>56</v>
      </c>
      <c r="D3433" s="5">
        <v>6345291</v>
      </c>
      <c r="E3433" s="5">
        <v>459268</v>
      </c>
      <c r="F3433" s="5">
        <v>516377343</v>
      </c>
      <c r="G3433" s="5">
        <v>7.2379343989109408</v>
      </c>
      <c r="H3433" s="5">
        <v>1124.3486221552557</v>
      </c>
      <c r="I3433" s="5">
        <v>81.37961568665645</v>
      </c>
    </row>
    <row r="3434" spans="1:9" x14ac:dyDescent="0.2">
      <c r="A3434" s="5" t="s">
        <v>110</v>
      </c>
      <c r="B3434" s="5" t="s">
        <v>64</v>
      </c>
      <c r="C3434" s="5" t="s">
        <v>57</v>
      </c>
      <c r="D3434" s="5">
        <v>6336500</v>
      </c>
      <c r="E3434" s="5">
        <v>446591</v>
      </c>
      <c r="F3434" s="5">
        <v>484077123</v>
      </c>
      <c r="G3434" s="5">
        <v>7.0479128856624316</v>
      </c>
      <c r="H3434" s="5">
        <v>1083.9383753815011</v>
      </c>
      <c r="I3434" s="5">
        <v>76.395032431152842</v>
      </c>
    </row>
    <row r="3435" spans="1:9" x14ac:dyDescent="0.2">
      <c r="A3435" s="5" t="s">
        <v>110</v>
      </c>
      <c r="B3435" s="5" t="s">
        <v>64</v>
      </c>
      <c r="C3435" s="5" t="s">
        <v>58</v>
      </c>
      <c r="D3435" s="5">
        <v>6339716</v>
      </c>
      <c r="E3435" s="5">
        <v>446858</v>
      </c>
      <c r="F3435" s="5">
        <v>492693804</v>
      </c>
      <c r="G3435" s="5">
        <v>7.0485491779127019</v>
      </c>
      <c r="H3435" s="5">
        <v>1102.5735334267263</v>
      </c>
      <c r="I3435" s="5">
        <v>77.715437726232537</v>
      </c>
    </row>
    <row r="3436" spans="1:9" x14ac:dyDescent="0.2">
      <c r="A3436" s="5" t="s">
        <v>110</v>
      </c>
      <c r="B3436" s="5" t="s">
        <v>64</v>
      </c>
      <c r="C3436" s="5" t="s">
        <v>59</v>
      </c>
      <c r="D3436" s="5">
        <v>6351791</v>
      </c>
      <c r="E3436" s="5">
        <v>461069</v>
      </c>
      <c r="F3436" s="5">
        <v>532350122</v>
      </c>
      <c r="G3436" s="5">
        <v>7.2588817862552464</v>
      </c>
      <c r="H3436" s="5">
        <v>1154.5996846458991</v>
      </c>
      <c r="I3436" s="5">
        <v>83.811026212921675</v>
      </c>
    </row>
    <row r="3437" spans="1:9" x14ac:dyDescent="0.2">
      <c r="A3437" s="5" t="s">
        <v>110</v>
      </c>
      <c r="B3437" s="5" t="s">
        <v>64</v>
      </c>
      <c r="C3437" s="5" t="s">
        <v>60</v>
      </c>
      <c r="D3437" s="5">
        <v>6370820</v>
      </c>
      <c r="E3437" s="5">
        <v>440319</v>
      </c>
      <c r="F3437" s="5">
        <v>511797225</v>
      </c>
      <c r="G3437" s="5">
        <v>6.9114964792601263</v>
      </c>
      <c r="H3437" s="5">
        <v>1162.3328200690862</v>
      </c>
      <c r="I3437" s="5">
        <v>80.334591936359843</v>
      </c>
    </row>
    <row r="3438" spans="1:9" x14ac:dyDescent="0.2">
      <c r="A3438" s="5" t="s">
        <v>110</v>
      </c>
      <c r="B3438" s="5" t="s">
        <v>64</v>
      </c>
      <c r="C3438" s="5" t="s">
        <v>61</v>
      </c>
      <c r="D3438" s="5">
        <v>6401004</v>
      </c>
      <c r="E3438" s="5">
        <v>440102</v>
      </c>
      <c r="F3438" s="5">
        <v>535484530</v>
      </c>
      <c r="G3438" s="5">
        <v>6.8755151535602854</v>
      </c>
      <c r="H3438" s="5">
        <v>1216.7282357271724</v>
      </c>
      <c r="I3438" s="5">
        <v>83.656334225068449</v>
      </c>
    </row>
    <row r="3439" spans="1:9" x14ac:dyDescent="0.2">
      <c r="A3439" s="5" t="s">
        <v>110</v>
      </c>
      <c r="B3439" s="5" t="s">
        <v>64</v>
      </c>
      <c r="C3439" s="5" t="s">
        <v>62</v>
      </c>
      <c r="D3439" s="5">
        <v>6432815</v>
      </c>
      <c r="E3439" s="5">
        <v>425048</v>
      </c>
      <c r="F3439" s="5">
        <v>534089166</v>
      </c>
      <c r="G3439" s="5">
        <v>6.6074960961880604</v>
      </c>
      <c r="H3439" s="5">
        <v>1256.5384756545143</v>
      </c>
      <c r="I3439" s="5">
        <v>83.025730725973006</v>
      </c>
    </row>
    <row r="3440" spans="1:9" x14ac:dyDescent="0.2">
      <c r="A3440" s="5" t="s">
        <v>110</v>
      </c>
      <c r="B3440" s="5" t="s">
        <v>65</v>
      </c>
      <c r="C3440" s="5" t="s">
        <v>45</v>
      </c>
      <c r="D3440" s="5">
        <v>6534196</v>
      </c>
      <c r="E3440" s="5">
        <v>415103</v>
      </c>
      <c r="F3440" s="5">
        <v>1311779726</v>
      </c>
      <c r="G3440" s="5">
        <v>6.352778520876937</v>
      </c>
      <c r="H3440" s="5">
        <v>3160.1306808189775</v>
      </c>
      <c r="I3440" s="5">
        <v>200.75610312271013</v>
      </c>
    </row>
    <row r="3441" spans="1:9" x14ac:dyDescent="0.2">
      <c r="A3441" s="5" t="s">
        <v>110</v>
      </c>
      <c r="B3441" s="5" t="s">
        <v>65</v>
      </c>
      <c r="C3441" s="5" t="s">
        <v>46</v>
      </c>
      <c r="D3441" s="5">
        <v>6518524</v>
      </c>
      <c r="E3441" s="5">
        <v>409899</v>
      </c>
      <c r="F3441" s="5">
        <v>1287873633</v>
      </c>
      <c r="G3441" s="5">
        <v>6.2882180076348568</v>
      </c>
      <c r="H3441" s="5">
        <v>3141.9291898736028</v>
      </c>
      <c r="I3441" s="5">
        <v>197.57135710476788</v>
      </c>
    </row>
    <row r="3442" spans="1:9" x14ac:dyDescent="0.2">
      <c r="A3442" s="5" t="s">
        <v>110</v>
      </c>
      <c r="B3442" s="5" t="s">
        <v>65</v>
      </c>
      <c r="C3442" s="5" t="s">
        <v>47</v>
      </c>
      <c r="D3442" s="5">
        <v>6481323</v>
      </c>
      <c r="E3442" s="5">
        <v>405577</v>
      </c>
      <c r="F3442" s="5">
        <v>1269634229</v>
      </c>
      <c r="G3442" s="5">
        <v>6.2576267221985384</v>
      </c>
      <c r="H3442" s="5">
        <v>3130.4394208744579</v>
      </c>
      <c r="I3442" s="5">
        <v>195.89121372287727</v>
      </c>
    </row>
    <row r="3443" spans="1:9" x14ac:dyDescent="0.2">
      <c r="A3443" s="5" t="s">
        <v>110</v>
      </c>
      <c r="B3443" s="5" t="s">
        <v>65</v>
      </c>
      <c r="C3443" s="5" t="s">
        <v>48</v>
      </c>
      <c r="D3443" s="5">
        <v>6419561</v>
      </c>
      <c r="E3443" s="5">
        <v>397576</v>
      </c>
      <c r="F3443" s="5">
        <v>1240746898</v>
      </c>
      <c r="G3443" s="5">
        <v>6.1931960768033827</v>
      </c>
      <c r="H3443" s="5">
        <v>3120.779166750508</v>
      </c>
      <c r="I3443" s="5">
        <v>193.27597292088976</v>
      </c>
    </row>
    <row r="3444" spans="1:9" x14ac:dyDescent="0.2">
      <c r="A3444" s="5" t="s">
        <v>110</v>
      </c>
      <c r="B3444" s="5" t="s">
        <v>65</v>
      </c>
      <c r="C3444" s="5" t="s">
        <v>49</v>
      </c>
      <c r="D3444" s="5">
        <v>6334452</v>
      </c>
      <c r="E3444" s="5">
        <v>383718</v>
      </c>
      <c r="F3444" s="5">
        <v>1190587768</v>
      </c>
      <c r="G3444" s="5">
        <v>6.0576352934713213</v>
      </c>
      <c r="H3444" s="5">
        <v>3102.7675741038993</v>
      </c>
      <c r="I3444" s="5">
        <v>187.95434364330174</v>
      </c>
    </row>
    <row r="3445" spans="1:9" x14ac:dyDescent="0.2">
      <c r="A3445" s="5" t="s">
        <v>110</v>
      </c>
      <c r="B3445" s="5" t="s">
        <v>65</v>
      </c>
      <c r="C3445" s="5" t="s">
        <v>50</v>
      </c>
      <c r="D3445" s="5">
        <v>6244776</v>
      </c>
      <c r="E3445" s="5">
        <v>364896</v>
      </c>
      <c r="F3445" s="5">
        <v>1146599466</v>
      </c>
      <c r="G3445" s="5">
        <v>5.8432199970022944</v>
      </c>
      <c r="H3445" s="5">
        <v>3142.2637299394896</v>
      </c>
      <c r="I3445" s="5">
        <v>183.60938262637444</v>
      </c>
    </row>
    <row r="3446" spans="1:9" x14ac:dyDescent="0.2">
      <c r="A3446" s="5" t="s">
        <v>110</v>
      </c>
      <c r="B3446" s="5" t="s">
        <v>65</v>
      </c>
      <c r="C3446" s="5" t="s">
        <v>51</v>
      </c>
      <c r="D3446" s="5">
        <v>6158817</v>
      </c>
      <c r="E3446" s="5">
        <v>350121</v>
      </c>
      <c r="F3446" s="5">
        <v>1120398673</v>
      </c>
      <c r="G3446" s="5">
        <v>5.6848742217864245</v>
      </c>
      <c r="H3446" s="5">
        <v>3200.0327686714022</v>
      </c>
      <c r="I3446" s="5">
        <v>181.91783795491895</v>
      </c>
    </row>
    <row r="3447" spans="1:9" x14ac:dyDescent="0.2">
      <c r="A3447" s="5" t="s">
        <v>110</v>
      </c>
      <c r="B3447" s="5" t="s">
        <v>65</v>
      </c>
      <c r="C3447" s="5" t="s">
        <v>52</v>
      </c>
      <c r="D3447" s="5">
        <v>6096911</v>
      </c>
      <c r="E3447" s="5">
        <v>339344</v>
      </c>
      <c r="F3447" s="5">
        <v>1098927579</v>
      </c>
      <c r="G3447" s="5">
        <v>5.565834895736546</v>
      </c>
      <c r="H3447" s="5">
        <v>3238.3881223772928</v>
      </c>
      <c r="I3447" s="5">
        <v>180.24333617466289</v>
      </c>
    </row>
    <row r="3448" spans="1:9" x14ac:dyDescent="0.2">
      <c r="A3448" s="5" t="s">
        <v>110</v>
      </c>
      <c r="B3448" s="5" t="s">
        <v>65</v>
      </c>
      <c r="C3448" s="5" t="s">
        <v>53</v>
      </c>
      <c r="D3448" s="5">
        <v>6053987</v>
      </c>
      <c r="E3448" s="5">
        <v>330554</v>
      </c>
      <c r="F3448" s="5">
        <v>1075269001</v>
      </c>
      <c r="G3448" s="5">
        <v>5.460104225529391</v>
      </c>
      <c r="H3448" s="5">
        <v>3252.9299327795156</v>
      </c>
      <c r="I3448" s="5">
        <v>177.6133647132047</v>
      </c>
    </row>
    <row r="3449" spans="1:9" x14ac:dyDescent="0.2">
      <c r="A3449" s="5" t="s">
        <v>110</v>
      </c>
      <c r="B3449" s="5" t="s">
        <v>65</v>
      </c>
      <c r="C3449" s="5" t="s">
        <v>54</v>
      </c>
      <c r="D3449" s="5">
        <v>6026541</v>
      </c>
      <c r="E3449" s="5">
        <v>327487</v>
      </c>
      <c r="F3449" s="5">
        <v>1065142473</v>
      </c>
      <c r="G3449" s="5">
        <v>5.4340790181299692</v>
      </c>
      <c r="H3449" s="5">
        <v>3252.4725347876406</v>
      </c>
      <c r="I3449" s="5">
        <v>176.74192758333513</v>
      </c>
    </row>
    <row r="3450" spans="1:9" x14ac:dyDescent="0.2">
      <c r="A3450" s="5" t="s">
        <v>110</v>
      </c>
      <c r="B3450" s="5" t="s">
        <v>65</v>
      </c>
      <c r="C3450" s="5" t="s">
        <v>55</v>
      </c>
      <c r="D3450" s="5">
        <v>6005691</v>
      </c>
      <c r="E3450" s="5">
        <v>324814</v>
      </c>
      <c r="F3450" s="5">
        <v>1052136322</v>
      </c>
      <c r="G3450" s="5">
        <v>5.4084367643956375</v>
      </c>
      <c r="H3450" s="5">
        <v>3239.1963462166041</v>
      </c>
      <c r="I3450" s="5">
        <v>175.189886059739</v>
      </c>
    </row>
    <row r="3451" spans="1:9" x14ac:dyDescent="0.2">
      <c r="A3451" s="5" t="s">
        <v>110</v>
      </c>
      <c r="B3451" s="5" t="s">
        <v>65</v>
      </c>
      <c r="C3451" s="5" t="s">
        <v>56</v>
      </c>
      <c r="D3451" s="5">
        <v>5988996</v>
      </c>
      <c r="E3451" s="5">
        <v>319113</v>
      </c>
      <c r="F3451" s="5">
        <v>1040231172</v>
      </c>
      <c r="G3451" s="5">
        <v>5.3283221428099132</v>
      </c>
      <c r="H3451" s="5">
        <v>3259.7580543569206</v>
      </c>
      <c r="I3451" s="5">
        <v>173.69041021232943</v>
      </c>
    </row>
    <row r="3452" spans="1:9" x14ac:dyDescent="0.2">
      <c r="A3452" s="5" t="s">
        <v>110</v>
      </c>
      <c r="B3452" s="5" t="s">
        <v>65</v>
      </c>
      <c r="C3452" s="5" t="s">
        <v>57</v>
      </c>
      <c r="D3452" s="5">
        <v>5971674</v>
      </c>
      <c r="E3452" s="5">
        <v>315987</v>
      </c>
      <c r="F3452" s="5">
        <v>1035845271</v>
      </c>
      <c r="G3452" s="5">
        <v>5.2914308450193364</v>
      </c>
      <c r="H3452" s="5">
        <v>3278.1262235471713</v>
      </c>
      <c r="I3452" s="5">
        <v>173.45978213144255</v>
      </c>
    </row>
    <row r="3453" spans="1:9" x14ac:dyDescent="0.2">
      <c r="A3453" s="5" t="s">
        <v>110</v>
      </c>
      <c r="B3453" s="5" t="s">
        <v>65</v>
      </c>
      <c r="C3453" s="5" t="s">
        <v>58</v>
      </c>
      <c r="D3453" s="5">
        <v>5966124</v>
      </c>
      <c r="E3453" s="5">
        <v>313870</v>
      </c>
      <c r="F3453" s="5">
        <v>1032958096</v>
      </c>
      <c r="G3453" s="5">
        <v>5.260869536067303</v>
      </c>
      <c r="H3453" s="5">
        <v>3291.0379966228056</v>
      </c>
      <c r="I3453" s="5">
        <v>173.13721538472885</v>
      </c>
    </row>
    <row r="3454" spans="1:9" x14ac:dyDescent="0.2">
      <c r="A3454" s="5" t="s">
        <v>110</v>
      </c>
      <c r="B3454" s="5" t="s">
        <v>65</v>
      </c>
      <c r="C3454" s="5" t="s">
        <v>59</v>
      </c>
      <c r="D3454" s="5">
        <v>5972508</v>
      </c>
      <c r="E3454" s="5">
        <v>315125</v>
      </c>
      <c r="F3454" s="5">
        <v>1035355112</v>
      </c>
      <c r="G3454" s="5">
        <v>5.2762591527713312</v>
      </c>
      <c r="H3454" s="5">
        <v>3285.5378405394686</v>
      </c>
      <c r="I3454" s="5">
        <v>173.35349102922928</v>
      </c>
    </row>
    <row r="3455" spans="1:9" x14ac:dyDescent="0.2">
      <c r="A3455" s="5" t="s">
        <v>110</v>
      </c>
      <c r="B3455" s="5" t="s">
        <v>65</v>
      </c>
      <c r="C3455" s="5" t="s">
        <v>60</v>
      </c>
      <c r="D3455" s="5">
        <v>5988385</v>
      </c>
      <c r="E3455" s="5">
        <v>317872</v>
      </c>
      <c r="F3455" s="5">
        <v>1042277647</v>
      </c>
      <c r="G3455" s="5">
        <v>5.3081423455572745</v>
      </c>
      <c r="H3455" s="5">
        <v>3278.9224813761516</v>
      </c>
      <c r="I3455" s="5">
        <v>174.04987271192485</v>
      </c>
    </row>
    <row r="3456" spans="1:9" x14ac:dyDescent="0.2">
      <c r="A3456" s="5" t="s">
        <v>110</v>
      </c>
      <c r="B3456" s="5" t="s">
        <v>65</v>
      </c>
      <c r="C3456" s="5" t="s">
        <v>61</v>
      </c>
      <c r="D3456" s="5">
        <v>6013221</v>
      </c>
      <c r="E3456" s="5">
        <v>320663</v>
      </c>
      <c r="F3456" s="5">
        <v>1059136093</v>
      </c>
      <c r="G3456" s="5">
        <v>5.3326328767893276</v>
      </c>
      <c r="H3456" s="5">
        <v>3302.9569766390259</v>
      </c>
      <c r="I3456" s="5">
        <v>176.1345696424595</v>
      </c>
    </row>
    <row r="3457" spans="1:9" x14ac:dyDescent="0.2">
      <c r="A3457" s="5" t="s">
        <v>110</v>
      </c>
      <c r="B3457" s="5" t="s">
        <v>65</v>
      </c>
      <c r="C3457" s="5" t="s">
        <v>62</v>
      </c>
      <c r="D3457" s="5">
        <v>6037824</v>
      </c>
      <c r="E3457" s="5">
        <v>324409</v>
      </c>
      <c r="F3457" s="5">
        <v>1088293711</v>
      </c>
      <c r="G3457" s="5">
        <v>5.3729456174939845</v>
      </c>
      <c r="H3457" s="5">
        <v>3354.6964202596105</v>
      </c>
      <c r="I3457" s="5">
        <v>180.24601429256631</v>
      </c>
    </row>
    <row r="3458" spans="1:9" x14ac:dyDescent="0.2">
      <c r="A3458" s="5" t="s">
        <v>111</v>
      </c>
      <c r="B3458" s="5" t="s">
        <v>44</v>
      </c>
      <c r="C3458" s="5" t="s">
        <v>45</v>
      </c>
      <c r="D3458" s="5">
        <v>983071</v>
      </c>
      <c r="E3458" s="5">
        <v>8660</v>
      </c>
      <c r="F3458" s="5">
        <v>89490158</v>
      </c>
      <c r="G3458" s="5">
        <v>0.88091297576675542</v>
      </c>
      <c r="H3458" s="5">
        <v>10333.73648960739</v>
      </c>
      <c r="I3458" s="5">
        <v>91.031225618495512</v>
      </c>
    </row>
    <row r="3459" spans="1:9" x14ac:dyDescent="0.2">
      <c r="A3459" s="5" t="s">
        <v>111</v>
      </c>
      <c r="B3459" s="5" t="s">
        <v>44</v>
      </c>
      <c r="C3459" s="5" t="s">
        <v>46</v>
      </c>
      <c r="D3459" s="5">
        <v>989300</v>
      </c>
      <c r="E3459" s="5">
        <v>8529</v>
      </c>
      <c r="F3459" s="5">
        <v>80520787</v>
      </c>
      <c r="G3459" s="5">
        <v>0.86212473466087136</v>
      </c>
      <c r="H3459" s="5">
        <v>9440.8238949466522</v>
      </c>
      <c r="I3459" s="5">
        <v>81.391677954108971</v>
      </c>
    </row>
    <row r="3460" spans="1:9" x14ac:dyDescent="0.2">
      <c r="A3460" s="5" t="s">
        <v>111</v>
      </c>
      <c r="B3460" s="5" t="s">
        <v>44</v>
      </c>
      <c r="C3460" s="5" t="s">
        <v>47</v>
      </c>
      <c r="D3460" s="5">
        <v>994583</v>
      </c>
      <c r="E3460" s="5">
        <v>8634</v>
      </c>
      <c r="F3460" s="5">
        <v>81739646</v>
      </c>
      <c r="G3460" s="5">
        <v>0.86810251130373228</v>
      </c>
      <c r="H3460" s="5">
        <v>9467.1816075978695</v>
      </c>
      <c r="I3460" s="5">
        <v>82.184841285242157</v>
      </c>
    </row>
    <row r="3461" spans="1:9" x14ac:dyDescent="0.2">
      <c r="A3461" s="5" t="s">
        <v>111</v>
      </c>
      <c r="B3461" s="5" t="s">
        <v>44</v>
      </c>
      <c r="C3461" s="5" t="s">
        <v>48</v>
      </c>
      <c r="D3461" s="5">
        <v>999007</v>
      </c>
      <c r="E3461" s="5">
        <v>8546</v>
      </c>
      <c r="F3461" s="5">
        <v>81355753</v>
      </c>
      <c r="G3461" s="5">
        <v>0.85544946131508592</v>
      </c>
      <c r="H3461" s="5">
        <v>9519.7464310788673</v>
      </c>
      <c r="I3461" s="5">
        <v>81.436619563226287</v>
      </c>
    </row>
    <row r="3462" spans="1:9" x14ac:dyDescent="0.2">
      <c r="A3462" s="5" t="s">
        <v>111</v>
      </c>
      <c r="B3462" s="5" t="s">
        <v>44</v>
      </c>
      <c r="C3462" s="5" t="s">
        <v>49</v>
      </c>
      <c r="D3462" s="5">
        <v>1002971</v>
      </c>
      <c r="E3462" s="5">
        <v>8545</v>
      </c>
      <c r="F3462" s="5">
        <v>78378802</v>
      </c>
      <c r="G3462" s="5">
        <v>0.85196880069314063</v>
      </c>
      <c r="H3462" s="5">
        <v>9172.4753657109413</v>
      </c>
      <c r="I3462" s="5">
        <v>78.146628367121281</v>
      </c>
    </row>
    <row r="3463" spans="1:9" x14ac:dyDescent="0.2">
      <c r="A3463" s="5" t="s">
        <v>111</v>
      </c>
      <c r="B3463" s="5" t="s">
        <v>44</v>
      </c>
      <c r="C3463" s="5" t="s">
        <v>50</v>
      </c>
      <c r="D3463" s="5">
        <v>1006004</v>
      </c>
      <c r="E3463" s="5">
        <v>8717</v>
      </c>
      <c r="F3463" s="5">
        <v>81803077</v>
      </c>
      <c r="G3463" s="5">
        <v>0.86649754871750018</v>
      </c>
      <c r="H3463" s="5">
        <v>9384.3153607892618</v>
      </c>
      <c r="I3463" s="5">
        <v>81.314862565158791</v>
      </c>
    </row>
    <row r="3464" spans="1:9" x14ac:dyDescent="0.2">
      <c r="A3464" s="5" t="s">
        <v>111</v>
      </c>
      <c r="B3464" s="5" t="s">
        <v>44</v>
      </c>
      <c r="C3464" s="5" t="s">
        <v>51</v>
      </c>
      <c r="D3464" s="5">
        <v>1009344</v>
      </c>
      <c r="E3464" s="5">
        <v>8727</v>
      </c>
      <c r="F3464" s="5">
        <v>82043259</v>
      </c>
      <c r="G3464" s="5">
        <v>0.8646209815484116</v>
      </c>
      <c r="H3464" s="5">
        <v>9401.0838776211749</v>
      </c>
      <c r="I3464" s="5">
        <v>81.283743698877686</v>
      </c>
    </row>
    <row r="3465" spans="1:9" x14ac:dyDescent="0.2">
      <c r="A3465" s="5" t="s">
        <v>111</v>
      </c>
      <c r="B3465" s="5" t="s">
        <v>44</v>
      </c>
      <c r="C3465" s="5" t="s">
        <v>52</v>
      </c>
      <c r="D3465" s="5">
        <v>1013122</v>
      </c>
      <c r="E3465" s="5">
        <v>8961</v>
      </c>
      <c r="F3465" s="5">
        <v>81172350</v>
      </c>
      <c r="G3465" s="5">
        <v>0.8844936740096454</v>
      </c>
      <c r="H3465" s="5">
        <v>9058.4030800133914</v>
      </c>
      <c r="I3465" s="5">
        <v>80.121002209013326</v>
      </c>
    </row>
    <row r="3466" spans="1:9" x14ac:dyDescent="0.2">
      <c r="A3466" s="5" t="s">
        <v>111</v>
      </c>
      <c r="B3466" s="5" t="s">
        <v>44</v>
      </c>
      <c r="C3466" s="5" t="s">
        <v>53</v>
      </c>
      <c r="D3466" s="5">
        <v>1017077</v>
      </c>
      <c r="E3466" s="5">
        <v>9155</v>
      </c>
      <c r="F3466" s="5">
        <v>84774965</v>
      </c>
      <c r="G3466" s="5">
        <v>0.90012850551138213</v>
      </c>
      <c r="H3466" s="5">
        <v>9259.9634079737843</v>
      </c>
      <c r="I3466" s="5">
        <v>83.351570235095281</v>
      </c>
    </row>
    <row r="3467" spans="1:9" x14ac:dyDescent="0.2">
      <c r="A3467" s="5" t="s">
        <v>111</v>
      </c>
      <c r="B3467" s="5" t="s">
        <v>44</v>
      </c>
      <c r="C3467" s="5" t="s">
        <v>54</v>
      </c>
      <c r="D3467" s="5">
        <v>1021140</v>
      </c>
      <c r="E3467" s="5">
        <v>9393</v>
      </c>
      <c r="F3467" s="5">
        <v>85851809</v>
      </c>
      <c r="G3467" s="5">
        <v>0.91985428051001816</v>
      </c>
      <c r="H3467" s="5">
        <v>9139.9775364633242</v>
      </c>
      <c r="I3467" s="5">
        <v>84.074474606811989</v>
      </c>
    </row>
    <row r="3468" spans="1:9" x14ac:dyDescent="0.2">
      <c r="A3468" s="5" t="s">
        <v>111</v>
      </c>
      <c r="B3468" s="5" t="s">
        <v>44</v>
      </c>
      <c r="C3468" s="5" t="s">
        <v>55</v>
      </c>
      <c r="D3468" s="5">
        <v>1026139</v>
      </c>
      <c r="E3468" s="5">
        <v>9586</v>
      </c>
      <c r="F3468" s="5">
        <v>89147155</v>
      </c>
      <c r="G3468" s="5">
        <v>0.93418143156044164</v>
      </c>
      <c r="H3468" s="5">
        <v>9299.7240767786352</v>
      </c>
      <c r="I3468" s="5">
        <v>86.87629551162172</v>
      </c>
    </row>
    <row r="3469" spans="1:9" x14ac:dyDescent="0.2">
      <c r="A3469" s="5" t="s">
        <v>111</v>
      </c>
      <c r="B3469" s="5" t="s">
        <v>44</v>
      </c>
      <c r="C3469" s="5" t="s">
        <v>56</v>
      </c>
      <c r="D3469" s="5">
        <v>1031429</v>
      </c>
      <c r="E3469" s="5">
        <v>9745</v>
      </c>
      <c r="F3469" s="5">
        <v>94482849</v>
      </c>
      <c r="G3469" s="5">
        <v>0.94480570160427912</v>
      </c>
      <c r="H3469" s="5">
        <v>9695.520677270395</v>
      </c>
      <c r="I3469" s="5">
        <v>91.60383215907251</v>
      </c>
    </row>
    <row r="3470" spans="1:9" x14ac:dyDescent="0.2">
      <c r="A3470" s="5" t="s">
        <v>111</v>
      </c>
      <c r="B3470" s="5" t="s">
        <v>44</v>
      </c>
      <c r="C3470" s="5" t="s">
        <v>57</v>
      </c>
      <c r="D3470" s="5">
        <v>1037887</v>
      </c>
      <c r="E3470" s="5">
        <v>9886</v>
      </c>
      <c r="F3470" s="5">
        <v>111113672</v>
      </c>
      <c r="G3470" s="5">
        <v>0.95251217136354926</v>
      </c>
      <c r="H3470" s="5">
        <v>11239.497471171353</v>
      </c>
      <c r="I3470" s="5">
        <v>107.05758141300547</v>
      </c>
    </row>
    <row r="3471" spans="1:9" x14ac:dyDescent="0.2">
      <c r="A3471" s="5" t="s">
        <v>111</v>
      </c>
      <c r="B3471" s="5" t="s">
        <v>44</v>
      </c>
      <c r="C3471" s="5" t="s">
        <v>58</v>
      </c>
      <c r="D3471" s="5">
        <v>1044584</v>
      </c>
      <c r="E3471" s="5">
        <v>9881</v>
      </c>
      <c r="F3471" s="5">
        <v>119796554</v>
      </c>
      <c r="G3471" s="5">
        <v>0.9459267995680577</v>
      </c>
      <c r="H3471" s="5">
        <v>12123.930169011233</v>
      </c>
      <c r="I3471" s="5">
        <v>114.68350462959417</v>
      </c>
    </row>
    <row r="3472" spans="1:9" x14ac:dyDescent="0.2">
      <c r="A3472" s="5" t="s">
        <v>111</v>
      </c>
      <c r="B3472" s="5" t="s">
        <v>44</v>
      </c>
      <c r="C3472" s="5" t="s">
        <v>59</v>
      </c>
      <c r="D3472" s="5">
        <v>1050480</v>
      </c>
      <c r="E3472" s="5">
        <v>9864</v>
      </c>
      <c r="F3472" s="5">
        <v>117412793</v>
      </c>
      <c r="G3472" s="5">
        <v>0.9389993145990404</v>
      </c>
      <c r="H3472" s="5">
        <v>11903.162307380373</v>
      </c>
      <c r="I3472" s="5">
        <v>111.77061248191303</v>
      </c>
    </row>
    <row r="3473" spans="1:9" x14ac:dyDescent="0.2">
      <c r="A3473" s="5" t="s">
        <v>111</v>
      </c>
      <c r="B3473" s="5" t="s">
        <v>44</v>
      </c>
      <c r="C3473" s="5" t="s">
        <v>60</v>
      </c>
      <c r="D3473" s="5">
        <v>1055271</v>
      </c>
      <c r="E3473" s="5">
        <v>9860</v>
      </c>
      <c r="F3473" s="5">
        <v>117342510</v>
      </c>
      <c r="G3473" s="5">
        <v>0.93435714617382648</v>
      </c>
      <c r="H3473" s="5">
        <v>11900.8630831643</v>
      </c>
      <c r="I3473" s="5">
        <v>111.19656467390841</v>
      </c>
    </row>
    <row r="3474" spans="1:9" x14ac:dyDescent="0.2">
      <c r="A3474" s="5" t="s">
        <v>111</v>
      </c>
      <c r="B3474" s="5" t="s">
        <v>44</v>
      </c>
      <c r="C3474" s="5" t="s">
        <v>61</v>
      </c>
      <c r="D3474" s="5">
        <v>1057486</v>
      </c>
      <c r="E3474" s="5">
        <v>9769</v>
      </c>
      <c r="F3474" s="5">
        <v>103219313</v>
      </c>
      <c r="G3474" s="5">
        <v>0.92379473581683347</v>
      </c>
      <c r="H3474" s="5">
        <v>10566.006039512744</v>
      </c>
      <c r="I3474" s="5">
        <v>97.608207579107429</v>
      </c>
    </row>
    <row r="3475" spans="1:9" x14ac:dyDescent="0.2">
      <c r="A3475" s="5" t="s">
        <v>111</v>
      </c>
      <c r="B3475" s="5" t="s">
        <v>44</v>
      </c>
      <c r="C3475" s="5" t="s">
        <v>62</v>
      </c>
      <c r="D3475" s="5">
        <v>1056860</v>
      </c>
      <c r="E3475" s="5">
        <v>9818</v>
      </c>
      <c r="F3475" s="5">
        <v>100110395</v>
      </c>
      <c r="G3475" s="5">
        <v>0.92897829419222977</v>
      </c>
      <c r="H3475" s="5">
        <v>10196.617946628641</v>
      </c>
      <c r="I3475" s="5">
        <v>94.724367465889529</v>
      </c>
    </row>
    <row r="3476" spans="1:9" x14ac:dyDescent="0.2">
      <c r="A3476" s="5" t="s">
        <v>111</v>
      </c>
      <c r="B3476" s="5" t="s">
        <v>63</v>
      </c>
      <c r="C3476" s="5" t="s">
        <v>45</v>
      </c>
      <c r="D3476" s="5">
        <v>983071</v>
      </c>
      <c r="E3476" s="5">
        <v>38555</v>
      </c>
      <c r="F3476" s="5">
        <v>93740585</v>
      </c>
      <c r="G3476" s="5">
        <v>3.9218937391093829</v>
      </c>
      <c r="H3476" s="5">
        <v>2431.3470367008172</v>
      </c>
      <c r="I3476" s="5">
        <v>95.354847208390851</v>
      </c>
    </row>
    <row r="3477" spans="1:9" x14ac:dyDescent="0.2">
      <c r="A3477" s="5" t="s">
        <v>111</v>
      </c>
      <c r="B3477" s="5" t="s">
        <v>63</v>
      </c>
      <c r="C3477" s="5" t="s">
        <v>46</v>
      </c>
      <c r="D3477" s="5">
        <v>989300</v>
      </c>
      <c r="E3477" s="5">
        <v>39159</v>
      </c>
      <c r="F3477" s="5">
        <v>95121032</v>
      </c>
      <c r="G3477" s="5">
        <v>3.9582533104215103</v>
      </c>
      <c r="H3477" s="5">
        <v>2429.0975765468984</v>
      </c>
      <c r="I3477" s="5">
        <v>96.149835237036285</v>
      </c>
    </row>
    <row r="3478" spans="1:9" x14ac:dyDescent="0.2">
      <c r="A3478" s="5" t="s">
        <v>111</v>
      </c>
      <c r="B3478" s="5" t="s">
        <v>63</v>
      </c>
      <c r="C3478" s="5" t="s">
        <v>47</v>
      </c>
      <c r="D3478" s="5">
        <v>994583</v>
      </c>
      <c r="E3478" s="5">
        <v>39753</v>
      </c>
      <c r="F3478" s="5">
        <v>95743081</v>
      </c>
      <c r="G3478" s="5">
        <v>3.9969514862007496</v>
      </c>
      <c r="H3478" s="5">
        <v>2408.4491988026061</v>
      </c>
      <c r="I3478" s="5">
        <v>96.264546045930814</v>
      </c>
    </row>
    <row r="3479" spans="1:9" x14ac:dyDescent="0.2">
      <c r="A3479" s="5" t="s">
        <v>111</v>
      </c>
      <c r="B3479" s="5" t="s">
        <v>63</v>
      </c>
      <c r="C3479" s="5" t="s">
        <v>48</v>
      </c>
      <c r="D3479" s="5">
        <v>999007</v>
      </c>
      <c r="E3479" s="5">
        <v>40809</v>
      </c>
      <c r="F3479" s="5">
        <v>97267174</v>
      </c>
      <c r="G3479" s="5">
        <v>4.0849563616671354</v>
      </c>
      <c r="H3479" s="5">
        <v>2383.4735965105738</v>
      </c>
      <c r="I3479" s="5">
        <v>97.363856309315153</v>
      </c>
    </row>
    <row r="3480" spans="1:9" x14ac:dyDescent="0.2">
      <c r="A3480" s="5" t="s">
        <v>111</v>
      </c>
      <c r="B3480" s="5" t="s">
        <v>63</v>
      </c>
      <c r="C3480" s="5" t="s">
        <v>49</v>
      </c>
      <c r="D3480" s="5">
        <v>1002971</v>
      </c>
      <c r="E3480" s="5">
        <v>40418</v>
      </c>
      <c r="F3480" s="5">
        <v>96225149</v>
      </c>
      <c r="G3480" s="5">
        <v>4.029827382845566</v>
      </c>
      <c r="H3480" s="5">
        <v>2380.7498886634667</v>
      </c>
      <c r="I3480" s="5">
        <v>95.940110930425703</v>
      </c>
    </row>
    <row r="3481" spans="1:9" x14ac:dyDescent="0.2">
      <c r="A3481" s="5" t="s">
        <v>111</v>
      </c>
      <c r="B3481" s="5" t="s">
        <v>63</v>
      </c>
      <c r="C3481" s="5" t="s">
        <v>50</v>
      </c>
      <c r="D3481" s="5">
        <v>1006004</v>
      </c>
      <c r="E3481" s="5">
        <v>38723</v>
      </c>
      <c r="F3481" s="5">
        <v>93547327</v>
      </c>
      <c r="G3481" s="5">
        <v>3.8491894664434736</v>
      </c>
      <c r="H3481" s="5">
        <v>2415.8078403016293</v>
      </c>
      <c r="I3481" s="5">
        <v>92.989020918405885</v>
      </c>
    </row>
    <row r="3482" spans="1:9" x14ac:dyDescent="0.2">
      <c r="A3482" s="5" t="s">
        <v>111</v>
      </c>
      <c r="B3482" s="5" t="s">
        <v>63</v>
      </c>
      <c r="C3482" s="5" t="s">
        <v>51</v>
      </c>
      <c r="D3482" s="5">
        <v>1009344</v>
      </c>
      <c r="E3482" s="5">
        <v>37881</v>
      </c>
      <c r="F3482" s="5">
        <v>92307285</v>
      </c>
      <c r="G3482" s="5">
        <v>3.7530316720563057</v>
      </c>
      <c r="H3482" s="5">
        <v>2436.7700166310287</v>
      </c>
      <c r="I3482" s="5">
        <v>91.452750499334215</v>
      </c>
    </row>
    <row r="3483" spans="1:9" x14ac:dyDescent="0.2">
      <c r="A3483" s="5" t="s">
        <v>111</v>
      </c>
      <c r="B3483" s="5" t="s">
        <v>63</v>
      </c>
      <c r="C3483" s="5" t="s">
        <v>52</v>
      </c>
      <c r="D3483" s="5">
        <v>1013122</v>
      </c>
      <c r="E3483" s="5">
        <v>37519</v>
      </c>
      <c r="F3483" s="5">
        <v>91435526</v>
      </c>
      <c r="G3483" s="5">
        <v>3.7033052287878458</v>
      </c>
      <c r="H3483" s="5">
        <v>2437.0459233988113</v>
      </c>
      <c r="I3483" s="5">
        <v>90.251249109189217</v>
      </c>
    </row>
    <row r="3484" spans="1:9" x14ac:dyDescent="0.2">
      <c r="A3484" s="5" t="s">
        <v>111</v>
      </c>
      <c r="B3484" s="5" t="s">
        <v>63</v>
      </c>
      <c r="C3484" s="5" t="s">
        <v>53</v>
      </c>
      <c r="D3484" s="5">
        <v>1017077</v>
      </c>
      <c r="E3484" s="5">
        <v>37458</v>
      </c>
      <c r="F3484" s="5">
        <v>90629980</v>
      </c>
      <c r="G3484" s="5">
        <v>3.6829069972086677</v>
      </c>
      <c r="H3484" s="5">
        <v>2419.5093171018207</v>
      </c>
      <c r="I3484" s="5">
        <v>89.108277937658599</v>
      </c>
    </row>
    <row r="3485" spans="1:9" x14ac:dyDescent="0.2">
      <c r="A3485" s="5" t="s">
        <v>111</v>
      </c>
      <c r="B3485" s="5" t="s">
        <v>63</v>
      </c>
      <c r="C3485" s="5" t="s">
        <v>54</v>
      </c>
      <c r="D3485" s="5">
        <v>1021140</v>
      </c>
      <c r="E3485" s="5">
        <v>38682</v>
      </c>
      <c r="F3485" s="5">
        <v>92495524</v>
      </c>
      <c r="G3485" s="5">
        <v>3.7881191609377756</v>
      </c>
      <c r="H3485" s="5">
        <v>2391.1773951708806</v>
      </c>
      <c r="I3485" s="5">
        <v>90.580649078480917</v>
      </c>
    </row>
    <row r="3486" spans="1:9" x14ac:dyDescent="0.2">
      <c r="A3486" s="5" t="s">
        <v>111</v>
      </c>
      <c r="B3486" s="5" t="s">
        <v>63</v>
      </c>
      <c r="C3486" s="5" t="s">
        <v>55</v>
      </c>
      <c r="D3486" s="5">
        <v>1026139</v>
      </c>
      <c r="E3486" s="5">
        <v>39100</v>
      </c>
      <c r="F3486" s="5">
        <v>93618736</v>
      </c>
      <c r="G3486" s="5">
        <v>3.810399955561576</v>
      </c>
      <c r="H3486" s="5">
        <v>2394.3410741687981</v>
      </c>
      <c r="I3486" s="5">
        <v>91.233971226120431</v>
      </c>
    </row>
    <row r="3487" spans="1:9" x14ac:dyDescent="0.2">
      <c r="A3487" s="5" t="s">
        <v>111</v>
      </c>
      <c r="B3487" s="5" t="s">
        <v>63</v>
      </c>
      <c r="C3487" s="5" t="s">
        <v>56</v>
      </c>
      <c r="D3487" s="5">
        <v>1031429</v>
      </c>
      <c r="E3487" s="5">
        <v>39149</v>
      </c>
      <c r="F3487" s="5">
        <v>93308038</v>
      </c>
      <c r="G3487" s="5">
        <v>3.795607841160177</v>
      </c>
      <c r="H3487" s="5">
        <v>2383.4079542261616</v>
      </c>
      <c r="I3487" s="5">
        <v>90.464819197443546</v>
      </c>
    </row>
    <row r="3488" spans="1:9" x14ac:dyDescent="0.2">
      <c r="A3488" s="5" t="s">
        <v>111</v>
      </c>
      <c r="B3488" s="5" t="s">
        <v>63</v>
      </c>
      <c r="C3488" s="5" t="s">
        <v>57</v>
      </c>
      <c r="D3488" s="5">
        <v>1037887</v>
      </c>
      <c r="E3488" s="5">
        <v>39411</v>
      </c>
      <c r="F3488" s="5">
        <v>94933824</v>
      </c>
      <c r="G3488" s="5">
        <v>3.7972341883075904</v>
      </c>
      <c r="H3488" s="5">
        <v>2408.8154068661033</v>
      </c>
      <c r="I3488" s="5">
        <v>91.468362162740263</v>
      </c>
    </row>
    <row r="3489" spans="1:9" x14ac:dyDescent="0.2">
      <c r="A3489" s="5" t="s">
        <v>111</v>
      </c>
      <c r="B3489" s="5" t="s">
        <v>63</v>
      </c>
      <c r="C3489" s="5" t="s">
        <v>58</v>
      </c>
      <c r="D3489" s="5">
        <v>1044584</v>
      </c>
      <c r="E3489" s="5">
        <v>38784</v>
      </c>
      <c r="F3489" s="5">
        <v>94061766</v>
      </c>
      <c r="G3489" s="5">
        <v>3.7128656000857756</v>
      </c>
      <c r="H3489" s="5">
        <v>2425.2724319306931</v>
      </c>
      <c r="I3489" s="5">
        <v>90.047105833518415</v>
      </c>
    </row>
    <row r="3490" spans="1:9" x14ac:dyDescent="0.2">
      <c r="A3490" s="5" t="s">
        <v>111</v>
      </c>
      <c r="B3490" s="5" t="s">
        <v>63</v>
      </c>
      <c r="C3490" s="5" t="s">
        <v>59</v>
      </c>
      <c r="D3490" s="5">
        <v>1050480</v>
      </c>
      <c r="E3490" s="5">
        <v>38753</v>
      </c>
      <c r="F3490" s="5">
        <v>94789824</v>
      </c>
      <c r="G3490" s="5">
        <v>3.6890754702612139</v>
      </c>
      <c r="H3490" s="5">
        <v>2445.9996387376459</v>
      </c>
      <c r="I3490" s="5">
        <v>90.23477267534841</v>
      </c>
    </row>
    <row r="3491" spans="1:9" x14ac:dyDescent="0.2">
      <c r="A3491" s="5" t="s">
        <v>111</v>
      </c>
      <c r="B3491" s="5" t="s">
        <v>63</v>
      </c>
      <c r="C3491" s="5" t="s">
        <v>60</v>
      </c>
      <c r="D3491" s="5">
        <v>1055271</v>
      </c>
      <c r="E3491" s="5">
        <v>38895</v>
      </c>
      <c r="F3491" s="5">
        <v>97424909</v>
      </c>
      <c r="G3491" s="5">
        <v>3.6857830832080101</v>
      </c>
      <c r="H3491" s="5">
        <v>2504.8183314050648</v>
      </c>
      <c r="I3491" s="5">
        <v>92.32217032402103</v>
      </c>
    </row>
    <row r="3492" spans="1:9" x14ac:dyDescent="0.2">
      <c r="A3492" s="5" t="s">
        <v>111</v>
      </c>
      <c r="B3492" s="5" t="s">
        <v>63</v>
      </c>
      <c r="C3492" s="5" t="s">
        <v>61</v>
      </c>
      <c r="D3492" s="5">
        <v>1057486</v>
      </c>
      <c r="E3492" s="5">
        <v>38119</v>
      </c>
      <c r="F3492" s="5">
        <v>96304375</v>
      </c>
      <c r="G3492" s="5">
        <v>3.6046812912889625</v>
      </c>
      <c r="H3492" s="5">
        <v>2526.4139930218525</v>
      </c>
      <c r="I3492" s="5">
        <v>91.069172546965163</v>
      </c>
    </row>
    <row r="3493" spans="1:9" x14ac:dyDescent="0.2">
      <c r="A3493" s="5" t="s">
        <v>111</v>
      </c>
      <c r="B3493" s="5" t="s">
        <v>63</v>
      </c>
      <c r="C3493" s="5" t="s">
        <v>62</v>
      </c>
      <c r="D3493" s="5">
        <v>1056860</v>
      </c>
      <c r="E3493" s="5">
        <v>37735</v>
      </c>
      <c r="F3493" s="5">
        <v>97296068</v>
      </c>
      <c r="G3493" s="5">
        <v>3.5704823723104289</v>
      </c>
      <c r="H3493" s="5">
        <v>2578.4038160858618</v>
      </c>
      <c r="I3493" s="5">
        <v>92.061453740325121</v>
      </c>
    </row>
    <row r="3494" spans="1:9" x14ac:dyDescent="0.2">
      <c r="A3494" s="5" t="s">
        <v>111</v>
      </c>
      <c r="B3494" s="5" t="s">
        <v>73</v>
      </c>
      <c r="C3494" s="5" t="s">
        <v>45</v>
      </c>
      <c r="D3494" s="5">
        <v>983071</v>
      </c>
      <c r="E3494" s="5">
        <v>18479</v>
      </c>
      <c r="F3494" s="5">
        <v>30493331</v>
      </c>
      <c r="G3494" s="5">
        <v>1.8797218105304703</v>
      </c>
      <c r="H3494" s="5">
        <v>1650.1613182531523</v>
      </c>
      <c r="I3494" s="5">
        <v>31.018442208141629</v>
      </c>
    </row>
    <row r="3495" spans="1:9" x14ac:dyDescent="0.2">
      <c r="A3495" s="5" t="s">
        <v>111</v>
      </c>
      <c r="B3495" s="5" t="s">
        <v>73</v>
      </c>
      <c r="C3495" s="5" t="s">
        <v>46</v>
      </c>
      <c r="D3495" s="5">
        <v>989300</v>
      </c>
      <c r="E3495" s="5">
        <v>17847</v>
      </c>
      <c r="F3495" s="5">
        <v>30036087</v>
      </c>
      <c r="G3495" s="5">
        <v>1.8040028302840392</v>
      </c>
      <c r="H3495" s="5">
        <v>1682.9768028240039</v>
      </c>
      <c r="I3495" s="5">
        <v>30.360949155968868</v>
      </c>
    </row>
    <row r="3496" spans="1:9" x14ac:dyDescent="0.2">
      <c r="A3496" s="5" t="s">
        <v>111</v>
      </c>
      <c r="B3496" s="5" t="s">
        <v>73</v>
      </c>
      <c r="C3496" s="5" t="s">
        <v>47</v>
      </c>
      <c r="D3496" s="5">
        <v>994583</v>
      </c>
      <c r="E3496" s="5">
        <v>17627</v>
      </c>
      <c r="F3496" s="5">
        <v>30312962</v>
      </c>
      <c r="G3496" s="5">
        <v>1.7723005520906752</v>
      </c>
      <c r="H3496" s="5">
        <v>1719.6892267544108</v>
      </c>
      <c r="I3496" s="5">
        <v>30.478061660012287</v>
      </c>
    </row>
    <row r="3497" spans="1:9" x14ac:dyDescent="0.2">
      <c r="A3497" s="5" t="s">
        <v>111</v>
      </c>
      <c r="B3497" s="5" t="s">
        <v>73</v>
      </c>
      <c r="C3497" s="5" t="s">
        <v>48</v>
      </c>
      <c r="D3497" s="5">
        <v>999007</v>
      </c>
      <c r="E3497" s="5">
        <v>18019</v>
      </c>
      <c r="F3497" s="5">
        <v>31257263</v>
      </c>
      <c r="G3497" s="5">
        <v>1.8036910652277711</v>
      </c>
      <c r="H3497" s="5">
        <v>1734.6835562461845</v>
      </c>
      <c r="I3497" s="5">
        <v>31.288332313987791</v>
      </c>
    </row>
    <row r="3498" spans="1:9" x14ac:dyDescent="0.2">
      <c r="A3498" s="5" t="s">
        <v>111</v>
      </c>
      <c r="B3498" s="5" t="s">
        <v>73</v>
      </c>
      <c r="C3498" s="5" t="s">
        <v>49</v>
      </c>
      <c r="D3498" s="5">
        <v>1002971</v>
      </c>
      <c r="E3498" s="5">
        <v>18406</v>
      </c>
      <c r="F3498" s="5">
        <v>31145501</v>
      </c>
      <c r="G3498" s="5">
        <v>1.8351477759576298</v>
      </c>
      <c r="H3498" s="5">
        <v>1692.1384874497446</v>
      </c>
      <c r="I3498" s="5">
        <v>31.053241818557066</v>
      </c>
    </row>
    <row r="3499" spans="1:9" x14ac:dyDescent="0.2">
      <c r="A3499" s="5" t="s">
        <v>111</v>
      </c>
      <c r="B3499" s="5" t="s">
        <v>73</v>
      </c>
      <c r="C3499" s="5" t="s">
        <v>50</v>
      </c>
      <c r="D3499" s="5">
        <v>1006004</v>
      </c>
      <c r="E3499" s="5">
        <v>18455</v>
      </c>
      <c r="F3499" s="5">
        <v>31177776</v>
      </c>
      <c r="G3499" s="5">
        <v>1.8344857475715803</v>
      </c>
      <c r="H3499" s="5">
        <v>1689.3945272283934</v>
      </c>
      <c r="I3499" s="5">
        <v>30.991701822259156</v>
      </c>
    </row>
    <row r="3500" spans="1:9" x14ac:dyDescent="0.2">
      <c r="A3500" s="5" t="s">
        <v>111</v>
      </c>
      <c r="B3500" s="5" t="s">
        <v>73</v>
      </c>
      <c r="C3500" s="5" t="s">
        <v>51</v>
      </c>
      <c r="D3500" s="5">
        <v>1009344</v>
      </c>
      <c r="E3500" s="5">
        <v>18297</v>
      </c>
      <c r="F3500" s="5">
        <v>30305002</v>
      </c>
      <c r="G3500" s="5">
        <v>1.8127615560205441</v>
      </c>
      <c r="H3500" s="5">
        <v>1656.2825599825107</v>
      </c>
      <c r="I3500" s="5">
        <v>30.024453506435862</v>
      </c>
    </row>
    <row r="3501" spans="1:9" x14ac:dyDescent="0.2">
      <c r="A3501" s="5" t="s">
        <v>111</v>
      </c>
      <c r="B3501" s="5" t="s">
        <v>73</v>
      </c>
      <c r="C3501" s="5" t="s">
        <v>52</v>
      </c>
      <c r="D3501" s="5">
        <v>1013122</v>
      </c>
      <c r="E3501" s="5">
        <v>17659</v>
      </c>
      <c r="F3501" s="5">
        <v>29078086</v>
      </c>
      <c r="G3501" s="5">
        <v>1.7430279867577647</v>
      </c>
      <c r="H3501" s="5">
        <v>1646.6439775751742</v>
      </c>
      <c r="I3501" s="5">
        <v>28.701465371396534</v>
      </c>
    </row>
    <row r="3502" spans="1:9" x14ac:dyDescent="0.2">
      <c r="A3502" s="5" t="s">
        <v>111</v>
      </c>
      <c r="B3502" s="5" t="s">
        <v>73</v>
      </c>
      <c r="C3502" s="5" t="s">
        <v>53</v>
      </c>
      <c r="D3502" s="5">
        <v>1017077</v>
      </c>
      <c r="E3502" s="5">
        <v>16956</v>
      </c>
      <c r="F3502" s="5">
        <v>29595285</v>
      </c>
      <c r="G3502" s="5">
        <v>1.6671304139214631</v>
      </c>
      <c r="H3502" s="5">
        <v>1745.4166666666667</v>
      </c>
      <c r="I3502" s="5">
        <v>29.098372099654206</v>
      </c>
    </row>
    <row r="3503" spans="1:9" x14ac:dyDescent="0.2">
      <c r="A3503" s="5" t="s">
        <v>111</v>
      </c>
      <c r="B3503" s="5" t="s">
        <v>73</v>
      </c>
      <c r="C3503" s="5" t="s">
        <v>54</v>
      </c>
      <c r="D3503" s="5">
        <v>1021140</v>
      </c>
      <c r="E3503" s="5">
        <v>16951</v>
      </c>
      <c r="F3503" s="5">
        <v>29801522</v>
      </c>
      <c r="G3503" s="5">
        <v>1.6600074426621227</v>
      </c>
      <c r="H3503" s="5">
        <v>1758.0981652999824</v>
      </c>
      <c r="I3503" s="5">
        <v>29.184560393285935</v>
      </c>
    </row>
    <row r="3504" spans="1:9" x14ac:dyDescent="0.2">
      <c r="A3504" s="5" t="s">
        <v>111</v>
      </c>
      <c r="B3504" s="5" t="s">
        <v>73</v>
      </c>
      <c r="C3504" s="5" t="s">
        <v>55</v>
      </c>
      <c r="D3504" s="5">
        <v>1026139</v>
      </c>
      <c r="E3504" s="5">
        <v>17059</v>
      </c>
      <c r="F3504" s="5">
        <v>29810839</v>
      </c>
      <c r="G3504" s="5">
        <v>1.6624453412257014</v>
      </c>
      <c r="H3504" s="5">
        <v>1747.5138636496863</v>
      </c>
      <c r="I3504" s="5">
        <v>29.051462813517468</v>
      </c>
    </row>
    <row r="3505" spans="1:9" x14ac:dyDescent="0.2">
      <c r="A3505" s="5" t="s">
        <v>111</v>
      </c>
      <c r="B3505" s="5" t="s">
        <v>73</v>
      </c>
      <c r="C3505" s="5" t="s">
        <v>56</v>
      </c>
      <c r="D3505" s="5">
        <v>1031429</v>
      </c>
      <c r="E3505" s="5">
        <v>16996</v>
      </c>
      <c r="F3505" s="5">
        <v>30537445</v>
      </c>
      <c r="G3505" s="5">
        <v>1.6478109496630402</v>
      </c>
      <c r="H3505" s="5">
        <v>1796.743057189927</v>
      </c>
      <c r="I3505" s="5">
        <v>29.60692883368608</v>
      </c>
    </row>
    <row r="3506" spans="1:9" x14ac:dyDescent="0.2">
      <c r="A3506" s="5" t="s">
        <v>111</v>
      </c>
      <c r="B3506" s="5" t="s">
        <v>73</v>
      </c>
      <c r="C3506" s="5" t="s">
        <v>57</v>
      </c>
      <c r="D3506" s="5">
        <v>1037887</v>
      </c>
      <c r="E3506" s="5">
        <v>16773</v>
      </c>
      <c r="F3506" s="5">
        <v>29938731</v>
      </c>
      <c r="G3506" s="5">
        <v>1.6160718845115123</v>
      </c>
      <c r="H3506" s="5">
        <v>1784.9359685208372</v>
      </c>
      <c r="I3506" s="5">
        <v>28.845848343798504</v>
      </c>
    </row>
    <row r="3507" spans="1:9" x14ac:dyDescent="0.2">
      <c r="A3507" s="5" t="s">
        <v>111</v>
      </c>
      <c r="B3507" s="5" t="s">
        <v>73</v>
      </c>
      <c r="C3507" s="5" t="s">
        <v>58</v>
      </c>
      <c r="D3507" s="5">
        <v>1044584</v>
      </c>
      <c r="E3507" s="5">
        <v>16931</v>
      </c>
      <c r="F3507" s="5">
        <v>29616480</v>
      </c>
      <c r="G3507" s="5">
        <v>1.6208366201282041</v>
      </c>
      <c r="H3507" s="5">
        <v>1749.2457622113284</v>
      </c>
      <c r="I3507" s="5">
        <v>28.352415889961936</v>
      </c>
    </row>
    <row r="3508" spans="1:9" x14ac:dyDescent="0.2">
      <c r="A3508" s="5" t="s">
        <v>111</v>
      </c>
      <c r="B3508" s="5" t="s">
        <v>73</v>
      </c>
      <c r="C3508" s="5" t="s">
        <v>59</v>
      </c>
      <c r="D3508" s="5">
        <v>1050480</v>
      </c>
      <c r="E3508" s="5">
        <v>16706</v>
      </c>
      <c r="F3508" s="5">
        <v>30592618</v>
      </c>
      <c r="G3508" s="5">
        <v>1.5903206153377503</v>
      </c>
      <c r="H3508" s="5">
        <v>1831.2353645396863</v>
      </c>
      <c r="I3508" s="5">
        <v>29.122513517630036</v>
      </c>
    </row>
    <row r="3509" spans="1:9" x14ac:dyDescent="0.2">
      <c r="A3509" s="5" t="s">
        <v>111</v>
      </c>
      <c r="B3509" s="5" t="s">
        <v>73</v>
      </c>
      <c r="C3509" s="5" t="s">
        <v>60</v>
      </c>
      <c r="D3509" s="5">
        <v>1055271</v>
      </c>
      <c r="E3509" s="5">
        <v>16517</v>
      </c>
      <c r="F3509" s="5">
        <v>31002157</v>
      </c>
      <c r="G3509" s="5">
        <v>1.5651903634232345</v>
      </c>
      <c r="H3509" s="5">
        <v>1876.9847429920687</v>
      </c>
      <c r="I3509" s="5">
        <v>29.378384320236222</v>
      </c>
    </row>
    <row r="3510" spans="1:9" x14ac:dyDescent="0.2">
      <c r="A3510" s="5" t="s">
        <v>111</v>
      </c>
      <c r="B3510" s="5" t="s">
        <v>73</v>
      </c>
      <c r="C3510" s="5" t="s">
        <v>61</v>
      </c>
      <c r="D3510" s="5">
        <v>1057486</v>
      </c>
      <c r="E3510" s="5">
        <v>16381</v>
      </c>
      <c r="F3510" s="5">
        <v>30513114</v>
      </c>
      <c r="G3510" s="5">
        <v>1.5490512403946719</v>
      </c>
      <c r="H3510" s="5">
        <v>1862.7137537390879</v>
      </c>
      <c r="I3510" s="5">
        <v>28.854390507297495</v>
      </c>
    </row>
    <row r="3511" spans="1:9" x14ac:dyDescent="0.2">
      <c r="A3511" s="5" t="s">
        <v>111</v>
      </c>
      <c r="B3511" s="5" t="s">
        <v>73</v>
      </c>
      <c r="C3511" s="5" t="s">
        <v>62</v>
      </c>
      <c r="D3511" s="5">
        <v>1056860</v>
      </c>
      <c r="E3511" s="5">
        <v>16261</v>
      </c>
      <c r="F3511" s="5">
        <v>30712679</v>
      </c>
      <c r="G3511" s="5">
        <v>1.5386143860113923</v>
      </c>
      <c r="H3511" s="5">
        <v>1888.7324887768279</v>
      </c>
      <c r="I3511" s="5">
        <v>29.060309785591279</v>
      </c>
    </row>
    <row r="3512" spans="1:9" x14ac:dyDescent="0.2">
      <c r="A3512" s="5" t="s">
        <v>111</v>
      </c>
      <c r="B3512" s="5" t="s">
        <v>64</v>
      </c>
      <c r="C3512" s="5" t="s">
        <v>45</v>
      </c>
      <c r="D3512" s="5">
        <v>797535</v>
      </c>
      <c r="E3512" s="5">
        <v>113958</v>
      </c>
      <c r="F3512" s="5">
        <v>54376104</v>
      </c>
      <c r="G3512" s="5">
        <v>14.288777295040344</v>
      </c>
      <c r="H3512" s="5">
        <v>477.15916390249038</v>
      </c>
      <c r="I3512" s="5">
        <v>68.180210272903381</v>
      </c>
    </row>
    <row r="3513" spans="1:9" x14ac:dyDescent="0.2">
      <c r="A3513" s="5" t="s">
        <v>111</v>
      </c>
      <c r="B3513" s="5" t="s">
        <v>64</v>
      </c>
      <c r="C3513" s="5" t="s">
        <v>46</v>
      </c>
      <c r="D3513" s="5">
        <v>803627</v>
      </c>
      <c r="E3513" s="5">
        <v>116893</v>
      </c>
      <c r="F3513" s="5">
        <v>55029228</v>
      </c>
      <c r="G3513" s="5">
        <v>14.545678529964773</v>
      </c>
      <c r="H3513" s="5">
        <v>470.76581146860804</v>
      </c>
      <c r="I3513" s="5">
        <v>68.476081565203756</v>
      </c>
    </row>
    <row r="3514" spans="1:9" x14ac:dyDescent="0.2">
      <c r="A3514" s="5" t="s">
        <v>111</v>
      </c>
      <c r="B3514" s="5" t="s">
        <v>64</v>
      </c>
      <c r="C3514" s="5" t="s">
        <v>47</v>
      </c>
      <c r="D3514" s="5">
        <v>808401</v>
      </c>
      <c r="E3514" s="5">
        <v>125145</v>
      </c>
      <c r="F3514" s="5">
        <v>57276569</v>
      </c>
      <c r="G3514" s="5">
        <v>15.480559771697463</v>
      </c>
      <c r="H3514" s="5">
        <v>457.68164129609653</v>
      </c>
      <c r="I3514" s="5">
        <v>70.851680044928202</v>
      </c>
    </row>
    <row r="3515" spans="1:9" x14ac:dyDescent="0.2">
      <c r="A3515" s="5" t="s">
        <v>111</v>
      </c>
      <c r="B3515" s="5" t="s">
        <v>64</v>
      </c>
      <c r="C3515" s="5" t="s">
        <v>48</v>
      </c>
      <c r="D3515" s="5">
        <v>811817</v>
      </c>
      <c r="E3515" s="5">
        <v>132602</v>
      </c>
      <c r="F3515" s="5">
        <v>57784507</v>
      </c>
      <c r="G3515" s="5">
        <v>16.333976745990782</v>
      </c>
      <c r="H3515" s="5">
        <v>435.77402301624409</v>
      </c>
      <c r="I3515" s="5">
        <v>71.179227584541835</v>
      </c>
    </row>
    <row r="3516" spans="1:9" x14ac:dyDescent="0.2">
      <c r="A3516" s="5" t="s">
        <v>111</v>
      </c>
      <c r="B3516" s="5" t="s">
        <v>64</v>
      </c>
      <c r="C3516" s="5" t="s">
        <v>49</v>
      </c>
      <c r="D3516" s="5">
        <v>814351</v>
      </c>
      <c r="E3516" s="5">
        <v>137804</v>
      </c>
      <c r="F3516" s="5">
        <v>58495200</v>
      </c>
      <c r="G3516" s="5">
        <v>16.921941521530641</v>
      </c>
      <c r="H3516" s="5">
        <v>424.48114713651273</v>
      </c>
      <c r="I3516" s="5">
        <v>71.830451488363124</v>
      </c>
    </row>
    <row r="3517" spans="1:9" x14ac:dyDescent="0.2">
      <c r="A3517" s="5" t="s">
        <v>111</v>
      </c>
      <c r="B3517" s="5" t="s">
        <v>64</v>
      </c>
      <c r="C3517" s="5" t="s">
        <v>50</v>
      </c>
      <c r="D3517" s="5">
        <v>815395</v>
      </c>
      <c r="E3517" s="5">
        <v>139655</v>
      </c>
      <c r="F3517" s="5">
        <v>57467267</v>
      </c>
      <c r="G3517" s="5">
        <v>17.127281869523358</v>
      </c>
      <c r="H3517" s="5">
        <v>411.49451863520818</v>
      </c>
      <c r="I3517" s="5">
        <v>70.477826084290442</v>
      </c>
    </row>
    <row r="3518" spans="1:9" x14ac:dyDescent="0.2">
      <c r="A3518" s="5" t="s">
        <v>111</v>
      </c>
      <c r="B3518" s="5" t="s">
        <v>64</v>
      </c>
      <c r="C3518" s="5" t="s">
        <v>51</v>
      </c>
      <c r="D3518" s="5">
        <v>815813</v>
      </c>
      <c r="E3518" s="5">
        <v>132443</v>
      </c>
      <c r="F3518" s="5">
        <v>54335344</v>
      </c>
      <c r="G3518" s="5">
        <v>16.234480205635361</v>
      </c>
      <c r="H3518" s="5">
        <v>410.2545547896076</v>
      </c>
      <c r="I3518" s="5">
        <v>66.602694490036313</v>
      </c>
    </row>
    <row r="3519" spans="1:9" x14ac:dyDescent="0.2">
      <c r="A3519" s="5" t="s">
        <v>111</v>
      </c>
      <c r="B3519" s="5" t="s">
        <v>64</v>
      </c>
      <c r="C3519" s="5" t="s">
        <v>52</v>
      </c>
      <c r="D3519" s="5">
        <v>816106</v>
      </c>
      <c r="E3519" s="5">
        <v>127907</v>
      </c>
      <c r="F3519" s="5">
        <v>51875378</v>
      </c>
      <c r="G3519" s="5">
        <v>15.672841518136124</v>
      </c>
      <c r="H3519" s="5">
        <v>405.57106335071575</v>
      </c>
      <c r="I3519" s="5">
        <v>63.564510002377141</v>
      </c>
    </row>
    <row r="3520" spans="1:9" x14ac:dyDescent="0.2">
      <c r="A3520" s="5" t="s">
        <v>111</v>
      </c>
      <c r="B3520" s="5" t="s">
        <v>64</v>
      </c>
      <c r="C3520" s="5" t="s">
        <v>53</v>
      </c>
      <c r="D3520" s="5">
        <v>816347</v>
      </c>
      <c r="E3520" s="5">
        <v>121476</v>
      </c>
      <c r="F3520" s="5">
        <v>49397997</v>
      </c>
      <c r="G3520" s="5">
        <v>14.880436873045408</v>
      </c>
      <c r="H3520" s="5">
        <v>406.64820211399785</v>
      </c>
      <c r="I3520" s="5">
        <v>60.511029010947553</v>
      </c>
    </row>
    <row r="3521" spans="1:9" x14ac:dyDescent="0.2">
      <c r="A3521" s="5" t="s">
        <v>111</v>
      </c>
      <c r="B3521" s="5" t="s">
        <v>64</v>
      </c>
      <c r="C3521" s="5" t="s">
        <v>54</v>
      </c>
      <c r="D3521" s="5">
        <v>817102</v>
      </c>
      <c r="E3521" s="5">
        <v>117268</v>
      </c>
      <c r="F3521" s="5">
        <v>48562447</v>
      </c>
      <c r="G3521" s="5">
        <v>14.351696605809311</v>
      </c>
      <c r="H3521" s="5">
        <v>414.11507828222534</v>
      </c>
      <c r="I3521" s="5">
        <v>59.432539633974706</v>
      </c>
    </row>
    <row r="3522" spans="1:9" x14ac:dyDescent="0.2">
      <c r="A3522" s="5" t="s">
        <v>111</v>
      </c>
      <c r="B3522" s="5" t="s">
        <v>64</v>
      </c>
      <c r="C3522" s="5" t="s">
        <v>55</v>
      </c>
      <c r="D3522" s="5">
        <v>818867</v>
      </c>
      <c r="E3522" s="5">
        <v>118393</v>
      </c>
      <c r="F3522" s="5">
        <v>48199357</v>
      </c>
      <c r="G3522" s="5">
        <v>14.45814766012063</v>
      </c>
      <c r="H3522" s="5">
        <v>407.11323304587262</v>
      </c>
      <c r="I3522" s="5">
        <v>58.861032377663285</v>
      </c>
    </row>
    <row r="3523" spans="1:9" x14ac:dyDescent="0.2">
      <c r="A3523" s="5" t="s">
        <v>111</v>
      </c>
      <c r="B3523" s="5" t="s">
        <v>64</v>
      </c>
      <c r="C3523" s="5" t="s">
        <v>56</v>
      </c>
      <c r="D3523" s="5">
        <v>821101</v>
      </c>
      <c r="E3523" s="5">
        <v>115213</v>
      </c>
      <c r="F3523" s="5">
        <v>47318148</v>
      </c>
      <c r="G3523" s="5">
        <v>14.031525963310239</v>
      </c>
      <c r="H3523" s="5">
        <v>410.70146598040151</v>
      </c>
      <c r="I3523" s="5">
        <v>57.627682830735807</v>
      </c>
    </row>
    <row r="3524" spans="1:9" x14ac:dyDescent="0.2">
      <c r="A3524" s="5" t="s">
        <v>111</v>
      </c>
      <c r="B3524" s="5" t="s">
        <v>64</v>
      </c>
      <c r="C3524" s="5" t="s">
        <v>57</v>
      </c>
      <c r="D3524" s="5">
        <v>824518</v>
      </c>
      <c r="E3524" s="5">
        <v>112082</v>
      </c>
      <c r="F3524" s="5">
        <v>46100594</v>
      </c>
      <c r="G3524" s="5">
        <v>13.593638950271552</v>
      </c>
      <c r="H3524" s="5">
        <v>411.31130779250907</v>
      </c>
      <c r="I3524" s="5">
        <v>55.912174142953823</v>
      </c>
    </row>
    <row r="3525" spans="1:9" x14ac:dyDescent="0.2">
      <c r="A3525" s="5" t="s">
        <v>111</v>
      </c>
      <c r="B3525" s="5" t="s">
        <v>64</v>
      </c>
      <c r="C3525" s="5" t="s">
        <v>58</v>
      </c>
      <c r="D3525" s="5">
        <v>828285</v>
      </c>
      <c r="E3525" s="5">
        <v>111025</v>
      </c>
      <c r="F3525" s="5">
        <v>44995450</v>
      </c>
      <c r="G3525" s="5">
        <v>13.404202659712539</v>
      </c>
      <c r="H3525" s="5">
        <v>405.27313668092773</v>
      </c>
      <c r="I3525" s="5">
        <v>54.323632566085344</v>
      </c>
    </row>
    <row r="3526" spans="1:9" x14ac:dyDescent="0.2">
      <c r="A3526" s="5" t="s">
        <v>111</v>
      </c>
      <c r="B3526" s="5" t="s">
        <v>64</v>
      </c>
      <c r="C3526" s="5" t="s">
        <v>59</v>
      </c>
      <c r="D3526" s="5">
        <v>831898</v>
      </c>
      <c r="E3526" s="5">
        <v>107865</v>
      </c>
      <c r="F3526" s="5">
        <v>44108693</v>
      </c>
      <c r="G3526" s="5">
        <v>12.966132867250552</v>
      </c>
      <c r="H3526" s="5">
        <v>408.92498029944841</v>
      </c>
      <c r="I3526" s="5">
        <v>53.02175627300462</v>
      </c>
    </row>
    <row r="3527" spans="1:9" x14ac:dyDescent="0.2">
      <c r="A3527" s="5" t="s">
        <v>111</v>
      </c>
      <c r="B3527" s="5" t="s">
        <v>64</v>
      </c>
      <c r="C3527" s="5" t="s">
        <v>60</v>
      </c>
      <c r="D3527" s="5">
        <v>835448</v>
      </c>
      <c r="E3527" s="5">
        <v>107192</v>
      </c>
      <c r="F3527" s="5">
        <v>43533355</v>
      </c>
      <c r="G3527" s="5">
        <v>12.830481370474285</v>
      </c>
      <c r="H3527" s="5">
        <v>406.12503731621763</v>
      </c>
      <c r="I3527" s="5">
        <v>52.107797253689036</v>
      </c>
    </row>
    <row r="3528" spans="1:9" x14ac:dyDescent="0.2">
      <c r="A3528" s="5" t="s">
        <v>111</v>
      </c>
      <c r="B3528" s="5" t="s">
        <v>64</v>
      </c>
      <c r="C3528" s="5" t="s">
        <v>61</v>
      </c>
      <c r="D3528" s="5">
        <v>837526</v>
      </c>
      <c r="E3528" s="5">
        <v>105282</v>
      </c>
      <c r="F3528" s="5">
        <v>43279068</v>
      </c>
      <c r="G3528" s="5">
        <v>12.570594823324887</v>
      </c>
      <c r="H3528" s="5">
        <v>411.07756311620221</v>
      </c>
      <c r="I3528" s="5">
        <v>51.674894868935411</v>
      </c>
    </row>
    <row r="3529" spans="1:9" x14ac:dyDescent="0.2">
      <c r="A3529" s="5" t="s">
        <v>111</v>
      </c>
      <c r="B3529" s="5" t="s">
        <v>64</v>
      </c>
      <c r="C3529" s="5" t="s">
        <v>62</v>
      </c>
      <c r="D3529" s="5">
        <v>838022</v>
      </c>
      <c r="E3529" s="5">
        <v>101770</v>
      </c>
      <c r="F3529" s="5">
        <v>43139673</v>
      </c>
      <c r="G3529" s="5">
        <v>12.144072589979737</v>
      </c>
      <c r="H3529" s="5">
        <v>423.89380957060035</v>
      </c>
      <c r="I3529" s="5">
        <v>51.477971938684185</v>
      </c>
    </row>
    <row r="3530" spans="1:9" x14ac:dyDescent="0.2">
      <c r="A3530" s="5" t="s">
        <v>111</v>
      </c>
      <c r="B3530" s="5" t="s">
        <v>65</v>
      </c>
      <c r="C3530" s="5" t="s">
        <v>45</v>
      </c>
      <c r="D3530" s="5">
        <v>762656</v>
      </c>
      <c r="E3530" s="5">
        <v>42666</v>
      </c>
      <c r="F3530" s="5">
        <v>115133232</v>
      </c>
      <c r="G3530" s="5">
        <v>5.5943964251248266</v>
      </c>
      <c r="H3530" s="5">
        <v>2698.477288707636</v>
      </c>
      <c r="I3530" s="5">
        <v>150.96351697226535</v>
      </c>
    </row>
    <row r="3531" spans="1:9" x14ac:dyDescent="0.2">
      <c r="A3531" s="5" t="s">
        <v>111</v>
      </c>
      <c r="B3531" s="5" t="s">
        <v>65</v>
      </c>
      <c r="C3531" s="5" t="s">
        <v>46</v>
      </c>
      <c r="D3531" s="5">
        <v>768483</v>
      </c>
      <c r="E3531" s="5">
        <v>43553</v>
      </c>
      <c r="F3531" s="5">
        <v>117276893</v>
      </c>
      <c r="G3531" s="5">
        <v>5.6673992788389596</v>
      </c>
      <c r="H3531" s="5">
        <v>2692.7397194223131</v>
      </c>
      <c r="I3531" s="5">
        <v>152.60831143955039</v>
      </c>
    </row>
    <row r="3532" spans="1:9" x14ac:dyDescent="0.2">
      <c r="A3532" s="5" t="s">
        <v>111</v>
      </c>
      <c r="B3532" s="5" t="s">
        <v>65</v>
      </c>
      <c r="C3532" s="5" t="s">
        <v>47</v>
      </c>
      <c r="D3532" s="5">
        <v>773032</v>
      </c>
      <c r="E3532" s="5">
        <v>44015</v>
      </c>
      <c r="F3532" s="5">
        <v>117286125</v>
      </c>
      <c r="G3532" s="5">
        <v>5.6938134514483227</v>
      </c>
      <c r="H3532" s="5">
        <v>2664.6853345450413</v>
      </c>
      <c r="I3532" s="5">
        <v>151.72221201709633</v>
      </c>
    </row>
    <row r="3533" spans="1:9" x14ac:dyDescent="0.2">
      <c r="A3533" s="5" t="s">
        <v>111</v>
      </c>
      <c r="B3533" s="5" t="s">
        <v>65</v>
      </c>
      <c r="C3533" s="5" t="s">
        <v>48</v>
      </c>
      <c r="D3533" s="5">
        <v>776185</v>
      </c>
      <c r="E3533" s="5">
        <v>43992</v>
      </c>
      <c r="F3533" s="5">
        <v>118138889</v>
      </c>
      <c r="G3533" s="5">
        <v>5.667720968583521</v>
      </c>
      <c r="H3533" s="5">
        <v>2685.4630160029096</v>
      </c>
      <c r="I3533" s="5">
        <v>152.20455046155234</v>
      </c>
    </row>
    <row r="3534" spans="1:9" x14ac:dyDescent="0.2">
      <c r="A3534" s="5" t="s">
        <v>111</v>
      </c>
      <c r="B3534" s="5" t="s">
        <v>65</v>
      </c>
      <c r="C3534" s="5" t="s">
        <v>49</v>
      </c>
      <c r="D3534" s="5">
        <v>778448</v>
      </c>
      <c r="E3534" s="5">
        <v>42629</v>
      </c>
      <c r="F3534" s="5">
        <v>114844884</v>
      </c>
      <c r="G3534" s="5">
        <v>5.476152549688611</v>
      </c>
      <c r="H3534" s="5">
        <v>2694.0553144572941</v>
      </c>
      <c r="I3534" s="5">
        <v>147.53057879267465</v>
      </c>
    </row>
    <row r="3535" spans="1:9" x14ac:dyDescent="0.2">
      <c r="A3535" s="5" t="s">
        <v>111</v>
      </c>
      <c r="B3535" s="5" t="s">
        <v>65</v>
      </c>
      <c r="C3535" s="5" t="s">
        <v>50</v>
      </c>
      <c r="D3535" s="5">
        <v>779198</v>
      </c>
      <c r="E3535" s="5">
        <v>40092</v>
      </c>
      <c r="F3535" s="5">
        <v>110540462</v>
      </c>
      <c r="G3535" s="5">
        <v>5.1452904139897688</v>
      </c>
      <c r="H3535" s="5">
        <v>2757.1700588646113</v>
      </c>
      <c r="I3535" s="5">
        <v>141.86440673615692</v>
      </c>
    </row>
    <row r="3536" spans="1:9" x14ac:dyDescent="0.2">
      <c r="A3536" s="5" t="s">
        <v>111</v>
      </c>
      <c r="B3536" s="5" t="s">
        <v>65</v>
      </c>
      <c r="C3536" s="5" t="s">
        <v>51</v>
      </c>
      <c r="D3536" s="5">
        <v>779344</v>
      </c>
      <c r="E3536" s="5">
        <v>38195</v>
      </c>
      <c r="F3536" s="5">
        <v>107630756</v>
      </c>
      <c r="G3536" s="5">
        <v>4.9009166683775076</v>
      </c>
      <c r="H3536" s="5">
        <v>2817.9278963215079</v>
      </c>
      <c r="I3536" s="5">
        <v>138.10429797368042</v>
      </c>
    </row>
    <row r="3537" spans="1:9" x14ac:dyDescent="0.2">
      <c r="A3537" s="5" t="s">
        <v>111</v>
      </c>
      <c r="B3537" s="5" t="s">
        <v>65</v>
      </c>
      <c r="C3537" s="5" t="s">
        <v>52</v>
      </c>
      <c r="D3537" s="5">
        <v>779362</v>
      </c>
      <c r="E3537" s="5">
        <v>37177</v>
      </c>
      <c r="F3537" s="5">
        <v>104992814</v>
      </c>
      <c r="G3537" s="5">
        <v>4.7701838170195625</v>
      </c>
      <c r="H3537" s="5">
        <v>2824.1335772117168</v>
      </c>
      <c r="I3537" s="5">
        <v>134.71636287116897</v>
      </c>
    </row>
    <row r="3538" spans="1:9" x14ac:dyDescent="0.2">
      <c r="A3538" s="5" t="s">
        <v>111</v>
      </c>
      <c r="B3538" s="5" t="s">
        <v>65</v>
      </c>
      <c r="C3538" s="5" t="s">
        <v>53</v>
      </c>
      <c r="D3538" s="5">
        <v>779317</v>
      </c>
      <c r="E3538" s="5">
        <v>36879</v>
      </c>
      <c r="F3538" s="5">
        <v>104938941</v>
      </c>
      <c r="G3538" s="5">
        <v>4.7322206496201158</v>
      </c>
      <c r="H3538" s="5">
        <v>2845.4931261693646</v>
      </c>
      <c r="I3538" s="5">
        <v>134.65501330010767</v>
      </c>
    </row>
    <row r="3539" spans="1:9" x14ac:dyDescent="0.2">
      <c r="A3539" s="5" t="s">
        <v>111</v>
      </c>
      <c r="B3539" s="5" t="s">
        <v>65</v>
      </c>
      <c r="C3539" s="5" t="s">
        <v>54</v>
      </c>
      <c r="D3539" s="5">
        <v>779816</v>
      </c>
      <c r="E3539" s="5">
        <v>37969</v>
      </c>
      <c r="F3539" s="5">
        <v>108508588</v>
      </c>
      <c r="G3539" s="5">
        <v>4.8689690901443416</v>
      </c>
      <c r="H3539" s="5">
        <v>2857.8205378071584</v>
      </c>
      <c r="I3539" s="5">
        <v>139.14639863762733</v>
      </c>
    </row>
    <row r="3540" spans="1:9" x14ac:dyDescent="0.2">
      <c r="A3540" s="5" t="s">
        <v>111</v>
      </c>
      <c r="B3540" s="5" t="s">
        <v>65</v>
      </c>
      <c r="C3540" s="5" t="s">
        <v>55</v>
      </c>
      <c r="D3540" s="5">
        <v>781327</v>
      </c>
      <c r="E3540" s="5">
        <v>38211</v>
      </c>
      <c r="F3540" s="5">
        <v>109050015</v>
      </c>
      <c r="G3540" s="5">
        <v>4.8905259897584497</v>
      </c>
      <c r="H3540" s="5">
        <v>2853.890633587187</v>
      </c>
      <c r="I3540" s="5">
        <v>139.57026315486345</v>
      </c>
    </row>
    <row r="3541" spans="1:9" x14ac:dyDescent="0.2">
      <c r="A3541" s="5" t="s">
        <v>111</v>
      </c>
      <c r="B3541" s="5" t="s">
        <v>65</v>
      </c>
      <c r="C3541" s="5" t="s">
        <v>56</v>
      </c>
      <c r="D3541" s="5">
        <v>783368</v>
      </c>
      <c r="E3541" s="5">
        <v>38127</v>
      </c>
      <c r="F3541" s="5">
        <v>109051481</v>
      </c>
      <c r="G3541" s="5">
        <v>4.867061202397851</v>
      </c>
      <c r="H3541" s="5">
        <v>2860.2166706008866</v>
      </c>
      <c r="I3541" s="5">
        <v>139.20849587933131</v>
      </c>
    </row>
    <row r="3542" spans="1:9" x14ac:dyDescent="0.2">
      <c r="A3542" s="5" t="s">
        <v>111</v>
      </c>
      <c r="B3542" s="5" t="s">
        <v>65</v>
      </c>
      <c r="C3542" s="5" t="s">
        <v>57</v>
      </c>
      <c r="D3542" s="5">
        <v>786538</v>
      </c>
      <c r="E3542" s="5">
        <v>37865</v>
      </c>
      <c r="F3542" s="5">
        <v>108967659</v>
      </c>
      <c r="G3542" s="5">
        <v>4.814134854260061</v>
      </c>
      <c r="H3542" s="5">
        <v>2877.7937145120823</v>
      </c>
      <c r="I3542" s="5">
        <v>138.54087024403145</v>
      </c>
    </row>
    <row r="3543" spans="1:9" x14ac:dyDescent="0.2">
      <c r="A3543" s="5" t="s">
        <v>111</v>
      </c>
      <c r="B3543" s="5" t="s">
        <v>65</v>
      </c>
      <c r="C3543" s="5" t="s">
        <v>58</v>
      </c>
      <c r="D3543" s="5">
        <v>790053</v>
      </c>
      <c r="E3543" s="5">
        <v>36743</v>
      </c>
      <c r="F3543" s="5">
        <v>106851251</v>
      </c>
      <c r="G3543" s="5">
        <v>4.6507006491969527</v>
      </c>
      <c r="H3543" s="5">
        <v>2908.0709522902321</v>
      </c>
      <c r="I3543" s="5">
        <v>135.24567465726983</v>
      </c>
    </row>
    <row r="3544" spans="1:9" x14ac:dyDescent="0.2">
      <c r="A3544" s="5" t="s">
        <v>111</v>
      </c>
      <c r="B3544" s="5" t="s">
        <v>65</v>
      </c>
      <c r="C3544" s="5" t="s">
        <v>59</v>
      </c>
      <c r="D3544" s="5">
        <v>793404</v>
      </c>
      <c r="E3544" s="5">
        <v>36768</v>
      </c>
      <c r="F3544" s="5">
        <v>107631129</v>
      </c>
      <c r="G3544" s="5">
        <v>4.6342090536473224</v>
      </c>
      <c r="H3544" s="5">
        <v>2927.3044223237598</v>
      </c>
      <c r="I3544" s="5">
        <v>135.65740656714613</v>
      </c>
    </row>
    <row r="3545" spans="1:9" x14ac:dyDescent="0.2">
      <c r="A3545" s="5" t="s">
        <v>111</v>
      </c>
      <c r="B3545" s="5" t="s">
        <v>65</v>
      </c>
      <c r="C3545" s="5" t="s">
        <v>60</v>
      </c>
      <c r="D3545" s="5">
        <v>796713</v>
      </c>
      <c r="E3545" s="5">
        <v>36850</v>
      </c>
      <c r="F3545" s="5">
        <v>108983559</v>
      </c>
      <c r="G3545" s="5">
        <v>4.6252540124235448</v>
      </c>
      <c r="H3545" s="5">
        <v>2957.4914246947083</v>
      </c>
      <c r="I3545" s="5">
        <v>136.79149078777428</v>
      </c>
    </row>
    <row r="3546" spans="1:9" x14ac:dyDescent="0.2">
      <c r="A3546" s="5" t="s">
        <v>111</v>
      </c>
      <c r="B3546" s="5" t="s">
        <v>65</v>
      </c>
      <c r="C3546" s="5" t="s">
        <v>61</v>
      </c>
      <c r="D3546" s="5">
        <v>798676</v>
      </c>
      <c r="E3546" s="5">
        <v>36672</v>
      </c>
      <c r="F3546" s="5">
        <v>108104826</v>
      </c>
      <c r="G3546" s="5">
        <v>4.5915990965047149</v>
      </c>
      <c r="H3546" s="5">
        <v>2947.8846531413615</v>
      </c>
      <c r="I3546" s="5">
        <v>135.35504509963991</v>
      </c>
    </row>
    <row r="3547" spans="1:9" x14ac:dyDescent="0.2">
      <c r="A3547" s="5" t="s">
        <v>111</v>
      </c>
      <c r="B3547" s="5" t="s">
        <v>65</v>
      </c>
      <c r="C3547" s="5" t="s">
        <v>62</v>
      </c>
      <c r="D3547" s="5">
        <v>799147</v>
      </c>
      <c r="E3547" s="5">
        <v>36914</v>
      </c>
      <c r="F3547" s="5">
        <v>109633380</v>
      </c>
      <c r="G3547" s="5">
        <v>4.6191751955522573</v>
      </c>
      <c r="H3547" s="5">
        <v>2969.9674920084522</v>
      </c>
      <c r="I3547" s="5">
        <v>137.1880017068199</v>
      </c>
    </row>
    <row r="3548" spans="1:9" x14ac:dyDescent="0.2">
      <c r="A3548" s="5" t="s">
        <v>112</v>
      </c>
      <c r="B3548" s="5" t="s">
        <v>44</v>
      </c>
      <c r="C3548" s="5" t="s">
        <v>45</v>
      </c>
      <c r="D3548" s="5">
        <v>3559069</v>
      </c>
      <c r="E3548" s="5">
        <v>36374</v>
      </c>
      <c r="F3548" s="5">
        <v>313798898</v>
      </c>
      <c r="G3548" s="5">
        <v>1.0220088455716931</v>
      </c>
      <c r="H3548" s="5">
        <v>8627.0109968658926</v>
      </c>
      <c r="I3548" s="5">
        <v>88.168815496412122</v>
      </c>
    </row>
    <row r="3549" spans="1:9" x14ac:dyDescent="0.2">
      <c r="A3549" s="5" t="s">
        <v>112</v>
      </c>
      <c r="B3549" s="5" t="s">
        <v>44</v>
      </c>
      <c r="C3549" s="5" t="s">
        <v>46</v>
      </c>
      <c r="D3549" s="5">
        <v>3596449</v>
      </c>
      <c r="E3549" s="5">
        <v>36619</v>
      </c>
      <c r="F3549" s="5">
        <v>317037612</v>
      </c>
      <c r="G3549" s="5">
        <v>1.0181987844120688</v>
      </c>
      <c r="H3549" s="5">
        <v>8657.7353832709796</v>
      </c>
      <c r="I3549" s="5">
        <v>88.152956430078675</v>
      </c>
    </row>
    <row r="3550" spans="1:9" x14ac:dyDescent="0.2">
      <c r="A3550" s="5" t="s">
        <v>112</v>
      </c>
      <c r="B3550" s="5" t="s">
        <v>44</v>
      </c>
      <c r="C3550" s="5" t="s">
        <v>47</v>
      </c>
      <c r="D3550" s="5">
        <v>3634917</v>
      </c>
      <c r="E3550" s="5">
        <v>36926</v>
      </c>
      <c r="F3550" s="5">
        <v>323130594</v>
      </c>
      <c r="G3550" s="5">
        <v>1.0158691381398806</v>
      </c>
      <c r="H3550" s="5">
        <v>8750.7608189351668</v>
      </c>
      <c r="I3550" s="5">
        <v>88.896278511999043</v>
      </c>
    </row>
    <row r="3551" spans="1:9" x14ac:dyDescent="0.2">
      <c r="A3551" s="5" t="s">
        <v>112</v>
      </c>
      <c r="B3551" s="5" t="s">
        <v>44</v>
      </c>
      <c r="C3551" s="5" t="s">
        <v>48</v>
      </c>
      <c r="D3551" s="5">
        <v>3677565</v>
      </c>
      <c r="E3551" s="5">
        <v>37356</v>
      </c>
      <c r="F3551" s="5">
        <v>332291533</v>
      </c>
      <c r="G3551" s="5">
        <v>1.0157808223647984</v>
      </c>
      <c r="H3551" s="5">
        <v>8895.2653656708426</v>
      </c>
      <c r="I3551" s="5">
        <v>90.356399682942381</v>
      </c>
    </row>
    <row r="3552" spans="1:9" x14ac:dyDescent="0.2">
      <c r="A3552" s="5" t="s">
        <v>112</v>
      </c>
      <c r="B3552" s="5" t="s">
        <v>44</v>
      </c>
      <c r="C3552" s="5" t="s">
        <v>49</v>
      </c>
      <c r="D3552" s="5">
        <v>3707501</v>
      </c>
      <c r="E3552" s="5">
        <v>37538</v>
      </c>
      <c r="F3552" s="5">
        <v>336331992</v>
      </c>
      <c r="G3552" s="5">
        <v>1.0124879265035938</v>
      </c>
      <c r="H3552" s="5">
        <v>8959.7738824657681</v>
      </c>
      <c r="I3552" s="5">
        <v>90.716628801988179</v>
      </c>
    </row>
    <row r="3553" spans="1:9" x14ac:dyDescent="0.2">
      <c r="A3553" s="5" t="s">
        <v>112</v>
      </c>
      <c r="B3553" s="5" t="s">
        <v>44</v>
      </c>
      <c r="C3553" s="5" t="s">
        <v>50</v>
      </c>
      <c r="D3553" s="5">
        <v>3731276</v>
      </c>
      <c r="E3553" s="5">
        <v>37639</v>
      </c>
      <c r="F3553" s="5">
        <v>337178882</v>
      </c>
      <c r="G3553" s="5">
        <v>1.0087433896608025</v>
      </c>
      <c r="H3553" s="5">
        <v>8958.231674592842</v>
      </c>
      <c r="I3553" s="5">
        <v>90.365569847955499</v>
      </c>
    </row>
    <row r="3554" spans="1:9" x14ac:dyDescent="0.2">
      <c r="A3554" s="5" t="s">
        <v>112</v>
      </c>
      <c r="B3554" s="5" t="s">
        <v>44</v>
      </c>
      <c r="C3554" s="5" t="s">
        <v>51</v>
      </c>
      <c r="D3554" s="5">
        <v>3757914</v>
      </c>
      <c r="E3554" s="5">
        <v>38030</v>
      </c>
      <c r="F3554" s="5">
        <v>343504510</v>
      </c>
      <c r="G3554" s="5">
        <v>1.011997613569656</v>
      </c>
      <c r="H3554" s="5">
        <v>9032.4614777807001</v>
      </c>
      <c r="I3554" s="5">
        <v>91.408294601739158</v>
      </c>
    </row>
    <row r="3555" spans="1:9" x14ac:dyDescent="0.2">
      <c r="A3555" s="5" t="s">
        <v>112</v>
      </c>
      <c r="B3555" s="5" t="s">
        <v>44</v>
      </c>
      <c r="C3555" s="5" t="s">
        <v>52</v>
      </c>
      <c r="D3555" s="5">
        <v>3781942</v>
      </c>
      <c r="E3555" s="5">
        <v>37973</v>
      </c>
      <c r="F3555" s="5">
        <v>344798095</v>
      </c>
      <c r="G3555" s="5">
        <v>1.0040608766607209</v>
      </c>
      <c r="H3555" s="5">
        <v>9080.085718800201</v>
      </c>
      <c r="I3555" s="5">
        <v>91.169588269730212</v>
      </c>
    </row>
    <row r="3556" spans="1:9" x14ac:dyDescent="0.2">
      <c r="A3556" s="5" t="s">
        <v>112</v>
      </c>
      <c r="B3556" s="5" t="s">
        <v>44</v>
      </c>
      <c r="C3556" s="5" t="s">
        <v>53</v>
      </c>
      <c r="D3556" s="5">
        <v>3814495</v>
      </c>
      <c r="E3556" s="5">
        <v>38162</v>
      </c>
      <c r="F3556" s="5">
        <v>346209123</v>
      </c>
      <c r="G3556" s="5">
        <v>1.0004469792200541</v>
      </c>
      <c r="H3556" s="5">
        <v>9072.0906399035684</v>
      </c>
      <c r="I3556" s="5">
        <v>90.761456759020533</v>
      </c>
    </row>
    <row r="3557" spans="1:9" x14ac:dyDescent="0.2">
      <c r="A3557" s="5" t="s">
        <v>112</v>
      </c>
      <c r="B3557" s="5" t="s">
        <v>44</v>
      </c>
      <c r="C3557" s="5" t="s">
        <v>54</v>
      </c>
      <c r="D3557" s="5">
        <v>3849472</v>
      </c>
      <c r="E3557" s="5">
        <v>38405</v>
      </c>
      <c r="F3557" s="5">
        <v>348580671</v>
      </c>
      <c r="G3557" s="5">
        <v>0.99766929074948463</v>
      </c>
      <c r="H3557" s="5">
        <v>9076.4398125244115</v>
      </c>
      <c r="I3557" s="5">
        <v>90.552852702916141</v>
      </c>
    </row>
    <row r="3558" spans="1:9" x14ac:dyDescent="0.2">
      <c r="A3558" s="5" t="s">
        <v>112</v>
      </c>
      <c r="B3558" s="5" t="s">
        <v>44</v>
      </c>
      <c r="C3558" s="5" t="s">
        <v>55</v>
      </c>
      <c r="D3558" s="5">
        <v>3886070</v>
      </c>
      <c r="E3558" s="5">
        <v>38194</v>
      </c>
      <c r="F3558" s="5">
        <v>343801939</v>
      </c>
      <c r="G3558" s="5">
        <v>0.98284384995638263</v>
      </c>
      <c r="H3558" s="5">
        <v>9001.4646017699124</v>
      </c>
      <c r="I3558" s="5">
        <v>88.470341244496367</v>
      </c>
    </row>
    <row r="3559" spans="1:9" x14ac:dyDescent="0.2">
      <c r="A3559" s="5" t="s">
        <v>112</v>
      </c>
      <c r="B3559" s="5" t="s">
        <v>44</v>
      </c>
      <c r="C3559" s="5" t="s">
        <v>56</v>
      </c>
      <c r="D3559" s="5">
        <v>3929029</v>
      </c>
      <c r="E3559" s="5">
        <v>38351</v>
      </c>
      <c r="F3559" s="5">
        <v>346366407</v>
      </c>
      <c r="G3559" s="5">
        <v>0.97609358444541894</v>
      </c>
      <c r="H3559" s="5">
        <v>9031.483064326876</v>
      </c>
      <c r="I3559" s="5">
        <v>88.155726771169157</v>
      </c>
    </row>
    <row r="3560" spans="1:9" x14ac:dyDescent="0.2">
      <c r="A3560" s="5" t="s">
        <v>112</v>
      </c>
      <c r="B3560" s="5" t="s">
        <v>44</v>
      </c>
      <c r="C3560" s="5" t="s">
        <v>57</v>
      </c>
      <c r="D3560" s="5">
        <v>3969809</v>
      </c>
      <c r="E3560" s="5">
        <v>38051</v>
      </c>
      <c r="F3560" s="5">
        <v>352305124</v>
      </c>
      <c r="G3560" s="5">
        <v>0.95850959076368658</v>
      </c>
      <c r="H3560" s="5">
        <v>9258.7612414916821</v>
      </c>
      <c r="I3560" s="5">
        <v>88.746114485608757</v>
      </c>
    </row>
    <row r="3561" spans="1:9" x14ac:dyDescent="0.2">
      <c r="A3561" s="5" t="s">
        <v>112</v>
      </c>
      <c r="B3561" s="5" t="s">
        <v>44</v>
      </c>
      <c r="C3561" s="5" t="s">
        <v>58</v>
      </c>
      <c r="D3561" s="5">
        <v>4010426</v>
      </c>
      <c r="E3561" s="5">
        <v>37937</v>
      </c>
      <c r="F3561" s="5">
        <v>359126424</v>
      </c>
      <c r="G3561" s="5">
        <v>0.94595935693614597</v>
      </c>
      <c r="H3561" s="5">
        <v>9466.3896459920397</v>
      </c>
      <c r="I3561" s="5">
        <v>89.548198620296205</v>
      </c>
    </row>
    <row r="3562" spans="1:9" x14ac:dyDescent="0.2">
      <c r="A3562" s="5" t="s">
        <v>112</v>
      </c>
      <c r="B3562" s="5" t="s">
        <v>44</v>
      </c>
      <c r="C3562" s="5" t="s">
        <v>59</v>
      </c>
      <c r="D3562" s="5">
        <v>4046150</v>
      </c>
      <c r="E3562" s="5">
        <v>38454</v>
      </c>
      <c r="F3562" s="5">
        <v>364966521</v>
      </c>
      <c r="G3562" s="5">
        <v>0.95038493382598277</v>
      </c>
      <c r="H3562" s="5">
        <v>9490.9897799968785</v>
      </c>
      <c r="I3562" s="5">
        <v>90.20093694005412</v>
      </c>
    </row>
    <row r="3563" spans="1:9" x14ac:dyDescent="0.2">
      <c r="A3563" s="5" t="s">
        <v>112</v>
      </c>
      <c r="B3563" s="5" t="s">
        <v>44</v>
      </c>
      <c r="C3563" s="5" t="s">
        <v>60</v>
      </c>
      <c r="D3563" s="5">
        <v>4080042</v>
      </c>
      <c r="E3563" s="5">
        <v>38430</v>
      </c>
      <c r="F3563" s="5">
        <v>365635744</v>
      </c>
      <c r="G3563" s="5">
        <v>0.94190206865517556</v>
      </c>
      <c r="H3563" s="5">
        <v>9514.3310954983081</v>
      </c>
      <c r="I3563" s="5">
        <v>89.615681407201194</v>
      </c>
    </row>
    <row r="3564" spans="1:9" x14ac:dyDescent="0.2">
      <c r="A3564" s="5" t="s">
        <v>112</v>
      </c>
      <c r="B3564" s="5" t="s">
        <v>44</v>
      </c>
      <c r="C3564" s="5" t="s">
        <v>61</v>
      </c>
      <c r="D3564" s="5">
        <v>4118381</v>
      </c>
      <c r="E3564" s="5">
        <v>38317</v>
      </c>
      <c r="F3564" s="5">
        <v>368714742</v>
      </c>
      <c r="G3564" s="5">
        <v>0.93038987893543601</v>
      </c>
      <c r="H3564" s="5">
        <v>9622.7455698515023</v>
      </c>
      <c r="I3564" s="5">
        <v>89.529050857606421</v>
      </c>
    </row>
    <row r="3565" spans="1:9" x14ac:dyDescent="0.2">
      <c r="A3565" s="5" t="s">
        <v>112</v>
      </c>
      <c r="B3565" s="5" t="s">
        <v>44</v>
      </c>
      <c r="C3565" s="5" t="s">
        <v>62</v>
      </c>
      <c r="D3565" s="5">
        <v>4139859</v>
      </c>
      <c r="E3565" s="5">
        <v>38506</v>
      </c>
      <c r="F3565" s="5">
        <v>375521300</v>
      </c>
      <c r="G3565" s="5">
        <v>0.9301282966400547</v>
      </c>
      <c r="H3565" s="5">
        <v>9752.2801641302649</v>
      </c>
      <c r="I3565" s="5">
        <v>90.708717374190769</v>
      </c>
    </row>
    <row r="3566" spans="1:9" x14ac:dyDescent="0.2">
      <c r="A3566" s="5" t="s">
        <v>112</v>
      </c>
      <c r="B3566" s="5" t="s">
        <v>63</v>
      </c>
      <c r="C3566" s="5" t="s">
        <v>45</v>
      </c>
      <c r="D3566" s="5">
        <v>3559069</v>
      </c>
      <c r="E3566" s="5">
        <v>139413</v>
      </c>
      <c r="F3566" s="5">
        <v>293913971</v>
      </c>
      <c r="G3566" s="5">
        <v>3.9171198984903075</v>
      </c>
      <c r="H3566" s="5">
        <v>2108.2249933650378</v>
      </c>
      <c r="I3566" s="5">
        <v>82.581700720047849</v>
      </c>
    </row>
    <row r="3567" spans="1:9" x14ac:dyDescent="0.2">
      <c r="A3567" s="5" t="s">
        <v>112</v>
      </c>
      <c r="B3567" s="5" t="s">
        <v>63</v>
      </c>
      <c r="C3567" s="5" t="s">
        <v>46</v>
      </c>
      <c r="D3567" s="5">
        <v>3596449</v>
      </c>
      <c r="E3567" s="5">
        <v>140411</v>
      </c>
      <c r="F3567" s="5">
        <v>297827545</v>
      </c>
      <c r="G3567" s="5">
        <v>3.9041565722188749</v>
      </c>
      <c r="H3567" s="5">
        <v>2121.1126265036214</v>
      </c>
      <c r="I3567" s="5">
        <v>82.811558011805531</v>
      </c>
    </row>
    <row r="3568" spans="1:9" x14ac:dyDescent="0.2">
      <c r="A3568" s="5" t="s">
        <v>112</v>
      </c>
      <c r="B3568" s="5" t="s">
        <v>63</v>
      </c>
      <c r="C3568" s="5" t="s">
        <v>47</v>
      </c>
      <c r="D3568" s="5">
        <v>3634917</v>
      </c>
      <c r="E3568" s="5">
        <v>141385</v>
      </c>
      <c r="F3568" s="5">
        <v>304096243</v>
      </c>
      <c r="G3568" s="5">
        <v>3.889634894001706</v>
      </c>
      <c r="H3568" s="5">
        <v>2150.8380874916011</v>
      </c>
      <c r="I3568" s="5">
        <v>83.659748764552262</v>
      </c>
    </row>
    <row r="3569" spans="1:9" x14ac:dyDescent="0.2">
      <c r="A3569" s="5" t="s">
        <v>112</v>
      </c>
      <c r="B3569" s="5" t="s">
        <v>63</v>
      </c>
      <c r="C3569" s="5" t="s">
        <v>48</v>
      </c>
      <c r="D3569" s="5">
        <v>3677565</v>
      </c>
      <c r="E3569" s="5">
        <v>144677</v>
      </c>
      <c r="F3569" s="5">
        <v>313922269</v>
      </c>
      <c r="G3569" s="5">
        <v>3.9340433139862925</v>
      </c>
      <c r="H3569" s="5">
        <v>2169.8146146243012</v>
      </c>
      <c r="I3569" s="5">
        <v>85.361446772524758</v>
      </c>
    </row>
    <row r="3570" spans="1:9" x14ac:dyDescent="0.2">
      <c r="A3570" s="5" t="s">
        <v>112</v>
      </c>
      <c r="B3570" s="5" t="s">
        <v>63</v>
      </c>
      <c r="C3570" s="5" t="s">
        <v>49</v>
      </c>
      <c r="D3570" s="5">
        <v>3707501</v>
      </c>
      <c r="E3570" s="5">
        <v>145555</v>
      </c>
      <c r="F3570" s="5">
        <v>318655886</v>
      </c>
      <c r="G3570" s="5">
        <v>3.9259598311639028</v>
      </c>
      <c r="H3570" s="5">
        <v>2189.2472673559823</v>
      </c>
      <c r="I3570" s="5">
        <v>85.948968321249268</v>
      </c>
    </row>
    <row r="3571" spans="1:9" x14ac:dyDescent="0.2">
      <c r="A3571" s="5" t="s">
        <v>112</v>
      </c>
      <c r="B3571" s="5" t="s">
        <v>63</v>
      </c>
      <c r="C3571" s="5" t="s">
        <v>50</v>
      </c>
      <c r="D3571" s="5">
        <v>3731276</v>
      </c>
      <c r="E3571" s="5">
        <v>146561</v>
      </c>
      <c r="F3571" s="5">
        <v>323559322</v>
      </c>
      <c r="G3571" s="5">
        <v>3.9279056279942841</v>
      </c>
      <c r="H3571" s="5">
        <v>2207.6768171614549</v>
      </c>
      <c r="I3571" s="5">
        <v>86.715461949209867</v>
      </c>
    </row>
    <row r="3572" spans="1:9" x14ac:dyDescent="0.2">
      <c r="A3572" s="5" t="s">
        <v>112</v>
      </c>
      <c r="B3572" s="5" t="s">
        <v>63</v>
      </c>
      <c r="C3572" s="5" t="s">
        <v>51</v>
      </c>
      <c r="D3572" s="5">
        <v>3757914</v>
      </c>
      <c r="E3572" s="5">
        <v>147977</v>
      </c>
      <c r="F3572" s="5">
        <v>330936621</v>
      </c>
      <c r="G3572" s="5">
        <v>3.9377431202523527</v>
      </c>
      <c r="H3572" s="5">
        <v>2236.4057995499302</v>
      </c>
      <c r="I3572" s="5">
        <v>88.063915512701996</v>
      </c>
    </row>
    <row r="3573" spans="1:9" x14ac:dyDescent="0.2">
      <c r="A3573" s="5" t="s">
        <v>112</v>
      </c>
      <c r="B3573" s="5" t="s">
        <v>63</v>
      </c>
      <c r="C3573" s="5" t="s">
        <v>52</v>
      </c>
      <c r="D3573" s="5">
        <v>3781942</v>
      </c>
      <c r="E3573" s="5">
        <v>147976</v>
      </c>
      <c r="F3573" s="5">
        <v>333685994</v>
      </c>
      <c r="G3573" s="5">
        <v>3.9126988198126784</v>
      </c>
      <c r="H3573" s="5">
        <v>2255.0007703951992</v>
      </c>
      <c r="I3573" s="5">
        <v>88.231388530019757</v>
      </c>
    </row>
    <row r="3574" spans="1:9" x14ac:dyDescent="0.2">
      <c r="A3574" s="5" t="s">
        <v>112</v>
      </c>
      <c r="B3574" s="5" t="s">
        <v>63</v>
      </c>
      <c r="C3574" s="5" t="s">
        <v>53</v>
      </c>
      <c r="D3574" s="5">
        <v>3814495</v>
      </c>
      <c r="E3574" s="5">
        <v>149660</v>
      </c>
      <c r="F3574" s="5">
        <v>338407574</v>
      </c>
      <c r="G3574" s="5">
        <v>3.9234551362631227</v>
      </c>
      <c r="H3574" s="5">
        <v>2261.1758252037953</v>
      </c>
      <c r="I3574" s="5">
        <v>88.716219053898357</v>
      </c>
    </row>
    <row r="3575" spans="1:9" x14ac:dyDescent="0.2">
      <c r="A3575" s="5" t="s">
        <v>112</v>
      </c>
      <c r="B3575" s="5" t="s">
        <v>63</v>
      </c>
      <c r="C3575" s="5" t="s">
        <v>54</v>
      </c>
      <c r="D3575" s="5">
        <v>3849472</v>
      </c>
      <c r="E3575" s="5">
        <v>152538</v>
      </c>
      <c r="F3575" s="5">
        <v>347988334</v>
      </c>
      <c r="G3575" s="5">
        <v>3.9625694121167787</v>
      </c>
      <c r="H3575" s="5">
        <v>2281.3222541268406</v>
      </c>
      <c r="I3575" s="5">
        <v>90.39897783384319</v>
      </c>
    </row>
    <row r="3576" spans="1:9" x14ac:dyDescent="0.2">
      <c r="A3576" s="5" t="s">
        <v>112</v>
      </c>
      <c r="B3576" s="5" t="s">
        <v>63</v>
      </c>
      <c r="C3576" s="5" t="s">
        <v>55</v>
      </c>
      <c r="D3576" s="5">
        <v>3886070</v>
      </c>
      <c r="E3576" s="5">
        <v>154131</v>
      </c>
      <c r="F3576" s="5">
        <v>352752798</v>
      </c>
      <c r="G3576" s="5">
        <v>3.966243531382605</v>
      </c>
      <c r="H3576" s="5">
        <v>2288.6557408957315</v>
      </c>
      <c r="I3576" s="5">
        <v>90.773660278893587</v>
      </c>
    </row>
    <row r="3577" spans="1:9" x14ac:dyDescent="0.2">
      <c r="A3577" s="5" t="s">
        <v>112</v>
      </c>
      <c r="B3577" s="5" t="s">
        <v>63</v>
      </c>
      <c r="C3577" s="5" t="s">
        <v>56</v>
      </c>
      <c r="D3577" s="5">
        <v>3929029</v>
      </c>
      <c r="E3577" s="5">
        <v>155513</v>
      </c>
      <c r="F3577" s="5">
        <v>359331152</v>
      </c>
      <c r="G3577" s="5">
        <v>3.9580517221939568</v>
      </c>
      <c r="H3577" s="5">
        <v>2310.6180962363273</v>
      </c>
      <c r="I3577" s="5">
        <v>91.455459351407185</v>
      </c>
    </row>
    <row r="3578" spans="1:9" x14ac:dyDescent="0.2">
      <c r="A3578" s="5" t="s">
        <v>112</v>
      </c>
      <c r="B3578" s="5" t="s">
        <v>63</v>
      </c>
      <c r="C3578" s="5" t="s">
        <v>57</v>
      </c>
      <c r="D3578" s="5">
        <v>3969809</v>
      </c>
      <c r="E3578" s="5">
        <v>155573</v>
      </c>
      <c r="F3578" s="5">
        <v>365378264</v>
      </c>
      <c r="G3578" s="5">
        <v>3.9189039069637861</v>
      </c>
      <c r="H3578" s="5">
        <v>2348.5968902058839</v>
      </c>
      <c r="I3578" s="5">
        <v>92.039255289108368</v>
      </c>
    </row>
    <row r="3579" spans="1:9" x14ac:dyDescent="0.2">
      <c r="A3579" s="5" t="s">
        <v>112</v>
      </c>
      <c r="B3579" s="5" t="s">
        <v>63</v>
      </c>
      <c r="C3579" s="5" t="s">
        <v>58</v>
      </c>
      <c r="D3579" s="5">
        <v>4010426</v>
      </c>
      <c r="E3579" s="5">
        <v>155886</v>
      </c>
      <c r="F3579" s="5">
        <v>369575668</v>
      </c>
      <c r="G3579" s="5">
        <v>3.8870184863154189</v>
      </c>
      <c r="H3579" s="5">
        <v>2370.8073079044943</v>
      </c>
      <c r="I3579" s="5">
        <v>92.153718333164605</v>
      </c>
    </row>
    <row r="3580" spans="1:9" x14ac:dyDescent="0.2">
      <c r="A3580" s="5" t="s">
        <v>112</v>
      </c>
      <c r="B3580" s="5" t="s">
        <v>63</v>
      </c>
      <c r="C3580" s="5" t="s">
        <v>59</v>
      </c>
      <c r="D3580" s="5">
        <v>4046150</v>
      </c>
      <c r="E3580" s="5">
        <v>157498</v>
      </c>
      <c r="F3580" s="5">
        <v>376013267</v>
      </c>
      <c r="G3580" s="5">
        <v>3.8925398218059142</v>
      </c>
      <c r="H3580" s="5">
        <v>2387.4161386176334</v>
      </c>
      <c r="I3580" s="5">
        <v>92.931123907912465</v>
      </c>
    </row>
    <row r="3581" spans="1:9" x14ac:dyDescent="0.2">
      <c r="A3581" s="5" t="s">
        <v>112</v>
      </c>
      <c r="B3581" s="5" t="s">
        <v>63</v>
      </c>
      <c r="C3581" s="5" t="s">
        <v>60</v>
      </c>
      <c r="D3581" s="5">
        <v>4080042</v>
      </c>
      <c r="E3581" s="5">
        <v>159401</v>
      </c>
      <c r="F3581" s="5">
        <v>382533692</v>
      </c>
      <c r="G3581" s="5">
        <v>3.9068470373589292</v>
      </c>
      <c r="H3581" s="5">
        <v>2399.8199007534458</v>
      </c>
      <c r="I3581" s="5">
        <v>93.757292694535991</v>
      </c>
    </row>
    <row r="3582" spans="1:9" x14ac:dyDescent="0.2">
      <c r="A3582" s="5" t="s">
        <v>112</v>
      </c>
      <c r="B3582" s="5" t="s">
        <v>63</v>
      </c>
      <c r="C3582" s="5" t="s">
        <v>61</v>
      </c>
      <c r="D3582" s="5">
        <v>4118381</v>
      </c>
      <c r="E3582" s="5">
        <v>158711</v>
      </c>
      <c r="F3582" s="5">
        <v>383204511</v>
      </c>
      <c r="G3582" s="5">
        <v>3.8537231013837721</v>
      </c>
      <c r="H3582" s="5">
        <v>2414.4798470175351</v>
      </c>
      <c r="I3582" s="5">
        <v>93.047367642770297</v>
      </c>
    </row>
    <row r="3583" spans="1:9" x14ac:dyDescent="0.2">
      <c r="A3583" s="5" t="s">
        <v>112</v>
      </c>
      <c r="B3583" s="5" t="s">
        <v>63</v>
      </c>
      <c r="C3583" s="5" t="s">
        <v>62</v>
      </c>
      <c r="D3583" s="5">
        <v>4139859</v>
      </c>
      <c r="E3583" s="5">
        <v>157962</v>
      </c>
      <c r="F3583" s="5">
        <v>385261916</v>
      </c>
      <c r="G3583" s="5">
        <v>3.815637199237945</v>
      </c>
      <c r="H3583" s="5">
        <v>2438.9531406287588</v>
      </c>
      <c r="I3583" s="5">
        <v>93.061603305813065</v>
      </c>
    </row>
    <row r="3584" spans="1:9" x14ac:dyDescent="0.2">
      <c r="A3584" s="5" t="s">
        <v>112</v>
      </c>
      <c r="B3584" s="5" t="s">
        <v>64</v>
      </c>
      <c r="C3584" s="5" t="s">
        <v>45</v>
      </c>
      <c r="D3584" s="5">
        <v>3009939</v>
      </c>
      <c r="E3584" s="5">
        <v>232444</v>
      </c>
      <c r="F3584" s="5">
        <v>154437536</v>
      </c>
      <c r="G3584" s="5">
        <v>7.7225485300532668</v>
      </c>
      <c r="H3584" s="5">
        <v>664.40749599903631</v>
      </c>
      <c r="I3584" s="5">
        <v>51.309191315837296</v>
      </c>
    </row>
    <row r="3585" spans="1:9" x14ac:dyDescent="0.2">
      <c r="A3585" s="5" t="s">
        <v>112</v>
      </c>
      <c r="B3585" s="5" t="s">
        <v>64</v>
      </c>
      <c r="C3585" s="5" t="s">
        <v>46</v>
      </c>
      <c r="D3585" s="5">
        <v>3033512</v>
      </c>
      <c r="E3585" s="5">
        <v>231845</v>
      </c>
      <c r="F3585" s="5">
        <v>158165404</v>
      </c>
      <c r="G3585" s="5">
        <v>7.6427915894184695</v>
      </c>
      <c r="H3585" s="5">
        <v>682.20321335374922</v>
      </c>
      <c r="I3585" s="5">
        <v>52.139369812942888</v>
      </c>
    </row>
    <row r="3586" spans="1:9" x14ac:dyDescent="0.2">
      <c r="A3586" s="5" t="s">
        <v>112</v>
      </c>
      <c r="B3586" s="5" t="s">
        <v>64</v>
      </c>
      <c r="C3586" s="5" t="s">
        <v>47</v>
      </c>
      <c r="D3586" s="5">
        <v>3058252</v>
      </c>
      <c r="E3586" s="5">
        <v>240539</v>
      </c>
      <c r="F3586" s="5">
        <v>184936476</v>
      </c>
      <c r="G3586" s="5">
        <v>7.8652445907008319</v>
      </c>
      <c r="H3586" s="5">
        <v>768.84195910018752</v>
      </c>
      <c r="I3586" s="5">
        <v>60.471300599165801</v>
      </c>
    </row>
    <row r="3587" spans="1:9" x14ac:dyDescent="0.2">
      <c r="A3587" s="5" t="s">
        <v>112</v>
      </c>
      <c r="B3587" s="5" t="s">
        <v>64</v>
      </c>
      <c r="C3587" s="5" t="s">
        <v>48</v>
      </c>
      <c r="D3587" s="5">
        <v>3086137</v>
      </c>
      <c r="E3587" s="5">
        <v>243116</v>
      </c>
      <c r="F3587" s="5">
        <v>194267650</v>
      </c>
      <c r="G3587" s="5">
        <v>7.8776800900284076</v>
      </c>
      <c r="H3587" s="5">
        <v>799.07389887954719</v>
      </c>
      <c r="I3587" s="5">
        <v>62.948485436647822</v>
      </c>
    </row>
    <row r="3588" spans="1:9" x14ac:dyDescent="0.2">
      <c r="A3588" s="5" t="s">
        <v>112</v>
      </c>
      <c r="B3588" s="5" t="s">
        <v>64</v>
      </c>
      <c r="C3588" s="5" t="s">
        <v>49</v>
      </c>
      <c r="D3588" s="5">
        <v>3105616</v>
      </c>
      <c r="E3588" s="5">
        <v>239922</v>
      </c>
      <c r="F3588" s="5">
        <v>191456035</v>
      </c>
      <c r="G3588" s="5">
        <v>7.725423877259777</v>
      </c>
      <c r="H3588" s="5">
        <v>797.9928268353882</v>
      </c>
      <c r="I3588" s="5">
        <v>61.648328383161342</v>
      </c>
    </row>
    <row r="3589" spans="1:9" x14ac:dyDescent="0.2">
      <c r="A3589" s="5" t="s">
        <v>112</v>
      </c>
      <c r="B3589" s="5" t="s">
        <v>64</v>
      </c>
      <c r="C3589" s="5" t="s">
        <v>50</v>
      </c>
      <c r="D3589" s="5">
        <v>3120983</v>
      </c>
      <c r="E3589" s="5">
        <v>247790</v>
      </c>
      <c r="F3589" s="5">
        <v>194946409</v>
      </c>
      <c r="G3589" s="5">
        <v>7.9394857325400361</v>
      </c>
      <c r="H3589" s="5">
        <v>786.7404213245087</v>
      </c>
      <c r="I3589" s="5">
        <v>62.463143503184732</v>
      </c>
    </row>
    <row r="3590" spans="1:9" x14ac:dyDescent="0.2">
      <c r="A3590" s="5" t="s">
        <v>112</v>
      </c>
      <c r="B3590" s="5" t="s">
        <v>64</v>
      </c>
      <c r="C3590" s="5" t="s">
        <v>51</v>
      </c>
      <c r="D3590" s="5">
        <v>3138285</v>
      </c>
      <c r="E3590" s="5">
        <v>243898</v>
      </c>
      <c r="F3590" s="5">
        <v>181923089</v>
      </c>
      <c r="G3590" s="5">
        <v>7.7716969618756737</v>
      </c>
      <c r="H3590" s="5">
        <v>745.89824024797247</v>
      </c>
      <c r="I3590" s="5">
        <v>57.968950876035798</v>
      </c>
    </row>
    <row r="3591" spans="1:9" x14ac:dyDescent="0.2">
      <c r="A3591" s="5" t="s">
        <v>112</v>
      </c>
      <c r="B3591" s="5" t="s">
        <v>64</v>
      </c>
      <c r="C3591" s="5" t="s">
        <v>52</v>
      </c>
      <c r="D3591" s="5">
        <v>3153511</v>
      </c>
      <c r="E3591" s="5">
        <v>247768</v>
      </c>
      <c r="F3591" s="5">
        <v>192625926</v>
      </c>
      <c r="G3591" s="5">
        <v>7.8568934752407715</v>
      </c>
      <c r="H3591" s="5">
        <v>777.44473055438959</v>
      </c>
      <c r="I3591" s="5">
        <v>61.083004308531031</v>
      </c>
    </row>
    <row r="3592" spans="1:9" x14ac:dyDescent="0.2">
      <c r="A3592" s="5" t="s">
        <v>112</v>
      </c>
      <c r="B3592" s="5" t="s">
        <v>64</v>
      </c>
      <c r="C3592" s="5" t="s">
        <v>53</v>
      </c>
      <c r="D3592" s="5">
        <v>3174342</v>
      </c>
      <c r="E3592" s="5">
        <v>265120</v>
      </c>
      <c r="F3592" s="5">
        <v>241733283</v>
      </c>
      <c r="G3592" s="5">
        <v>8.3519671163346612</v>
      </c>
      <c r="H3592" s="5">
        <v>911.78818270971635</v>
      </c>
      <c r="I3592" s="5">
        <v>76.1522491905409</v>
      </c>
    </row>
    <row r="3593" spans="1:9" x14ac:dyDescent="0.2">
      <c r="A3593" s="5" t="s">
        <v>112</v>
      </c>
      <c r="B3593" s="5" t="s">
        <v>64</v>
      </c>
      <c r="C3593" s="5" t="s">
        <v>54</v>
      </c>
      <c r="D3593" s="5">
        <v>3196290</v>
      </c>
      <c r="E3593" s="5">
        <v>262662</v>
      </c>
      <c r="F3593" s="5">
        <v>237980163</v>
      </c>
      <c r="G3593" s="5">
        <v>8.2177149132275229</v>
      </c>
      <c r="H3593" s="5">
        <v>906.03194599904054</v>
      </c>
      <c r="I3593" s="5">
        <v>74.4551223449687</v>
      </c>
    </row>
    <row r="3594" spans="1:9" x14ac:dyDescent="0.2">
      <c r="A3594" s="5" t="s">
        <v>112</v>
      </c>
      <c r="B3594" s="5" t="s">
        <v>64</v>
      </c>
      <c r="C3594" s="5" t="s">
        <v>55</v>
      </c>
      <c r="D3594" s="5">
        <v>3218642</v>
      </c>
      <c r="E3594" s="5">
        <v>255235</v>
      </c>
      <c r="F3594" s="5">
        <v>224418383</v>
      </c>
      <c r="G3594" s="5">
        <v>7.9298971429565634</v>
      </c>
      <c r="H3594" s="5">
        <v>879.2617901149921</v>
      </c>
      <c r="I3594" s="5">
        <v>69.724555573437499</v>
      </c>
    </row>
    <row r="3595" spans="1:9" x14ac:dyDescent="0.2">
      <c r="A3595" s="5" t="s">
        <v>112</v>
      </c>
      <c r="B3595" s="5" t="s">
        <v>64</v>
      </c>
      <c r="C3595" s="5" t="s">
        <v>56</v>
      </c>
      <c r="D3595" s="5">
        <v>3245347</v>
      </c>
      <c r="E3595" s="5">
        <v>251013</v>
      </c>
      <c r="F3595" s="5">
        <v>227990610</v>
      </c>
      <c r="G3595" s="5">
        <v>7.734550419415859</v>
      </c>
      <c r="H3595" s="5">
        <v>908.28208100775657</v>
      </c>
      <c r="I3595" s="5">
        <v>70.251535506064528</v>
      </c>
    </row>
    <row r="3596" spans="1:9" x14ac:dyDescent="0.2">
      <c r="A3596" s="5" t="s">
        <v>112</v>
      </c>
      <c r="B3596" s="5" t="s">
        <v>64</v>
      </c>
      <c r="C3596" s="5" t="s">
        <v>57</v>
      </c>
      <c r="D3596" s="5">
        <v>3270725</v>
      </c>
      <c r="E3596" s="5">
        <v>233847</v>
      </c>
      <c r="F3596" s="5">
        <v>181629169</v>
      </c>
      <c r="G3596" s="5">
        <v>7.149699225706839</v>
      </c>
      <c r="H3596" s="5">
        <v>776.70087279289453</v>
      </c>
      <c r="I3596" s="5">
        <v>55.531776288131837</v>
      </c>
    </row>
    <row r="3597" spans="1:9" x14ac:dyDescent="0.2">
      <c r="A3597" s="5" t="s">
        <v>112</v>
      </c>
      <c r="B3597" s="5" t="s">
        <v>64</v>
      </c>
      <c r="C3597" s="5" t="s">
        <v>58</v>
      </c>
      <c r="D3597" s="5">
        <v>3296339</v>
      </c>
      <c r="E3597" s="5">
        <v>228217</v>
      </c>
      <c r="F3597" s="5">
        <v>179026832</v>
      </c>
      <c r="G3597" s="5">
        <v>6.923347386297344</v>
      </c>
      <c r="H3597" s="5">
        <v>784.45879141343551</v>
      </c>
      <c r="I3597" s="5">
        <v>54.310807231901819</v>
      </c>
    </row>
    <row r="3598" spans="1:9" x14ac:dyDescent="0.2">
      <c r="A3598" s="5" t="s">
        <v>112</v>
      </c>
      <c r="B3598" s="5" t="s">
        <v>64</v>
      </c>
      <c r="C3598" s="5" t="s">
        <v>59</v>
      </c>
      <c r="D3598" s="5">
        <v>3319659</v>
      </c>
      <c r="E3598" s="5">
        <v>226827</v>
      </c>
      <c r="F3598" s="5">
        <v>178418654</v>
      </c>
      <c r="G3598" s="5">
        <v>6.832840361012984</v>
      </c>
      <c r="H3598" s="5">
        <v>786.58472756770584</v>
      </c>
      <c r="I3598" s="5">
        <v>53.746078738810219</v>
      </c>
    </row>
    <row r="3599" spans="1:9" x14ac:dyDescent="0.2">
      <c r="A3599" s="5" t="s">
        <v>112</v>
      </c>
      <c r="B3599" s="5" t="s">
        <v>64</v>
      </c>
      <c r="C3599" s="5" t="s">
        <v>60</v>
      </c>
      <c r="D3599" s="5">
        <v>3342576</v>
      </c>
      <c r="E3599" s="5">
        <v>219790</v>
      </c>
      <c r="F3599" s="5">
        <v>153818460</v>
      </c>
      <c r="G3599" s="5">
        <v>6.5754675435951198</v>
      </c>
      <c r="H3599" s="5">
        <v>699.84284999317526</v>
      </c>
      <c r="I3599" s="5">
        <v>46.017939457472323</v>
      </c>
    </row>
    <row r="3600" spans="1:9" x14ac:dyDescent="0.2">
      <c r="A3600" s="5" t="s">
        <v>112</v>
      </c>
      <c r="B3600" s="5" t="s">
        <v>64</v>
      </c>
      <c r="C3600" s="5" t="s">
        <v>61</v>
      </c>
      <c r="D3600" s="5">
        <v>3368766</v>
      </c>
      <c r="E3600" s="5">
        <v>217491</v>
      </c>
      <c r="F3600" s="5">
        <v>152616267</v>
      </c>
      <c r="G3600" s="5">
        <v>6.4561029172106341</v>
      </c>
      <c r="H3600" s="5">
        <v>701.71302260783204</v>
      </c>
      <c r="I3600" s="5">
        <v>45.303314923031166</v>
      </c>
    </row>
    <row r="3601" spans="1:9" x14ac:dyDescent="0.2">
      <c r="A3601" s="5" t="s">
        <v>112</v>
      </c>
      <c r="B3601" s="5" t="s">
        <v>64</v>
      </c>
      <c r="C3601" s="5" t="s">
        <v>62</v>
      </c>
      <c r="D3601" s="5">
        <v>3386553</v>
      </c>
      <c r="E3601" s="5">
        <v>215128</v>
      </c>
      <c r="F3601" s="5">
        <v>155020417</v>
      </c>
      <c r="G3601" s="5">
        <v>6.3524179305624333</v>
      </c>
      <c r="H3601" s="5">
        <v>720.59618924547249</v>
      </c>
      <c r="I3601" s="5">
        <v>45.775281532578994</v>
      </c>
    </row>
    <row r="3602" spans="1:9" x14ac:dyDescent="0.2">
      <c r="A3602" s="5" t="s">
        <v>112</v>
      </c>
      <c r="B3602" s="5" t="s">
        <v>65</v>
      </c>
      <c r="C3602" s="5" t="s">
        <v>45</v>
      </c>
      <c r="D3602" s="5">
        <v>2814646</v>
      </c>
      <c r="E3602" s="5">
        <v>183916</v>
      </c>
      <c r="F3602" s="5">
        <v>395446909</v>
      </c>
      <c r="G3602" s="5">
        <v>6.5342497777695669</v>
      </c>
      <c r="H3602" s="5">
        <v>2150.1495737184368</v>
      </c>
      <c r="I3602" s="5">
        <v>140.49614374241023</v>
      </c>
    </row>
    <row r="3603" spans="1:9" x14ac:dyDescent="0.2">
      <c r="A3603" s="5" t="s">
        <v>112</v>
      </c>
      <c r="B3603" s="5" t="s">
        <v>65</v>
      </c>
      <c r="C3603" s="5" t="s">
        <v>46</v>
      </c>
      <c r="D3603" s="5">
        <v>2839461</v>
      </c>
      <c r="E3603" s="5">
        <v>182918</v>
      </c>
      <c r="F3603" s="5">
        <v>397596220</v>
      </c>
      <c r="G3603" s="5">
        <v>6.4419972663825984</v>
      </c>
      <c r="H3603" s="5">
        <v>2173.6309165855737</v>
      </c>
      <c r="I3603" s="5">
        <v>140.02524422768968</v>
      </c>
    </row>
    <row r="3604" spans="1:9" x14ac:dyDescent="0.2">
      <c r="A3604" s="5" t="s">
        <v>112</v>
      </c>
      <c r="B3604" s="5" t="s">
        <v>65</v>
      </c>
      <c r="C3604" s="5" t="s">
        <v>47</v>
      </c>
      <c r="D3604" s="5">
        <v>2865115</v>
      </c>
      <c r="E3604" s="5">
        <v>184272</v>
      </c>
      <c r="F3604" s="5">
        <v>406124380</v>
      </c>
      <c r="G3604" s="5">
        <v>6.431574299809955</v>
      </c>
      <c r="H3604" s="5">
        <v>2203.9397195450206</v>
      </c>
      <c r="I3604" s="5">
        <v>141.74802058556114</v>
      </c>
    </row>
    <row r="3605" spans="1:9" x14ac:dyDescent="0.2">
      <c r="A3605" s="5" t="s">
        <v>112</v>
      </c>
      <c r="B3605" s="5" t="s">
        <v>65</v>
      </c>
      <c r="C3605" s="5" t="s">
        <v>48</v>
      </c>
      <c r="D3605" s="5">
        <v>2893721</v>
      </c>
      <c r="E3605" s="5">
        <v>187194</v>
      </c>
      <c r="F3605" s="5">
        <v>418029589</v>
      </c>
      <c r="G3605" s="5">
        <v>6.4689719568679909</v>
      </c>
      <c r="H3605" s="5">
        <v>2233.1356186629914</v>
      </c>
      <c r="I3605" s="5">
        <v>144.46091693013943</v>
      </c>
    </row>
    <row r="3606" spans="1:9" x14ac:dyDescent="0.2">
      <c r="A3606" s="5" t="s">
        <v>112</v>
      </c>
      <c r="B3606" s="5" t="s">
        <v>65</v>
      </c>
      <c r="C3606" s="5" t="s">
        <v>49</v>
      </c>
      <c r="D3606" s="5">
        <v>2914067</v>
      </c>
      <c r="E3606" s="5">
        <v>189112</v>
      </c>
      <c r="F3606" s="5">
        <v>427775927</v>
      </c>
      <c r="G3606" s="5">
        <v>6.4896242948429119</v>
      </c>
      <c r="H3606" s="5">
        <v>2262.0242343161726</v>
      </c>
      <c r="I3606" s="5">
        <v>146.79687426541668</v>
      </c>
    </row>
    <row r="3607" spans="1:9" x14ac:dyDescent="0.2">
      <c r="A3607" s="5" t="s">
        <v>112</v>
      </c>
      <c r="B3607" s="5" t="s">
        <v>65</v>
      </c>
      <c r="C3607" s="5" t="s">
        <v>50</v>
      </c>
      <c r="D3607" s="5">
        <v>2930468</v>
      </c>
      <c r="E3607" s="5">
        <v>193508</v>
      </c>
      <c r="F3607" s="5">
        <v>446933998</v>
      </c>
      <c r="G3607" s="5">
        <v>6.6033138734154404</v>
      </c>
      <c r="H3607" s="5">
        <v>2309.6409347417161</v>
      </c>
      <c r="I3607" s="5">
        <v>152.51284026988182</v>
      </c>
    </row>
    <row r="3608" spans="1:9" x14ac:dyDescent="0.2">
      <c r="A3608" s="5" t="s">
        <v>112</v>
      </c>
      <c r="B3608" s="5" t="s">
        <v>65</v>
      </c>
      <c r="C3608" s="5" t="s">
        <v>51</v>
      </c>
      <c r="D3608" s="5">
        <v>2948106</v>
      </c>
      <c r="E3608" s="5">
        <v>195302</v>
      </c>
      <c r="F3608" s="5">
        <v>456216430</v>
      </c>
      <c r="G3608" s="5">
        <v>6.6246600359688559</v>
      </c>
      <c r="H3608" s="5">
        <v>2335.9537024710448</v>
      </c>
      <c r="I3608" s="5">
        <v>154.74899138633415</v>
      </c>
    </row>
    <row r="3609" spans="1:9" x14ac:dyDescent="0.2">
      <c r="A3609" s="5" t="s">
        <v>112</v>
      </c>
      <c r="B3609" s="5" t="s">
        <v>65</v>
      </c>
      <c r="C3609" s="5" t="s">
        <v>52</v>
      </c>
      <c r="D3609" s="5">
        <v>2963922</v>
      </c>
      <c r="E3609" s="5">
        <v>194701</v>
      </c>
      <c r="F3609" s="5">
        <v>458371808</v>
      </c>
      <c r="G3609" s="5">
        <v>6.5690325183996068</v>
      </c>
      <c r="H3609" s="5">
        <v>2354.2344826169356</v>
      </c>
      <c r="I3609" s="5">
        <v>154.65042872248324</v>
      </c>
    </row>
    <row r="3610" spans="1:9" x14ac:dyDescent="0.2">
      <c r="A3610" s="5" t="s">
        <v>112</v>
      </c>
      <c r="B3610" s="5" t="s">
        <v>65</v>
      </c>
      <c r="C3610" s="5" t="s">
        <v>53</v>
      </c>
      <c r="D3610" s="5">
        <v>2984857</v>
      </c>
      <c r="E3610" s="5">
        <v>195492</v>
      </c>
      <c r="F3610" s="5">
        <v>463888452</v>
      </c>
      <c r="G3610" s="5">
        <v>6.5494594883439978</v>
      </c>
      <c r="H3610" s="5">
        <v>2372.9280584371741</v>
      </c>
      <c r="I3610" s="5">
        <v>155.41396187489048</v>
      </c>
    </row>
    <row r="3611" spans="1:9" x14ac:dyDescent="0.2">
      <c r="A3611" s="5" t="s">
        <v>112</v>
      </c>
      <c r="B3611" s="5" t="s">
        <v>65</v>
      </c>
      <c r="C3611" s="5" t="s">
        <v>54</v>
      </c>
      <c r="D3611" s="5">
        <v>3007007</v>
      </c>
      <c r="E3611" s="5">
        <v>196011</v>
      </c>
      <c r="F3611" s="5">
        <v>468359589</v>
      </c>
      <c r="G3611" s="5">
        <v>6.5184750151895221</v>
      </c>
      <c r="H3611" s="5">
        <v>2389.4556376938031</v>
      </c>
      <c r="I3611" s="5">
        <v>155.75606874210803</v>
      </c>
    </row>
    <row r="3612" spans="1:9" x14ac:dyDescent="0.2">
      <c r="A3612" s="5" t="s">
        <v>112</v>
      </c>
      <c r="B3612" s="5" t="s">
        <v>65</v>
      </c>
      <c r="C3612" s="5" t="s">
        <v>55</v>
      </c>
      <c r="D3612" s="5">
        <v>3029821</v>
      </c>
      <c r="E3612" s="5">
        <v>195631</v>
      </c>
      <c r="F3612" s="5">
        <v>468839452</v>
      </c>
      <c r="G3612" s="5">
        <v>6.4568500911439983</v>
      </c>
      <c r="H3612" s="5">
        <v>2396.5498923994664</v>
      </c>
      <c r="I3612" s="5">
        <v>154.74163391170634</v>
      </c>
    </row>
    <row r="3613" spans="1:9" x14ac:dyDescent="0.2">
      <c r="A3613" s="5" t="s">
        <v>112</v>
      </c>
      <c r="B3613" s="5" t="s">
        <v>65</v>
      </c>
      <c r="C3613" s="5" t="s">
        <v>56</v>
      </c>
      <c r="D3613" s="5">
        <v>3056280</v>
      </c>
      <c r="E3613" s="5">
        <v>196179</v>
      </c>
      <c r="F3613" s="5">
        <v>474274686</v>
      </c>
      <c r="G3613" s="5">
        <v>6.4188817778475791</v>
      </c>
      <c r="H3613" s="5">
        <v>2417.5609315981833</v>
      </c>
      <c r="I3613" s="5">
        <v>155.18037810671797</v>
      </c>
    </row>
    <row r="3614" spans="1:9" x14ac:dyDescent="0.2">
      <c r="A3614" s="5" t="s">
        <v>112</v>
      </c>
      <c r="B3614" s="5" t="s">
        <v>65</v>
      </c>
      <c r="C3614" s="5" t="s">
        <v>57</v>
      </c>
      <c r="D3614" s="5">
        <v>3081406</v>
      </c>
      <c r="E3614" s="5">
        <v>194011</v>
      </c>
      <c r="F3614" s="5">
        <v>471150208</v>
      </c>
      <c r="G3614" s="5">
        <v>6.2961842743215275</v>
      </c>
      <c r="H3614" s="5">
        <v>2428.4716227430404</v>
      </c>
      <c r="I3614" s="5">
        <v>152.90104841750812</v>
      </c>
    </row>
    <row r="3615" spans="1:9" x14ac:dyDescent="0.2">
      <c r="A3615" s="5" t="s">
        <v>112</v>
      </c>
      <c r="B3615" s="5" t="s">
        <v>65</v>
      </c>
      <c r="C3615" s="5" t="s">
        <v>58</v>
      </c>
      <c r="D3615" s="5">
        <v>3106721</v>
      </c>
      <c r="E3615" s="5">
        <v>192678</v>
      </c>
      <c r="F3615" s="5">
        <v>474289167</v>
      </c>
      <c r="G3615" s="5">
        <v>6.2019730770803045</v>
      </c>
      <c r="H3615" s="5">
        <v>2461.5636813751439</v>
      </c>
      <c r="I3615" s="5">
        <v>152.66551679407323</v>
      </c>
    </row>
    <row r="3616" spans="1:9" x14ac:dyDescent="0.2">
      <c r="A3616" s="5" t="s">
        <v>112</v>
      </c>
      <c r="B3616" s="5" t="s">
        <v>65</v>
      </c>
      <c r="C3616" s="5" t="s">
        <v>59</v>
      </c>
      <c r="D3616" s="5">
        <v>3129606</v>
      </c>
      <c r="E3616" s="5">
        <v>194235</v>
      </c>
      <c r="F3616" s="5">
        <v>478548744</v>
      </c>
      <c r="G3616" s="5">
        <v>6.2063723037340806</v>
      </c>
      <c r="H3616" s="5">
        <v>2463.7616495482275</v>
      </c>
      <c r="I3616" s="5">
        <v>152.91022064758312</v>
      </c>
    </row>
    <row r="3617" spans="1:9" x14ac:dyDescent="0.2">
      <c r="A3617" s="5" t="s">
        <v>112</v>
      </c>
      <c r="B3617" s="5" t="s">
        <v>65</v>
      </c>
      <c r="C3617" s="5" t="s">
        <v>60</v>
      </c>
      <c r="D3617" s="5">
        <v>3152004</v>
      </c>
      <c r="E3617" s="5">
        <v>195664</v>
      </c>
      <c r="F3617" s="5">
        <v>480128874</v>
      </c>
      <c r="G3617" s="5">
        <v>6.2076063355249547</v>
      </c>
      <c r="H3617" s="5">
        <v>2453.8437014473793</v>
      </c>
      <c r="I3617" s="5">
        <v>152.32495707492757</v>
      </c>
    </row>
    <row r="3618" spans="1:9" x14ac:dyDescent="0.2">
      <c r="A3618" s="5" t="s">
        <v>112</v>
      </c>
      <c r="B3618" s="5" t="s">
        <v>65</v>
      </c>
      <c r="C3618" s="5" t="s">
        <v>61</v>
      </c>
      <c r="D3618" s="5">
        <v>3177549</v>
      </c>
      <c r="E3618" s="5">
        <v>197151</v>
      </c>
      <c r="F3618" s="5">
        <v>488304082</v>
      </c>
      <c r="G3618" s="5">
        <v>6.2044991281015651</v>
      </c>
      <c r="H3618" s="5">
        <v>2476.8024610577677</v>
      </c>
      <c r="I3618" s="5">
        <v>153.67318710112733</v>
      </c>
    </row>
    <row r="3619" spans="1:9" x14ac:dyDescent="0.2">
      <c r="A3619" s="5" t="s">
        <v>112</v>
      </c>
      <c r="B3619" s="5" t="s">
        <v>65</v>
      </c>
      <c r="C3619" s="5" t="s">
        <v>62</v>
      </c>
      <c r="D3619" s="5">
        <v>3194341</v>
      </c>
      <c r="E3619" s="5">
        <v>195246</v>
      </c>
      <c r="F3619" s="5">
        <v>482611559</v>
      </c>
      <c r="G3619" s="5">
        <v>6.1122466261429196</v>
      </c>
      <c r="H3619" s="5">
        <v>2471.8127848970016</v>
      </c>
      <c r="I3619" s="5">
        <v>151.08329354943632</v>
      </c>
    </row>
    <row r="3620" spans="1:9" x14ac:dyDescent="0.2">
      <c r="A3620" s="5" t="s">
        <v>113</v>
      </c>
      <c r="B3620" s="5" t="s">
        <v>44</v>
      </c>
      <c r="C3620" s="5" t="s">
        <v>45</v>
      </c>
      <c r="D3620" s="5">
        <v>244878</v>
      </c>
      <c r="E3620" s="5">
        <v>1801</v>
      </c>
      <c r="F3620" s="5">
        <v>22313937</v>
      </c>
      <c r="G3620" s="5">
        <v>0.73546827399766412</v>
      </c>
      <c r="H3620" s="5">
        <v>12389.748473070516</v>
      </c>
      <c r="I3620" s="5">
        <v>91.122669247543669</v>
      </c>
    </row>
    <row r="3621" spans="1:9" x14ac:dyDescent="0.2">
      <c r="A3621" s="5" t="s">
        <v>113</v>
      </c>
      <c r="B3621" s="5" t="s">
        <v>44</v>
      </c>
      <c r="C3621" s="5" t="s">
        <v>46</v>
      </c>
      <c r="D3621" s="5">
        <v>247394</v>
      </c>
      <c r="E3621" s="5">
        <v>1814</v>
      </c>
      <c r="F3621" s="5">
        <v>21376212</v>
      </c>
      <c r="G3621" s="5">
        <v>0.73324332845582352</v>
      </c>
      <c r="H3621" s="5">
        <v>11784.019845644983</v>
      </c>
      <c r="I3621" s="5">
        <v>86.405539342102074</v>
      </c>
    </row>
    <row r="3622" spans="1:9" x14ac:dyDescent="0.2">
      <c r="A3622" s="5" t="s">
        <v>113</v>
      </c>
      <c r="B3622" s="5" t="s">
        <v>44</v>
      </c>
      <c r="C3622" s="5" t="s">
        <v>47</v>
      </c>
      <c r="D3622" s="5">
        <v>249867</v>
      </c>
      <c r="E3622" s="5">
        <v>1739</v>
      </c>
      <c r="F3622" s="5">
        <v>20693835</v>
      </c>
      <c r="G3622" s="5">
        <v>0.69597025617628583</v>
      </c>
      <c r="H3622" s="5">
        <v>11899.847613571017</v>
      </c>
      <c r="I3622" s="5">
        <v>82.819399920757846</v>
      </c>
    </row>
    <row r="3623" spans="1:9" x14ac:dyDescent="0.2">
      <c r="A3623" s="5" t="s">
        <v>113</v>
      </c>
      <c r="B3623" s="5" t="s">
        <v>44</v>
      </c>
      <c r="C3623" s="5" t="s">
        <v>48</v>
      </c>
      <c r="D3623" s="5">
        <v>251741</v>
      </c>
      <c r="E3623" s="5">
        <v>1740</v>
      </c>
      <c r="F3623" s="5">
        <v>23079468</v>
      </c>
      <c r="G3623" s="5">
        <v>0.6911865766800005</v>
      </c>
      <c r="H3623" s="5">
        <v>13264.062068965517</v>
      </c>
      <c r="I3623" s="5">
        <v>91.679416543193199</v>
      </c>
    </row>
    <row r="3624" spans="1:9" x14ac:dyDescent="0.2">
      <c r="A3624" s="5" t="s">
        <v>113</v>
      </c>
      <c r="B3624" s="5" t="s">
        <v>44</v>
      </c>
      <c r="C3624" s="5" t="s">
        <v>49</v>
      </c>
      <c r="D3624" s="5">
        <v>252662</v>
      </c>
      <c r="E3624" s="5">
        <v>1776</v>
      </c>
      <c r="F3624" s="5">
        <v>25781290</v>
      </c>
      <c r="G3624" s="5">
        <v>0.70291535727572807</v>
      </c>
      <c r="H3624" s="5">
        <v>14516.492117117117</v>
      </c>
      <c r="I3624" s="5">
        <v>102.03865242893669</v>
      </c>
    </row>
    <row r="3625" spans="1:9" x14ac:dyDescent="0.2">
      <c r="A3625" s="5" t="s">
        <v>113</v>
      </c>
      <c r="B3625" s="5" t="s">
        <v>44</v>
      </c>
      <c r="C3625" s="5" t="s">
        <v>50</v>
      </c>
      <c r="D3625" s="5">
        <v>252976</v>
      </c>
      <c r="E3625" s="5">
        <v>1761</v>
      </c>
      <c r="F3625" s="5">
        <v>25313092</v>
      </c>
      <c r="G3625" s="5">
        <v>0.69611346530896212</v>
      </c>
      <c r="H3625" s="5">
        <v>14374.271436683703</v>
      </c>
      <c r="I3625" s="5">
        <v>100.06123901081526</v>
      </c>
    </row>
    <row r="3626" spans="1:9" x14ac:dyDescent="0.2">
      <c r="A3626" s="5" t="s">
        <v>113</v>
      </c>
      <c r="B3626" s="5" t="s">
        <v>44</v>
      </c>
      <c r="C3626" s="5" t="s">
        <v>51</v>
      </c>
      <c r="D3626" s="5">
        <v>252885</v>
      </c>
      <c r="E3626" s="5">
        <v>1796</v>
      </c>
      <c r="F3626" s="5">
        <v>26581817</v>
      </c>
      <c r="G3626" s="5">
        <v>0.71020424303537177</v>
      </c>
      <c r="H3626" s="5">
        <v>14800.566258351893</v>
      </c>
      <c r="I3626" s="5">
        <v>105.11424956007671</v>
      </c>
    </row>
    <row r="3627" spans="1:9" x14ac:dyDescent="0.2">
      <c r="A3627" s="5" t="s">
        <v>113</v>
      </c>
      <c r="B3627" s="5" t="s">
        <v>44</v>
      </c>
      <c r="C3627" s="5" t="s">
        <v>52</v>
      </c>
      <c r="D3627" s="5">
        <v>252728</v>
      </c>
      <c r="E3627" s="5">
        <v>1809</v>
      </c>
      <c r="F3627" s="5">
        <v>25693993</v>
      </c>
      <c r="G3627" s="5">
        <v>0.71578930708113075</v>
      </c>
      <c r="H3627" s="5">
        <v>14203.423438363738</v>
      </c>
      <c r="I3627" s="5">
        <v>101.6665862112627</v>
      </c>
    </row>
    <row r="3628" spans="1:9" x14ac:dyDescent="0.2">
      <c r="A3628" s="5" t="s">
        <v>113</v>
      </c>
      <c r="B3628" s="5" t="s">
        <v>44</v>
      </c>
      <c r="C3628" s="5" t="s">
        <v>53</v>
      </c>
      <c r="D3628" s="5">
        <v>252954</v>
      </c>
      <c r="E3628" s="5">
        <v>1779</v>
      </c>
      <c r="F3628" s="5">
        <v>23403387</v>
      </c>
      <c r="G3628" s="5">
        <v>0.70328992623164688</v>
      </c>
      <c r="H3628" s="5">
        <v>13155.360876897133</v>
      </c>
      <c r="I3628" s="5">
        <v>92.520327806636786</v>
      </c>
    </row>
    <row r="3629" spans="1:9" x14ac:dyDescent="0.2">
      <c r="A3629" s="5" t="s">
        <v>113</v>
      </c>
      <c r="B3629" s="5" t="s">
        <v>44</v>
      </c>
      <c r="C3629" s="5" t="s">
        <v>54</v>
      </c>
      <c r="D3629" s="5">
        <v>252851</v>
      </c>
      <c r="E3629" s="5">
        <v>1744</v>
      </c>
      <c r="F3629" s="5">
        <v>23151278</v>
      </c>
      <c r="G3629" s="5">
        <v>0.68973427038057988</v>
      </c>
      <c r="H3629" s="5">
        <v>13274.815366972478</v>
      </c>
      <c r="I3629" s="5">
        <v>91.560950915756706</v>
      </c>
    </row>
    <row r="3630" spans="1:9" x14ac:dyDescent="0.2">
      <c r="A3630" s="5" t="s">
        <v>113</v>
      </c>
      <c r="B3630" s="5" t="s">
        <v>44</v>
      </c>
      <c r="C3630" s="5" t="s">
        <v>55</v>
      </c>
      <c r="D3630" s="5">
        <v>252841</v>
      </c>
      <c r="E3630" s="5">
        <v>1753</v>
      </c>
      <c r="F3630" s="5">
        <v>22787522</v>
      </c>
      <c r="G3630" s="5">
        <v>0.69332109903061612</v>
      </c>
      <c r="H3630" s="5">
        <v>12999.156873930406</v>
      </c>
      <c r="I3630" s="5">
        <v>90.125897303048163</v>
      </c>
    </row>
    <row r="3631" spans="1:9" x14ac:dyDescent="0.2">
      <c r="A3631" s="5" t="s">
        <v>113</v>
      </c>
      <c r="B3631" s="5" t="s">
        <v>44</v>
      </c>
      <c r="C3631" s="5" t="s">
        <v>56</v>
      </c>
      <c r="D3631" s="5">
        <v>252750</v>
      </c>
      <c r="E3631" s="5">
        <v>1701</v>
      </c>
      <c r="F3631" s="5">
        <v>21634719</v>
      </c>
      <c r="G3631" s="5">
        <v>0.67299703264094957</v>
      </c>
      <c r="H3631" s="5">
        <v>12718.823633156966</v>
      </c>
      <c r="I3631" s="5">
        <v>85.597305637982203</v>
      </c>
    </row>
    <row r="3632" spans="1:9" x14ac:dyDescent="0.2">
      <c r="A3632" s="5" t="s">
        <v>113</v>
      </c>
      <c r="B3632" s="5" t="s">
        <v>44</v>
      </c>
      <c r="C3632" s="5" t="s">
        <v>57</v>
      </c>
      <c r="D3632" s="5">
        <v>252852</v>
      </c>
      <c r="E3632" s="5">
        <v>1709</v>
      </c>
      <c r="F3632" s="5">
        <v>22163291</v>
      </c>
      <c r="G3632" s="5">
        <v>0.67588945311882054</v>
      </c>
      <c r="H3632" s="5">
        <v>12968.572849619661</v>
      </c>
      <c r="I3632" s="5">
        <v>87.65321611061016</v>
      </c>
    </row>
    <row r="3633" spans="1:9" x14ac:dyDescent="0.2">
      <c r="A3633" s="5" t="s">
        <v>113</v>
      </c>
      <c r="B3633" s="5" t="s">
        <v>44</v>
      </c>
      <c r="C3633" s="5" t="s">
        <v>58</v>
      </c>
      <c r="D3633" s="5">
        <v>252868</v>
      </c>
      <c r="E3633" s="5">
        <v>1737</v>
      </c>
      <c r="F3633" s="5">
        <v>23782625</v>
      </c>
      <c r="G3633" s="5">
        <v>0.68691965768701457</v>
      </c>
      <c r="H3633" s="5">
        <v>13691.781807714449</v>
      </c>
      <c r="I3633" s="5">
        <v>94.051540724805037</v>
      </c>
    </row>
    <row r="3634" spans="1:9" x14ac:dyDescent="0.2">
      <c r="A3634" s="5" t="s">
        <v>113</v>
      </c>
      <c r="B3634" s="5" t="s">
        <v>44</v>
      </c>
      <c r="C3634" s="5" t="s">
        <v>59</v>
      </c>
      <c r="D3634" s="5">
        <v>253012</v>
      </c>
      <c r="E3634" s="5">
        <v>1696</v>
      </c>
      <c r="F3634" s="5">
        <v>23407506</v>
      </c>
      <c r="G3634" s="5">
        <v>0.67032393720455952</v>
      </c>
      <c r="H3634" s="5">
        <v>13801.595518867925</v>
      </c>
      <c r="I3634" s="5">
        <v>92.515398479123519</v>
      </c>
    </row>
    <row r="3635" spans="1:9" x14ac:dyDescent="0.2">
      <c r="A3635" s="5" t="s">
        <v>113</v>
      </c>
      <c r="B3635" s="5" t="s">
        <v>44</v>
      </c>
      <c r="C3635" s="5" t="s">
        <v>60</v>
      </c>
      <c r="D3635" s="5">
        <v>253388</v>
      </c>
      <c r="E3635" s="5">
        <v>1640</v>
      </c>
      <c r="F3635" s="5">
        <v>23883519</v>
      </c>
      <c r="G3635" s="5">
        <v>0.64722875590004258</v>
      </c>
      <c r="H3635" s="5">
        <v>14563.121341463415</v>
      </c>
      <c r="I3635" s="5">
        <v>94.256709078567255</v>
      </c>
    </row>
    <row r="3636" spans="1:9" x14ac:dyDescent="0.2">
      <c r="A3636" s="5" t="s">
        <v>113</v>
      </c>
      <c r="B3636" s="5" t="s">
        <v>44</v>
      </c>
      <c r="C3636" s="5" t="s">
        <v>61</v>
      </c>
      <c r="D3636" s="5">
        <v>253522</v>
      </c>
      <c r="E3636" s="5">
        <v>1595</v>
      </c>
      <c r="F3636" s="5">
        <v>23245814</v>
      </c>
      <c r="G3636" s="5">
        <v>0.62913672186240244</v>
      </c>
      <c r="H3636" s="5">
        <v>14574.178056426332</v>
      </c>
      <c r="I3636" s="5">
        <v>91.691506062590236</v>
      </c>
    </row>
    <row r="3637" spans="1:9" x14ac:dyDescent="0.2">
      <c r="A3637" s="5" t="s">
        <v>113</v>
      </c>
      <c r="B3637" s="5" t="s">
        <v>44</v>
      </c>
      <c r="C3637" s="5" t="s">
        <v>62</v>
      </c>
      <c r="D3637" s="5">
        <v>254210</v>
      </c>
      <c r="E3637" s="5">
        <v>1542</v>
      </c>
      <c r="F3637" s="5">
        <v>22374253</v>
      </c>
      <c r="G3637" s="5">
        <v>0.60658510680146338</v>
      </c>
      <c r="H3637" s="5">
        <v>14509.891699092088</v>
      </c>
      <c r="I3637" s="5">
        <v>88.014842059714411</v>
      </c>
    </row>
    <row r="3638" spans="1:9" x14ac:dyDescent="0.2">
      <c r="A3638" s="5" t="s">
        <v>113</v>
      </c>
      <c r="B3638" s="5" t="s">
        <v>63</v>
      </c>
      <c r="C3638" s="5" t="s">
        <v>45</v>
      </c>
      <c r="D3638" s="5">
        <v>244878</v>
      </c>
      <c r="E3638" s="5">
        <v>8792</v>
      </c>
      <c r="F3638" s="5">
        <v>17095642</v>
      </c>
      <c r="G3638" s="5">
        <v>3.5903592809480638</v>
      </c>
      <c r="H3638" s="5">
        <v>1944.4542766151046</v>
      </c>
      <c r="I3638" s="5">
        <v>69.812894584241945</v>
      </c>
    </row>
    <row r="3639" spans="1:9" x14ac:dyDescent="0.2">
      <c r="A3639" s="5" t="s">
        <v>113</v>
      </c>
      <c r="B3639" s="5" t="s">
        <v>63</v>
      </c>
      <c r="C3639" s="5" t="s">
        <v>46</v>
      </c>
      <c r="D3639" s="5">
        <v>247394</v>
      </c>
      <c r="E3639" s="5">
        <v>8588</v>
      </c>
      <c r="F3639" s="5">
        <v>16816260</v>
      </c>
      <c r="G3639" s="5">
        <v>3.4713857247952657</v>
      </c>
      <c r="H3639" s="5">
        <v>1958.1113181183046</v>
      </c>
      <c r="I3639" s="5">
        <v>67.973596772759237</v>
      </c>
    </row>
    <row r="3640" spans="1:9" x14ac:dyDescent="0.2">
      <c r="A3640" s="5" t="s">
        <v>113</v>
      </c>
      <c r="B3640" s="5" t="s">
        <v>63</v>
      </c>
      <c r="C3640" s="5" t="s">
        <v>47</v>
      </c>
      <c r="D3640" s="5">
        <v>249867</v>
      </c>
      <c r="E3640" s="5">
        <v>8429</v>
      </c>
      <c r="F3640" s="5">
        <v>16537042</v>
      </c>
      <c r="G3640" s="5">
        <v>3.3733946459516462</v>
      </c>
      <c r="H3640" s="5">
        <v>1961.9221734488076</v>
      </c>
      <c r="I3640" s="5">
        <v>66.18337755686025</v>
      </c>
    </row>
    <row r="3641" spans="1:9" x14ac:dyDescent="0.2">
      <c r="A3641" s="5" t="s">
        <v>113</v>
      </c>
      <c r="B3641" s="5" t="s">
        <v>63</v>
      </c>
      <c r="C3641" s="5" t="s">
        <v>48</v>
      </c>
      <c r="D3641" s="5">
        <v>251741</v>
      </c>
      <c r="E3641" s="5">
        <v>8598</v>
      </c>
      <c r="F3641" s="5">
        <v>16807157</v>
      </c>
      <c r="G3641" s="5">
        <v>3.4154150495946229</v>
      </c>
      <c r="H3641" s="5">
        <v>1954.7751802744824</v>
      </c>
      <c r="I3641" s="5">
        <v>66.763685692835097</v>
      </c>
    </row>
    <row r="3642" spans="1:9" x14ac:dyDescent="0.2">
      <c r="A3642" s="5" t="s">
        <v>113</v>
      </c>
      <c r="B3642" s="5" t="s">
        <v>63</v>
      </c>
      <c r="C3642" s="5" t="s">
        <v>49</v>
      </c>
      <c r="D3642" s="5">
        <v>252662</v>
      </c>
      <c r="E3642" s="5">
        <v>8808</v>
      </c>
      <c r="F3642" s="5">
        <v>17272221</v>
      </c>
      <c r="G3642" s="5">
        <v>3.4860802178404349</v>
      </c>
      <c r="H3642" s="5">
        <v>1960.9696866485015</v>
      </c>
      <c r="I3642" s="5">
        <v>68.360976324100974</v>
      </c>
    </row>
    <row r="3643" spans="1:9" x14ac:dyDescent="0.2">
      <c r="A3643" s="5" t="s">
        <v>113</v>
      </c>
      <c r="B3643" s="5" t="s">
        <v>63</v>
      </c>
      <c r="C3643" s="5" t="s">
        <v>50</v>
      </c>
      <c r="D3643" s="5">
        <v>252976</v>
      </c>
      <c r="E3643" s="5">
        <v>9004</v>
      </c>
      <c r="F3643" s="5">
        <v>17827813</v>
      </c>
      <c r="G3643" s="5">
        <v>3.5592309151856303</v>
      </c>
      <c r="H3643" s="5">
        <v>1979.9881163927143</v>
      </c>
      <c r="I3643" s="5">
        <v>70.472349155651131</v>
      </c>
    </row>
    <row r="3644" spans="1:9" x14ac:dyDescent="0.2">
      <c r="A3644" s="5" t="s">
        <v>113</v>
      </c>
      <c r="B3644" s="5" t="s">
        <v>63</v>
      </c>
      <c r="C3644" s="5" t="s">
        <v>51</v>
      </c>
      <c r="D3644" s="5">
        <v>252885</v>
      </c>
      <c r="E3644" s="5">
        <v>8982</v>
      </c>
      <c r="F3644" s="5">
        <v>17913357</v>
      </c>
      <c r="G3644" s="5">
        <v>3.5518120884987248</v>
      </c>
      <c r="H3644" s="5">
        <v>1994.3617234468938</v>
      </c>
      <c r="I3644" s="5">
        <v>70.835980781778275</v>
      </c>
    </row>
    <row r="3645" spans="1:9" x14ac:dyDescent="0.2">
      <c r="A3645" s="5" t="s">
        <v>113</v>
      </c>
      <c r="B3645" s="5" t="s">
        <v>63</v>
      </c>
      <c r="C3645" s="5" t="s">
        <v>52</v>
      </c>
      <c r="D3645" s="5">
        <v>252728</v>
      </c>
      <c r="E3645" s="5">
        <v>8782</v>
      </c>
      <c r="F3645" s="5">
        <v>17562595</v>
      </c>
      <c r="G3645" s="5">
        <v>3.4748820866702541</v>
      </c>
      <c r="H3645" s="5">
        <v>1999.8400136643133</v>
      </c>
      <c r="I3645" s="5">
        <v>69.492082396885195</v>
      </c>
    </row>
    <row r="3646" spans="1:9" x14ac:dyDescent="0.2">
      <c r="A3646" s="5" t="s">
        <v>113</v>
      </c>
      <c r="B3646" s="5" t="s">
        <v>63</v>
      </c>
      <c r="C3646" s="5" t="s">
        <v>53</v>
      </c>
      <c r="D3646" s="5">
        <v>252954</v>
      </c>
      <c r="E3646" s="5">
        <v>8599</v>
      </c>
      <c r="F3646" s="5">
        <v>17219630</v>
      </c>
      <c r="G3646" s="5">
        <v>3.3994323078504394</v>
      </c>
      <c r="H3646" s="5">
        <v>2002.5154087684614</v>
      </c>
      <c r="I3646" s="5">
        <v>68.074155775358363</v>
      </c>
    </row>
    <row r="3647" spans="1:9" x14ac:dyDescent="0.2">
      <c r="A3647" s="5" t="s">
        <v>113</v>
      </c>
      <c r="B3647" s="5" t="s">
        <v>63</v>
      </c>
      <c r="C3647" s="5" t="s">
        <v>54</v>
      </c>
      <c r="D3647" s="5">
        <v>252851</v>
      </c>
      <c r="E3647" s="5">
        <v>8572</v>
      </c>
      <c r="F3647" s="5">
        <v>17216387</v>
      </c>
      <c r="G3647" s="5">
        <v>3.3901388564806942</v>
      </c>
      <c r="H3647" s="5">
        <v>2008.4445870275315</v>
      </c>
      <c r="I3647" s="5">
        <v>68.089060355703552</v>
      </c>
    </row>
    <row r="3648" spans="1:9" x14ac:dyDescent="0.2">
      <c r="A3648" s="5" t="s">
        <v>113</v>
      </c>
      <c r="B3648" s="5" t="s">
        <v>63</v>
      </c>
      <c r="C3648" s="5" t="s">
        <v>55</v>
      </c>
      <c r="D3648" s="5">
        <v>252841</v>
      </c>
      <c r="E3648" s="5">
        <v>8559</v>
      </c>
      <c r="F3648" s="5">
        <v>17255191</v>
      </c>
      <c r="G3648" s="5">
        <v>3.3851313671437779</v>
      </c>
      <c r="H3648" s="5">
        <v>2016.0288585115084</v>
      </c>
      <c r="I3648" s="5">
        <v>68.245225260143727</v>
      </c>
    </row>
    <row r="3649" spans="1:9" x14ac:dyDescent="0.2">
      <c r="A3649" s="5" t="s">
        <v>113</v>
      </c>
      <c r="B3649" s="5" t="s">
        <v>63</v>
      </c>
      <c r="C3649" s="5" t="s">
        <v>56</v>
      </c>
      <c r="D3649" s="5">
        <v>252750</v>
      </c>
      <c r="E3649" s="5">
        <v>8439</v>
      </c>
      <c r="F3649" s="5">
        <v>16956897</v>
      </c>
      <c r="G3649" s="5">
        <v>3.3388724035608308</v>
      </c>
      <c r="H3649" s="5">
        <v>2009.3490934944898</v>
      </c>
      <c r="I3649" s="5">
        <v>67.089602373887246</v>
      </c>
    </row>
    <row r="3650" spans="1:9" x14ac:dyDescent="0.2">
      <c r="A3650" s="5" t="s">
        <v>113</v>
      </c>
      <c r="B3650" s="5" t="s">
        <v>63</v>
      </c>
      <c r="C3650" s="5" t="s">
        <v>57</v>
      </c>
      <c r="D3650" s="5">
        <v>252852</v>
      </c>
      <c r="E3650" s="5">
        <v>8277</v>
      </c>
      <c r="F3650" s="5">
        <v>16719142</v>
      </c>
      <c r="G3650" s="5">
        <v>3.2734564092829008</v>
      </c>
      <c r="H3650" s="5">
        <v>2019.9519149450284</v>
      </c>
      <c r="I3650" s="5">
        <v>66.122245424200713</v>
      </c>
    </row>
    <row r="3651" spans="1:9" x14ac:dyDescent="0.2">
      <c r="A3651" s="5" t="s">
        <v>113</v>
      </c>
      <c r="B3651" s="5" t="s">
        <v>63</v>
      </c>
      <c r="C3651" s="5" t="s">
        <v>58</v>
      </c>
      <c r="D3651" s="5">
        <v>252868</v>
      </c>
      <c r="E3651" s="5">
        <v>8077</v>
      </c>
      <c r="F3651" s="5">
        <v>16438172</v>
      </c>
      <c r="G3651" s="5">
        <v>3.1941566350823356</v>
      </c>
      <c r="H3651" s="5">
        <v>2035.1828649250961</v>
      </c>
      <c r="I3651" s="5">
        <v>65.006928516063724</v>
      </c>
    </row>
    <row r="3652" spans="1:9" x14ac:dyDescent="0.2">
      <c r="A3652" s="5" t="s">
        <v>113</v>
      </c>
      <c r="B3652" s="5" t="s">
        <v>63</v>
      </c>
      <c r="C3652" s="5" t="s">
        <v>59</v>
      </c>
      <c r="D3652" s="5">
        <v>253012</v>
      </c>
      <c r="E3652" s="5">
        <v>8010</v>
      </c>
      <c r="F3652" s="5">
        <v>16836727</v>
      </c>
      <c r="G3652" s="5">
        <v>3.1658577458776658</v>
      </c>
      <c r="H3652" s="5">
        <v>2101.9634207240947</v>
      </c>
      <c r="I3652" s="5">
        <v>66.545171770508915</v>
      </c>
    </row>
    <row r="3653" spans="1:9" x14ac:dyDescent="0.2">
      <c r="A3653" s="5" t="s">
        <v>113</v>
      </c>
      <c r="B3653" s="5" t="s">
        <v>63</v>
      </c>
      <c r="C3653" s="5" t="s">
        <v>60</v>
      </c>
      <c r="D3653" s="5">
        <v>253388</v>
      </c>
      <c r="E3653" s="5">
        <v>7987</v>
      </c>
      <c r="F3653" s="5">
        <v>16977497</v>
      </c>
      <c r="G3653" s="5">
        <v>3.1520829715692931</v>
      </c>
      <c r="H3653" s="5">
        <v>2125.6412920996618</v>
      </c>
      <c r="I3653" s="5">
        <v>67.001977204918944</v>
      </c>
    </row>
    <row r="3654" spans="1:9" x14ac:dyDescent="0.2">
      <c r="A3654" s="5" t="s">
        <v>113</v>
      </c>
      <c r="B3654" s="5" t="s">
        <v>63</v>
      </c>
      <c r="C3654" s="5" t="s">
        <v>61</v>
      </c>
      <c r="D3654" s="5">
        <v>253522</v>
      </c>
      <c r="E3654" s="5">
        <v>7943</v>
      </c>
      <c r="F3654" s="5">
        <v>16985903</v>
      </c>
      <c r="G3654" s="5">
        <v>3.1330614305661837</v>
      </c>
      <c r="H3654" s="5">
        <v>2138.4745058542112</v>
      </c>
      <c r="I3654" s="5">
        <v>66.999719945409083</v>
      </c>
    </row>
    <row r="3655" spans="1:9" x14ac:dyDescent="0.2">
      <c r="A3655" s="5" t="s">
        <v>113</v>
      </c>
      <c r="B3655" s="5" t="s">
        <v>63</v>
      </c>
      <c r="C3655" s="5" t="s">
        <v>62</v>
      </c>
      <c r="D3655" s="5">
        <v>254210</v>
      </c>
      <c r="E3655" s="5">
        <v>7732</v>
      </c>
      <c r="F3655" s="5">
        <v>16711713</v>
      </c>
      <c r="G3655" s="5">
        <v>3.0415797962314621</v>
      </c>
      <c r="H3655" s="5">
        <v>2161.3700206932231</v>
      </c>
      <c r="I3655" s="5">
        <v>65.739793871208846</v>
      </c>
    </row>
    <row r="3656" spans="1:9" x14ac:dyDescent="0.2">
      <c r="A3656" s="5" t="s">
        <v>113</v>
      </c>
      <c r="B3656" s="5" t="s">
        <v>64</v>
      </c>
      <c r="C3656" s="5" t="s">
        <v>45</v>
      </c>
      <c r="D3656" s="5">
        <v>217558</v>
      </c>
      <c r="E3656" s="5">
        <v>25214</v>
      </c>
      <c r="F3656" s="5">
        <v>15101101</v>
      </c>
      <c r="G3656" s="5">
        <v>11.589553130659411</v>
      </c>
      <c r="H3656" s="5">
        <v>598.9173078448481</v>
      </c>
      <c r="I3656" s="5">
        <v>69.411839601393652</v>
      </c>
    </row>
    <row r="3657" spans="1:9" x14ac:dyDescent="0.2">
      <c r="A3657" s="5" t="s">
        <v>113</v>
      </c>
      <c r="B3657" s="5" t="s">
        <v>64</v>
      </c>
      <c r="C3657" s="5" t="s">
        <v>46</v>
      </c>
      <c r="D3657" s="5">
        <v>219545</v>
      </c>
      <c r="E3657" s="5">
        <v>25302</v>
      </c>
      <c r="F3657" s="5">
        <v>15036393</v>
      </c>
      <c r="G3657" s="5">
        <v>11.524744357648773</v>
      </c>
      <c r="H3657" s="5">
        <v>594.27685558453879</v>
      </c>
      <c r="I3657" s="5">
        <v>68.488888382791686</v>
      </c>
    </row>
    <row r="3658" spans="1:9" x14ac:dyDescent="0.2">
      <c r="A3658" s="5" t="s">
        <v>113</v>
      </c>
      <c r="B3658" s="5" t="s">
        <v>64</v>
      </c>
      <c r="C3658" s="5" t="s">
        <v>47</v>
      </c>
      <c r="D3658" s="5">
        <v>221209</v>
      </c>
      <c r="E3658" s="5">
        <v>23789</v>
      </c>
      <c r="F3658" s="5">
        <v>14158910</v>
      </c>
      <c r="G3658" s="5">
        <v>10.754083242544381</v>
      </c>
      <c r="H3658" s="5">
        <v>595.18727142797093</v>
      </c>
      <c r="I3658" s="5">
        <v>64.006934618392563</v>
      </c>
    </row>
    <row r="3659" spans="1:9" x14ac:dyDescent="0.2">
      <c r="A3659" s="5" t="s">
        <v>113</v>
      </c>
      <c r="B3659" s="5" t="s">
        <v>64</v>
      </c>
      <c r="C3659" s="5" t="s">
        <v>48</v>
      </c>
      <c r="D3659" s="5">
        <v>222602</v>
      </c>
      <c r="E3659" s="5">
        <v>23307</v>
      </c>
      <c r="F3659" s="5">
        <v>13962929</v>
      </c>
      <c r="G3659" s="5">
        <v>10.470256331928734</v>
      </c>
      <c r="H3659" s="5">
        <v>599.08735573003821</v>
      </c>
      <c r="I3659" s="5">
        <v>62.725981797108744</v>
      </c>
    </row>
    <row r="3660" spans="1:9" x14ac:dyDescent="0.2">
      <c r="A3660" s="5" t="s">
        <v>113</v>
      </c>
      <c r="B3660" s="5" t="s">
        <v>64</v>
      </c>
      <c r="C3660" s="5" t="s">
        <v>49</v>
      </c>
      <c r="D3660" s="5">
        <v>223214</v>
      </c>
      <c r="E3660" s="5">
        <v>23011</v>
      </c>
      <c r="F3660" s="5">
        <v>14087973</v>
      </c>
      <c r="G3660" s="5">
        <v>10.30894119544473</v>
      </c>
      <c r="H3660" s="5">
        <v>612.22776063621745</v>
      </c>
      <c r="I3660" s="5">
        <v>63.114199826175778</v>
      </c>
    </row>
    <row r="3661" spans="1:9" x14ac:dyDescent="0.2">
      <c r="A3661" s="5" t="s">
        <v>113</v>
      </c>
      <c r="B3661" s="5" t="s">
        <v>64</v>
      </c>
      <c r="C3661" s="5" t="s">
        <v>50</v>
      </c>
      <c r="D3661" s="5">
        <v>223238</v>
      </c>
      <c r="E3661" s="5">
        <v>22846</v>
      </c>
      <c r="F3661" s="5">
        <v>13944797</v>
      </c>
      <c r="G3661" s="5">
        <v>10.233920748259704</v>
      </c>
      <c r="H3661" s="5">
        <v>610.38243018471508</v>
      </c>
      <c r="I3661" s="5">
        <v>62.466054166405364</v>
      </c>
    </row>
    <row r="3662" spans="1:9" x14ac:dyDescent="0.2">
      <c r="A3662" s="5" t="s">
        <v>113</v>
      </c>
      <c r="B3662" s="5" t="s">
        <v>64</v>
      </c>
      <c r="C3662" s="5" t="s">
        <v>51</v>
      </c>
      <c r="D3662" s="5">
        <v>222765</v>
      </c>
      <c r="E3662" s="5">
        <v>22990</v>
      </c>
      <c r="F3662" s="5">
        <v>13809040</v>
      </c>
      <c r="G3662" s="5">
        <v>10.320292685116602</v>
      </c>
      <c r="H3662" s="5">
        <v>600.65419747716396</v>
      </c>
      <c r="I3662" s="5">
        <v>61.989271205081586</v>
      </c>
    </row>
    <row r="3663" spans="1:9" x14ac:dyDescent="0.2">
      <c r="A3663" s="5" t="s">
        <v>113</v>
      </c>
      <c r="B3663" s="5" t="s">
        <v>64</v>
      </c>
      <c r="C3663" s="5" t="s">
        <v>52</v>
      </c>
      <c r="D3663" s="5">
        <v>222087</v>
      </c>
      <c r="E3663" s="5">
        <v>22168</v>
      </c>
      <c r="F3663" s="5">
        <v>12668331</v>
      </c>
      <c r="G3663" s="5">
        <v>9.9816738485368344</v>
      </c>
      <c r="H3663" s="5">
        <v>571.46928004330562</v>
      </c>
      <c r="I3663" s="5">
        <v>57.042199678504367</v>
      </c>
    </row>
    <row r="3664" spans="1:9" x14ac:dyDescent="0.2">
      <c r="A3664" s="5" t="s">
        <v>113</v>
      </c>
      <c r="B3664" s="5" t="s">
        <v>64</v>
      </c>
      <c r="C3664" s="5" t="s">
        <v>53</v>
      </c>
      <c r="D3664" s="5">
        <v>221472</v>
      </c>
      <c r="E3664" s="5">
        <v>21633</v>
      </c>
      <c r="F3664" s="5">
        <v>12342160</v>
      </c>
      <c r="G3664" s="5">
        <v>9.7678261811876901</v>
      </c>
      <c r="H3664" s="5">
        <v>570.5246613969399</v>
      </c>
      <c r="I3664" s="5">
        <v>55.727857246062705</v>
      </c>
    </row>
    <row r="3665" spans="1:9" x14ac:dyDescent="0.2">
      <c r="A3665" s="5" t="s">
        <v>113</v>
      </c>
      <c r="B3665" s="5" t="s">
        <v>64</v>
      </c>
      <c r="C3665" s="5" t="s">
        <v>54</v>
      </c>
      <c r="D3665" s="5">
        <v>220406</v>
      </c>
      <c r="E3665" s="5">
        <v>21057</v>
      </c>
      <c r="F3665" s="5">
        <v>11996790</v>
      </c>
      <c r="G3665" s="5">
        <v>9.5537326570057068</v>
      </c>
      <c r="H3665" s="5">
        <v>569.72930616896997</v>
      </c>
      <c r="I3665" s="5">
        <v>54.430414779996916</v>
      </c>
    </row>
    <row r="3666" spans="1:9" x14ac:dyDescent="0.2">
      <c r="A3666" s="5" t="s">
        <v>113</v>
      </c>
      <c r="B3666" s="5" t="s">
        <v>64</v>
      </c>
      <c r="C3666" s="5" t="s">
        <v>55</v>
      </c>
      <c r="D3666" s="5">
        <v>219495</v>
      </c>
      <c r="E3666" s="5">
        <v>19984</v>
      </c>
      <c r="F3666" s="5">
        <v>11415926</v>
      </c>
      <c r="G3666" s="5">
        <v>9.1045354108294045</v>
      </c>
      <c r="H3666" s="5">
        <v>571.25330264211368</v>
      </c>
      <c r="I3666" s="5">
        <v>52.009959224583703</v>
      </c>
    </row>
    <row r="3667" spans="1:9" x14ac:dyDescent="0.2">
      <c r="A3667" s="5" t="s">
        <v>113</v>
      </c>
      <c r="B3667" s="5" t="s">
        <v>64</v>
      </c>
      <c r="C3667" s="5" t="s">
        <v>56</v>
      </c>
      <c r="D3667" s="5">
        <v>218507</v>
      </c>
      <c r="E3667" s="5">
        <v>19607</v>
      </c>
      <c r="F3667" s="5">
        <v>10996662</v>
      </c>
      <c r="G3667" s="5">
        <v>8.9731679076642852</v>
      </c>
      <c r="H3667" s="5">
        <v>560.85387871678483</v>
      </c>
      <c r="I3667" s="5">
        <v>50.326360253904909</v>
      </c>
    </row>
    <row r="3668" spans="1:9" x14ac:dyDescent="0.2">
      <c r="A3668" s="5" t="s">
        <v>113</v>
      </c>
      <c r="B3668" s="5" t="s">
        <v>64</v>
      </c>
      <c r="C3668" s="5" t="s">
        <v>57</v>
      </c>
      <c r="D3668" s="5">
        <v>217723</v>
      </c>
      <c r="E3668" s="5">
        <v>19488</v>
      </c>
      <c r="F3668" s="5">
        <v>10461526</v>
      </c>
      <c r="G3668" s="5">
        <v>8.9508228345190908</v>
      </c>
      <c r="H3668" s="5">
        <v>536.81886288998362</v>
      </c>
      <c r="I3668" s="5">
        <v>48.049705359562381</v>
      </c>
    </row>
    <row r="3669" spans="1:9" x14ac:dyDescent="0.2">
      <c r="A3669" s="5" t="s">
        <v>113</v>
      </c>
      <c r="B3669" s="5" t="s">
        <v>64</v>
      </c>
      <c r="C3669" s="5" t="s">
        <v>58</v>
      </c>
      <c r="D3669" s="5">
        <v>217151</v>
      </c>
      <c r="E3669" s="5">
        <v>19737</v>
      </c>
      <c r="F3669" s="5">
        <v>10081505</v>
      </c>
      <c r="G3669" s="5">
        <v>9.0890670547222907</v>
      </c>
      <c r="H3669" s="5">
        <v>510.79216699599738</v>
      </c>
      <c r="I3669" s="5">
        <v>46.426242568535258</v>
      </c>
    </row>
    <row r="3670" spans="1:9" x14ac:dyDescent="0.2">
      <c r="A3670" s="5" t="s">
        <v>113</v>
      </c>
      <c r="B3670" s="5" t="s">
        <v>64</v>
      </c>
      <c r="C3670" s="5" t="s">
        <v>59</v>
      </c>
      <c r="D3670" s="5">
        <v>216820</v>
      </c>
      <c r="E3670" s="5">
        <v>20033</v>
      </c>
      <c r="F3670" s="5">
        <v>9864020</v>
      </c>
      <c r="G3670" s="5">
        <v>9.2394613043077207</v>
      </c>
      <c r="H3670" s="5">
        <v>492.38855887785155</v>
      </c>
      <c r="I3670" s="5">
        <v>45.494050364357534</v>
      </c>
    </row>
    <row r="3671" spans="1:9" x14ac:dyDescent="0.2">
      <c r="A3671" s="5" t="s">
        <v>113</v>
      </c>
      <c r="B3671" s="5" t="s">
        <v>64</v>
      </c>
      <c r="C3671" s="5" t="s">
        <v>60</v>
      </c>
      <c r="D3671" s="5">
        <v>216817</v>
      </c>
      <c r="E3671" s="5">
        <v>20041</v>
      </c>
      <c r="F3671" s="5">
        <v>9772676</v>
      </c>
      <c r="G3671" s="5">
        <v>9.2432788941826516</v>
      </c>
      <c r="H3671" s="5">
        <v>487.63414999251535</v>
      </c>
      <c r="I3671" s="5">
        <v>45.073384467085148</v>
      </c>
    </row>
    <row r="3672" spans="1:9" x14ac:dyDescent="0.2">
      <c r="A3672" s="5" t="s">
        <v>113</v>
      </c>
      <c r="B3672" s="5" t="s">
        <v>64</v>
      </c>
      <c r="C3672" s="5" t="s">
        <v>61</v>
      </c>
      <c r="D3672" s="5">
        <v>216232</v>
      </c>
      <c r="E3672" s="5">
        <v>19847</v>
      </c>
      <c r="F3672" s="5">
        <v>10111321</v>
      </c>
      <c r="G3672" s="5">
        <v>9.1785674645750852</v>
      </c>
      <c r="H3672" s="5">
        <v>509.46344535698091</v>
      </c>
      <c r="I3672" s="5">
        <v>46.761446039439122</v>
      </c>
    </row>
    <row r="3673" spans="1:9" x14ac:dyDescent="0.2">
      <c r="A3673" s="5" t="s">
        <v>113</v>
      </c>
      <c r="B3673" s="5" t="s">
        <v>64</v>
      </c>
      <c r="C3673" s="5" t="s">
        <v>62</v>
      </c>
      <c r="D3673" s="5">
        <v>216009</v>
      </c>
      <c r="E3673" s="5">
        <v>18764</v>
      </c>
      <c r="F3673" s="5">
        <v>10214903</v>
      </c>
      <c r="G3673" s="5">
        <v>8.6866750922415275</v>
      </c>
      <c r="H3673" s="5">
        <v>544.38835003197607</v>
      </c>
      <c r="I3673" s="5">
        <v>47.289247207292291</v>
      </c>
    </row>
    <row r="3674" spans="1:9" x14ac:dyDescent="0.2">
      <c r="A3674" s="5" t="s">
        <v>113</v>
      </c>
      <c r="B3674" s="5" t="s">
        <v>65</v>
      </c>
      <c r="C3674" s="5" t="s">
        <v>45</v>
      </c>
      <c r="D3674" s="5">
        <v>192033</v>
      </c>
      <c r="E3674" s="5">
        <v>12522</v>
      </c>
      <c r="F3674" s="5">
        <v>27805363</v>
      </c>
      <c r="G3674" s="5">
        <v>6.5207542453640777</v>
      </c>
      <c r="H3674" s="5">
        <v>2220.5209231752115</v>
      </c>
      <c r="I3674" s="5">
        <v>144.79471236714522</v>
      </c>
    </row>
    <row r="3675" spans="1:9" x14ac:dyDescent="0.2">
      <c r="A3675" s="5" t="s">
        <v>113</v>
      </c>
      <c r="B3675" s="5" t="s">
        <v>65</v>
      </c>
      <c r="C3675" s="5" t="s">
        <v>46</v>
      </c>
      <c r="D3675" s="5">
        <v>194105</v>
      </c>
      <c r="E3675" s="5">
        <v>12256</v>
      </c>
      <c r="F3675" s="5">
        <v>27218293</v>
      </c>
      <c r="G3675" s="5">
        <v>6.3141083434223741</v>
      </c>
      <c r="H3675" s="5">
        <v>2220.8137238903396</v>
      </c>
      <c r="I3675" s="5">
        <v>140.22458463202906</v>
      </c>
    </row>
    <row r="3676" spans="1:9" x14ac:dyDescent="0.2">
      <c r="A3676" s="5" t="s">
        <v>113</v>
      </c>
      <c r="B3676" s="5" t="s">
        <v>65</v>
      </c>
      <c r="C3676" s="5" t="s">
        <v>47</v>
      </c>
      <c r="D3676" s="5">
        <v>195943</v>
      </c>
      <c r="E3676" s="5">
        <v>12075</v>
      </c>
      <c r="F3676" s="5">
        <v>27239809</v>
      </c>
      <c r="G3676" s="5">
        <v>6.1625064432003187</v>
      </c>
      <c r="H3676" s="5">
        <v>2255.8848033126292</v>
      </c>
      <c r="I3676" s="5">
        <v>139.01904635531761</v>
      </c>
    </row>
    <row r="3677" spans="1:9" x14ac:dyDescent="0.2">
      <c r="A3677" s="5" t="s">
        <v>113</v>
      </c>
      <c r="B3677" s="5" t="s">
        <v>65</v>
      </c>
      <c r="C3677" s="5" t="s">
        <v>48</v>
      </c>
      <c r="D3677" s="5">
        <v>197341</v>
      </c>
      <c r="E3677" s="5">
        <v>12088</v>
      </c>
      <c r="F3677" s="5">
        <v>28159132</v>
      </c>
      <c r="G3677" s="5">
        <v>6.1254376941436393</v>
      </c>
      <c r="H3677" s="5">
        <v>2329.5112508272668</v>
      </c>
      <c r="I3677" s="5">
        <v>142.69276024749038</v>
      </c>
    </row>
    <row r="3678" spans="1:9" x14ac:dyDescent="0.2">
      <c r="A3678" s="5" t="s">
        <v>113</v>
      </c>
      <c r="B3678" s="5" t="s">
        <v>65</v>
      </c>
      <c r="C3678" s="5" t="s">
        <v>49</v>
      </c>
      <c r="D3678" s="5">
        <v>197848</v>
      </c>
      <c r="E3678" s="5">
        <v>12374</v>
      </c>
      <c r="F3678" s="5">
        <v>29549706</v>
      </c>
      <c r="G3678" s="5">
        <v>6.2542962274068978</v>
      </c>
      <c r="H3678" s="5">
        <v>2388.0480038791015</v>
      </c>
      <c r="I3678" s="5">
        <v>149.35559621527636</v>
      </c>
    </row>
    <row r="3679" spans="1:9" x14ac:dyDescent="0.2">
      <c r="A3679" s="5" t="s">
        <v>113</v>
      </c>
      <c r="B3679" s="5" t="s">
        <v>65</v>
      </c>
      <c r="C3679" s="5" t="s">
        <v>50</v>
      </c>
      <c r="D3679" s="5">
        <v>197810</v>
      </c>
      <c r="E3679" s="5">
        <v>12353</v>
      </c>
      <c r="F3679" s="5">
        <v>30089943</v>
      </c>
      <c r="G3679" s="5">
        <v>6.2448814518982863</v>
      </c>
      <c r="H3679" s="5">
        <v>2435.8409293289078</v>
      </c>
      <c r="I3679" s="5">
        <v>152.11537839340781</v>
      </c>
    </row>
    <row r="3680" spans="1:9" x14ac:dyDescent="0.2">
      <c r="A3680" s="5" t="s">
        <v>113</v>
      </c>
      <c r="B3680" s="5" t="s">
        <v>65</v>
      </c>
      <c r="C3680" s="5" t="s">
        <v>51</v>
      </c>
      <c r="D3680" s="5">
        <v>197351</v>
      </c>
      <c r="E3680" s="5">
        <v>12084</v>
      </c>
      <c r="F3680" s="5">
        <v>29712206</v>
      </c>
      <c r="G3680" s="5">
        <v>6.1231004656677692</v>
      </c>
      <c r="H3680" s="5">
        <v>2458.8055279708706</v>
      </c>
      <c r="I3680" s="5">
        <v>150.55513273304925</v>
      </c>
    </row>
    <row r="3681" spans="1:9" x14ac:dyDescent="0.2">
      <c r="A3681" s="5" t="s">
        <v>113</v>
      </c>
      <c r="B3681" s="5" t="s">
        <v>65</v>
      </c>
      <c r="C3681" s="5" t="s">
        <v>52</v>
      </c>
      <c r="D3681" s="5">
        <v>196760</v>
      </c>
      <c r="E3681" s="5">
        <v>11669</v>
      </c>
      <c r="F3681" s="5">
        <v>28874629</v>
      </c>
      <c r="G3681" s="5">
        <v>5.9305753201870299</v>
      </c>
      <c r="H3681" s="5">
        <v>2474.4733053389323</v>
      </c>
      <c r="I3681" s="5">
        <v>146.75050315104696</v>
      </c>
    </row>
    <row r="3682" spans="1:9" x14ac:dyDescent="0.2">
      <c r="A3682" s="5" t="s">
        <v>113</v>
      </c>
      <c r="B3682" s="5" t="s">
        <v>65</v>
      </c>
      <c r="C3682" s="5" t="s">
        <v>53</v>
      </c>
      <c r="D3682" s="5">
        <v>196293</v>
      </c>
      <c r="E3682" s="5">
        <v>11064</v>
      </c>
      <c r="F3682" s="5">
        <v>27183554</v>
      </c>
      <c r="G3682" s="5">
        <v>5.6364720086809008</v>
      </c>
      <c r="H3682" s="5">
        <v>2456.9372740419376</v>
      </c>
      <c r="I3682" s="5">
        <v>138.48458172222138</v>
      </c>
    </row>
    <row r="3683" spans="1:9" x14ac:dyDescent="0.2">
      <c r="A3683" s="5" t="s">
        <v>113</v>
      </c>
      <c r="B3683" s="5" t="s">
        <v>65</v>
      </c>
      <c r="C3683" s="5" t="s">
        <v>54</v>
      </c>
      <c r="D3683" s="5">
        <v>195369</v>
      </c>
      <c r="E3683" s="5">
        <v>10894</v>
      </c>
      <c r="F3683" s="5">
        <v>26679601</v>
      </c>
      <c r="G3683" s="5">
        <v>5.576114941469732</v>
      </c>
      <c r="H3683" s="5">
        <v>2449.0178997613366</v>
      </c>
      <c r="I3683" s="5">
        <v>136.56005302786011</v>
      </c>
    </row>
    <row r="3684" spans="1:9" x14ac:dyDescent="0.2">
      <c r="A3684" s="5" t="s">
        <v>113</v>
      </c>
      <c r="B3684" s="5" t="s">
        <v>65</v>
      </c>
      <c r="C3684" s="5" t="s">
        <v>55</v>
      </c>
      <c r="D3684" s="5">
        <v>194644</v>
      </c>
      <c r="E3684" s="5">
        <v>10793</v>
      </c>
      <c r="F3684" s="5">
        <v>26180008</v>
      </c>
      <c r="G3684" s="5">
        <v>5.5449949651671773</v>
      </c>
      <c r="H3684" s="5">
        <v>2425.646993421662</v>
      </c>
      <c r="I3684" s="5">
        <v>134.50200365796016</v>
      </c>
    </row>
    <row r="3685" spans="1:9" x14ac:dyDescent="0.2">
      <c r="A3685" s="5" t="s">
        <v>113</v>
      </c>
      <c r="B3685" s="5" t="s">
        <v>65</v>
      </c>
      <c r="C3685" s="5" t="s">
        <v>56</v>
      </c>
      <c r="D3685" s="5">
        <v>193824</v>
      </c>
      <c r="E3685" s="5">
        <v>10574</v>
      </c>
      <c r="F3685" s="5">
        <v>25821655</v>
      </c>
      <c r="G3685" s="5">
        <v>5.4554647515271588</v>
      </c>
      <c r="H3685" s="5">
        <v>2441.9949877056933</v>
      </c>
      <c r="I3685" s="5">
        <v>133.22217578834406</v>
      </c>
    </row>
    <row r="3686" spans="1:9" x14ac:dyDescent="0.2">
      <c r="A3686" s="5" t="s">
        <v>113</v>
      </c>
      <c r="B3686" s="5" t="s">
        <v>65</v>
      </c>
      <c r="C3686" s="5" t="s">
        <v>57</v>
      </c>
      <c r="D3686" s="5">
        <v>193239</v>
      </c>
      <c r="E3686" s="5">
        <v>10290</v>
      </c>
      <c r="F3686" s="5">
        <v>25382278</v>
      </c>
      <c r="G3686" s="5">
        <v>5.325012031732725</v>
      </c>
      <c r="H3686" s="5">
        <v>2466.693683187561</v>
      </c>
      <c r="I3686" s="5">
        <v>131.35173541572871</v>
      </c>
    </row>
    <row r="3687" spans="1:9" x14ac:dyDescent="0.2">
      <c r="A3687" s="5" t="s">
        <v>113</v>
      </c>
      <c r="B3687" s="5" t="s">
        <v>65</v>
      </c>
      <c r="C3687" s="5" t="s">
        <v>58</v>
      </c>
      <c r="D3687" s="5">
        <v>192837</v>
      </c>
      <c r="E3687" s="5">
        <v>10236</v>
      </c>
      <c r="F3687" s="5">
        <v>26553063</v>
      </c>
      <c r="G3687" s="5">
        <v>5.308109958151185</v>
      </c>
      <c r="H3687" s="5">
        <v>2594.0858733880423</v>
      </c>
      <c r="I3687" s="5">
        <v>137.6969305683038</v>
      </c>
    </row>
    <row r="3688" spans="1:9" x14ac:dyDescent="0.2">
      <c r="A3688" s="5" t="s">
        <v>113</v>
      </c>
      <c r="B3688" s="5" t="s">
        <v>65</v>
      </c>
      <c r="C3688" s="5" t="s">
        <v>59</v>
      </c>
      <c r="D3688" s="5">
        <v>192586</v>
      </c>
      <c r="E3688" s="5">
        <v>9997</v>
      </c>
      <c r="F3688" s="5">
        <v>26161162</v>
      </c>
      <c r="G3688" s="5">
        <v>5.1909276894478307</v>
      </c>
      <c r="H3688" s="5">
        <v>2616.9012703811145</v>
      </c>
      <c r="I3688" s="5">
        <v>135.84145264972531</v>
      </c>
    </row>
    <row r="3689" spans="1:9" x14ac:dyDescent="0.2">
      <c r="A3689" s="5" t="s">
        <v>113</v>
      </c>
      <c r="B3689" s="5" t="s">
        <v>65</v>
      </c>
      <c r="C3689" s="5" t="s">
        <v>60</v>
      </c>
      <c r="D3689" s="5">
        <v>192666</v>
      </c>
      <c r="E3689" s="5">
        <v>9976</v>
      </c>
      <c r="F3689" s="5">
        <v>26382328</v>
      </c>
      <c r="G3689" s="5">
        <v>5.1778725877944218</v>
      </c>
      <c r="H3689" s="5">
        <v>2644.5797914995992</v>
      </c>
      <c r="I3689" s="5">
        <v>136.9329720864086</v>
      </c>
    </row>
    <row r="3690" spans="1:9" x14ac:dyDescent="0.2">
      <c r="A3690" s="5" t="s">
        <v>113</v>
      </c>
      <c r="B3690" s="5" t="s">
        <v>65</v>
      </c>
      <c r="C3690" s="5" t="s">
        <v>61</v>
      </c>
      <c r="D3690" s="5">
        <v>194750</v>
      </c>
      <c r="E3690" s="5">
        <v>10142</v>
      </c>
      <c r="F3690" s="5">
        <v>27063883</v>
      </c>
      <c r="G3690" s="5">
        <v>5.2077021822849812</v>
      </c>
      <c r="H3690" s="5">
        <v>2668.4956616052059</v>
      </c>
      <c r="I3690" s="5">
        <v>138.96730680359434</v>
      </c>
    </row>
    <row r="3691" spans="1:9" x14ac:dyDescent="0.2">
      <c r="A3691" s="5" t="s">
        <v>113</v>
      </c>
      <c r="B3691" s="5" t="s">
        <v>65</v>
      </c>
      <c r="C3691" s="5" t="s">
        <v>62</v>
      </c>
      <c r="D3691" s="5">
        <v>197218</v>
      </c>
      <c r="E3691" s="5">
        <v>9728</v>
      </c>
      <c r="F3691" s="5">
        <v>27104133</v>
      </c>
      <c r="G3691" s="5">
        <v>4.9326126418481069</v>
      </c>
      <c r="H3691" s="5">
        <v>2786.1978824013158</v>
      </c>
      <c r="I3691" s="5">
        <v>137.43234897423156</v>
      </c>
    </row>
    <row r="3692" spans="1:9" x14ac:dyDescent="0.2">
      <c r="A3692" s="5" t="s">
        <v>114</v>
      </c>
      <c r="B3692" s="5" t="s">
        <v>44</v>
      </c>
      <c r="C3692" s="5" t="s">
        <v>45</v>
      </c>
      <c r="D3692" s="5">
        <v>2228559</v>
      </c>
      <c r="E3692" s="5">
        <v>29662</v>
      </c>
      <c r="F3692" s="5">
        <v>267888984</v>
      </c>
      <c r="G3692" s="5">
        <v>1.3309946023416925</v>
      </c>
      <c r="H3692" s="5">
        <v>9031.3864203357825</v>
      </c>
      <c r="I3692" s="5">
        <v>120.20726577128988</v>
      </c>
    </row>
    <row r="3693" spans="1:9" x14ac:dyDescent="0.2">
      <c r="A3693" s="5" t="s">
        <v>114</v>
      </c>
      <c r="B3693" s="5" t="s">
        <v>44</v>
      </c>
      <c r="C3693" s="5" t="s">
        <v>46</v>
      </c>
      <c r="D3693" s="5">
        <v>2238013</v>
      </c>
      <c r="E3693" s="5">
        <v>29349</v>
      </c>
      <c r="F3693" s="5">
        <v>265884888</v>
      </c>
      <c r="G3693" s="5">
        <v>1.3113864843501803</v>
      </c>
      <c r="H3693" s="5">
        <v>9059.4189921292036</v>
      </c>
      <c r="I3693" s="5">
        <v>118.8039962234357</v>
      </c>
    </row>
    <row r="3694" spans="1:9" x14ac:dyDescent="0.2">
      <c r="A3694" s="5" t="s">
        <v>114</v>
      </c>
      <c r="B3694" s="5" t="s">
        <v>44</v>
      </c>
      <c r="C3694" s="5" t="s">
        <v>47</v>
      </c>
      <c r="D3694" s="5">
        <v>2246722</v>
      </c>
      <c r="E3694" s="5">
        <v>29200</v>
      </c>
      <c r="F3694" s="5">
        <v>265962234</v>
      </c>
      <c r="G3694" s="5">
        <v>1.2996712543875033</v>
      </c>
      <c r="H3694" s="5">
        <v>9108.2956849315069</v>
      </c>
      <c r="I3694" s="5">
        <v>118.37790078167214</v>
      </c>
    </row>
    <row r="3695" spans="1:9" x14ac:dyDescent="0.2">
      <c r="A3695" s="5" t="s">
        <v>114</v>
      </c>
      <c r="B3695" s="5" t="s">
        <v>44</v>
      </c>
      <c r="C3695" s="5" t="s">
        <v>48</v>
      </c>
      <c r="D3695" s="5">
        <v>2253799</v>
      </c>
      <c r="E3695" s="5">
        <v>29148</v>
      </c>
      <c r="F3695" s="5">
        <v>267568795</v>
      </c>
      <c r="G3695" s="5">
        <v>1.2932830301193674</v>
      </c>
      <c r="H3695" s="5">
        <v>9179.6622409770825</v>
      </c>
      <c r="I3695" s="5">
        <v>118.71901398483183</v>
      </c>
    </row>
    <row r="3696" spans="1:9" x14ac:dyDescent="0.2">
      <c r="A3696" s="5" t="s">
        <v>114</v>
      </c>
      <c r="B3696" s="5" t="s">
        <v>44</v>
      </c>
      <c r="C3696" s="5" t="s">
        <v>49</v>
      </c>
      <c r="D3696" s="5">
        <v>2261606</v>
      </c>
      <c r="E3696" s="5">
        <v>28989</v>
      </c>
      <c r="F3696" s="5">
        <v>265977782</v>
      </c>
      <c r="G3696" s="5">
        <v>1.2817882513576635</v>
      </c>
      <c r="H3696" s="5">
        <v>9175.1278760909317</v>
      </c>
      <c r="I3696" s="5">
        <v>117.60571116277548</v>
      </c>
    </row>
    <row r="3697" spans="1:9" x14ac:dyDescent="0.2">
      <c r="A3697" s="5" t="s">
        <v>114</v>
      </c>
      <c r="B3697" s="5" t="s">
        <v>44</v>
      </c>
      <c r="C3697" s="5" t="s">
        <v>50</v>
      </c>
      <c r="D3697" s="5">
        <v>2268156</v>
      </c>
      <c r="E3697" s="5">
        <v>28914</v>
      </c>
      <c r="F3697" s="5">
        <v>265269864</v>
      </c>
      <c r="G3697" s="5">
        <v>1.2747800415844412</v>
      </c>
      <c r="H3697" s="5">
        <v>9174.4436605104802</v>
      </c>
      <c r="I3697" s="5">
        <v>116.95397671059662</v>
      </c>
    </row>
    <row r="3698" spans="1:9" x14ac:dyDescent="0.2">
      <c r="A3698" s="5" t="s">
        <v>114</v>
      </c>
      <c r="B3698" s="5" t="s">
        <v>44</v>
      </c>
      <c r="C3698" s="5" t="s">
        <v>51</v>
      </c>
      <c r="D3698" s="5">
        <v>2274778</v>
      </c>
      <c r="E3698" s="5">
        <v>29280</v>
      </c>
      <c r="F3698" s="5">
        <v>273009644</v>
      </c>
      <c r="G3698" s="5">
        <v>1.2871585710781448</v>
      </c>
      <c r="H3698" s="5">
        <v>9324.099863387979</v>
      </c>
      <c r="I3698" s="5">
        <v>120.01595056748394</v>
      </c>
    </row>
    <row r="3699" spans="1:9" x14ac:dyDescent="0.2">
      <c r="A3699" s="5" t="s">
        <v>114</v>
      </c>
      <c r="B3699" s="5" t="s">
        <v>44</v>
      </c>
      <c r="C3699" s="5" t="s">
        <v>52</v>
      </c>
      <c r="D3699" s="5">
        <v>2283221</v>
      </c>
      <c r="E3699" s="5">
        <v>29704</v>
      </c>
      <c r="F3699" s="5">
        <v>275615128</v>
      </c>
      <c r="G3699" s="5">
        <v>1.3009691133709791</v>
      </c>
      <c r="H3699" s="5">
        <v>9278.7209803393489</v>
      </c>
      <c r="I3699" s="5">
        <v>120.71329407008783</v>
      </c>
    </row>
    <row r="3700" spans="1:9" x14ac:dyDescent="0.2">
      <c r="A3700" s="5" t="s">
        <v>114</v>
      </c>
      <c r="B3700" s="5" t="s">
        <v>44</v>
      </c>
      <c r="C3700" s="5" t="s">
        <v>53</v>
      </c>
      <c r="D3700" s="5">
        <v>2293777</v>
      </c>
      <c r="E3700" s="5">
        <v>30315</v>
      </c>
      <c r="F3700" s="5">
        <v>286013699</v>
      </c>
      <c r="G3700" s="5">
        <v>1.321619320448326</v>
      </c>
      <c r="H3700" s="5">
        <v>9434.7253504865585</v>
      </c>
      <c r="I3700" s="5">
        <v>124.6911530632664</v>
      </c>
    </row>
    <row r="3701" spans="1:9" x14ac:dyDescent="0.2">
      <c r="A3701" s="5" t="s">
        <v>114</v>
      </c>
      <c r="B3701" s="5" t="s">
        <v>44</v>
      </c>
      <c r="C3701" s="5" t="s">
        <v>54</v>
      </c>
      <c r="D3701" s="5">
        <v>2306131</v>
      </c>
      <c r="E3701" s="5">
        <v>31123</v>
      </c>
      <c r="F3701" s="5">
        <v>299363885</v>
      </c>
      <c r="G3701" s="5">
        <v>1.3495764117476414</v>
      </c>
      <c r="H3701" s="5">
        <v>9618.7348584648007</v>
      </c>
      <c r="I3701" s="5">
        <v>129.81217675838883</v>
      </c>
    </row>
    <row r="3702" spans="1:9" x14ac:dyDescent="0.2">
      <c r="A3702" s="5" t="s">
        <v>114</v>
      </c>
      <c r="B3702" s="5" t="s">
        <v>44</v>
      </c>
      <c r="C3702" s="5" t="s">
        <v>55</v>
      </c>
      <c r="D3702" s="5">
        <v>2320745</v>
      </c>
      <c r="E3702" s="5">
        <v>31641</v>
      </c>
      <c r="F3702" s="5">
        <v>302459282</v>
      </c>
      <c r="G3702" s="5">
        <v>1.3633983914648098</v>
      </c>
      <c r="H3702" s="5">
        <v>9559.0936443222399</v>
      </c>
      <c r="I3702" s="5">
        <v>130.32852898530427</v>
      </c>
    </row>
    <row r="3703" spans="1:9" x14ac:dyDescent="0.2">
      <c r="A3703" s="5" t="s">
        <v>114</v>
      </c>
      <c r="B3703" s="5" t="s">
        <v>44</v>
      </c>
      <c r="C3703" s="5" t="s">
        <v>56</v>
      </c>
      <c r="D3703" s="5">
        <v>2335819</v>
      </c>
      <c r="E3703" s="5">
        <v>32084</v>
      </c>
      <c r="F3703" s="5">
        <v>313404291</v>
      </c>
      <c r="G3703" s="5">
        <v>1.3735653319028571</v>
      </c>
      <c r="H3703" s="5">
        <v>9768.2424572995878</v>
      </c>
      <c r="I3703" s="5">
        <v>134.1731919296829</v>
      </c>
    </row>
    <row r="3704" spans="1:9" x14ac:dyDescent="0.2">
      <c r="A3704" s="5" t="s">
        <v>114</v>
      </c>
      <c r="B3704" s="5" t="s">
        <v>44</v>
      </c>
      <c r="C3704" s="5" t="s">
        <v>57</v>
      </c>
      <c r="D3704" s="5">
        <v>2352277</v>
      </c>
      <c r="E3704" s="5">
        <v>32019</v>
      </c>
      <c r="F3704" s="5">
        <v>317499435</v>
      </c>
      <c r="G3704" s="5">
        <v>1.3611917303956975</v>
      </c>
      <c r="H3704" s="5">
        <v>9915.9697367188237</v>
      </c>
      <c r="I3704" s="5">
        <v>134.97536004475663</v>
      </c>
    </row>
    <row r="3705" spans="1:9" x14ac:dyDescent="0.2">
      <c r="A3705" s="5" t="s">
        <v>114</v>
      </c>
      <c r="B3705" s="5" t="s">
        <v>44</v>
      </c>
      <c r="C3705" s="5" t="s">
        <v>58</v>
      </c>
      <c r="D3705" s="5">
        <v>2371332</v>
      </c>
      <c r="E3705" s="5">
        <v>32232</v>
      </c>
      <c r="F3705" s="5">
        <v>324396261</v>
      </c>
      <c r="G3705" s="5">
        <v>1.359236074914858</v>
      </c>
      <c r="H3705" s="5">
        <v>10064.416139240506</v>
      </c>
      <c r="I3705" s="5">
        <v>136.79917489411014</v>
      </c>
    </row>
    <row r="3706" spans="1:9" x14ac:dyDescent="0.2">
      <c r="A3706" s="5" t="s">
        <v>114</v>
      </c>
      <c r="B3706" s="5" t="s">
        <v>44</v>
      </c>
      <c r="C3706" s="5" t="s">
        <v>59</v>
      </c>
      <c r="D3706" s="5">
        <v>2392197</v>
      </c>
      <c r="E3706" s="5">
        <v>32454</v>
      </c>
      <c r="F3706" s="5">
        <v>337737504</v>
      </c>
      <c r="G3706" s="5">
        <v>1.3566608435676493</v>
      </c>
      <c r="H3706" s="5">
        <v>10406.652616010353</v>
      </c>
      <c r="I3706" s="5">
        <v>141.18298116752089</v>
      </c>
    </row>
    <row r="3707" spans="1:9" x14ac:dyDescent="0.2">
      <c r="A3707" s="5" t="s">
        <v>114</v>
      </c>
      <c r="B3707" s="5" t="s">
        <v>44</v>
      </c>
      <c r="C3707" s="5" t="s">
        <v>60</v>
      </c>
      <c r="D3707" s="5">
        <v>2415161</v>
      </c>
      <c r="E3707" s="5">
        <v>32799</v>
      </c>
      <c r="F3707" s="5">
        <v>341173738</v>
      </c>
      <c r="G3707" s="5">
        <v>1.3580461095554293</v>
      </c>
      <c r="H3707" s="5">
        <v>10401.955486447758</v>
      </c>
      <c r="I3707" s="5">
        <v>141.26335180139128</v>
      </c>
    </row>
    <row r="3708" spans="1:9" x14ac:dyDescent="0.2">
      <c r="A3708" s="5" t="s">
        <v>114</v>
      </c>
      <c r="B3708" s="5" t="s">
        <v>44</v>
      </c>
      <c r="C3708" s="5" t="s">
        <v>61</v>
      </c>
      <c r="D3708" s="5">
        <v>2440017</v>
      </c>
      <c r="E3708" s="5">
        <v>32892</v>
      </c>
      <c r="F3708" s="5">
        <v>344261320</v>
      </c>
      <c r="G3708" s="5">
        <v>1.3480233949189697</v>
      </c>
      <c r="H3708" s="5">
        <v>10466.414933722486</v>
      </c>
      <c r="I3708" s="5">
        <v>141.08972191587191</v>
      </c>
    </row>
    <row r="3709" spans="1:9" x14ac:dyDescent="0.2">
      <c r="A3709" s="5" t="s">
        <v>114</v>
      </c>
      <c r="B3709" s="5" t="s">
        <v>44</v>
      </c>
      <c r="C3709" s="5" t="s">
        <v>62</v>
      </c>
      <c r="D3709" s="5">
        <v>2462978</v>
      </c>
      <c r="E3709" s="5">
        <v>32805</v>
      </c>
      <c r="F3709" s="5">
        <v>338646296</v>
      </c>
      <c r="G3709" s="5">
        <v>1.331924199079326</v>
      </c>
      <c r="H3709" s="5">
        <v>10323.008565767414</v>
      </c>
      <c r="I3709" s="5">
        <v>137.49464916048782</v>
      </c>
    </row>
    <row r="3710" spans="1:9" x14ac:dyDescent="0.2">
      <c r="A3710" s="5" t="s">
        <v>114</v>
      </c>
      <c r="B3710" s="5" t="s">
        <v>63</v>
      </c>
      <c r="C3710" s="5" t="s">
        <v>45</v>
      </c>
      <c r="D3710" s="5">
        <v>2228559</v>
      </c>
      <c r="E3710" s="5">
        <v>86127</v>
      </c>
      <c r="F3710" s="5">
        <v>205439703</v>
      </c>
      <c r="G3710" s="5">
        <v>3.8646946300277443</v>
      </c>
      <c r="H3710" s="5">
        <v>2385.3112612769514</v>
      </c>
      <c r="I3710" s="5">
        <v>92.184996224017397</v>
      </c>
    </row>
    <row r="3711" spans="1:9" x14ac:dyDescent="0.2">
      <c r="A3711" s="5" t="s">
        <v>114</v>
      </c>
      <c r="B3711" s="5" t="s">
        <v>63</v>
      </c>
      <c r="C3711" s="5" t="s">
        <v>46</v>
      </c>
      <c r="D3711" s="5">
        <v>2238013</v>
      </c>
      <c r="E3711" s="5">
        <v>86068</v>
      </c>
      <c r="F3711" s="5">
        <v>207679238</v>
      </c>
      <c r="G3711" s="5">
        <v>3.8457327995860613</v>
      </c>
      <c r="H3711" s="5">
        <v>2412.9669331226473</v>
      </c>
      <c r="I3711" s="5">
        <v>92.796260790263503</v>
      </c>
    </row>
    <row r="3712" spans="1:9" x14ac:dyDescent="0.2">
      <c r="A3712" s="5" t="s">
        <v>114</v>
      </c>
      <c r="B3712" s="5" t="s">
        <v>63</v>
      </c>
      <c r="C3712" s="5" t="s">
        <v>47</v>
      </c>
      <c r="D3712" s="5">
        <v>2246722</v>
      </c>
      <c r="E3712" s="5">
        <v>85883</v>
      </c>
      <c r="F3712" s="5">
        <v>208825201</v>
      </c>
      <c r="G3712" s="5">
        <v>3.8225913130329432</v>
      </c>
      <c r="H3712" s="5">
        <v>2431.507993432926</v>
      </c>
      <c r="I3712" s="5">
        <v>92.946613332668662</v>
      </c>
    </row>
    <row r="3713" spans="1:9" x14ac:dyDescent="0.2">
      <c r="A3713" s="5" t="s">
        <v>114</v>
      </c>
      <c r="B3713" s="5" t="s">
        <v>63</v>
      </c>
      <c r="C3713" s="5" t="s">
        <v>48</v>
      </c>
      <c r="D3713" s="5">
        <v>2253799</v>
      </c>
      <c r="E3713" s="5">
        <v>86499</v>
      </c>
      <c r="F3713" s="5">
        <v>211102587</v>
      </c>
      <c r="G3713" s="5">
        <v>3.8379198854911198</v>
      </c>
      <c r="H3713" s="5">
        <v>2440.520549370513</v>
      </c>
      <c r="I3713" s="5">
        <v>93.665223473788032</v>
      </c>
    </row>
    <row r="3714" spans="1:9" x14ac:dyDescent="0.2">
      <c r="A3714" s="5" t="s">
        <v>114</v>
      </c>
      <c r="B3714" s="5" t="s">
        <v>63</v>
      </c>
      <c r="C3714" s="5" t="s">
        <v>49</v>
      </c>
      <c r="D3714" s="5">
        <v>2261606</v>
      </c>
      <c r="E3714" s="5">
        <v>86221</v>
      </c>
      <c r="F3714" s="5">
        <v>210502352</v>
      </c>
      <c r="G3714" s="5">
        <v>3.8123793445896412</v>
      </c>
      <c r="H3714" s="5">
        <v>2441.4278656011875</v>
      </c>
      <c r="I3714" s="5">
        <v>93.076491661235423</v>
      </c>
    </row>
    <row r="3715" spans="1:9" x14ac:dyDescent="0.2">
      <c r="A3715" s="5" t="s">
        <v>114</v>
      </c>
      <c r="B3715" s="5" t="s">
        <v>63</v>
      </c>
      <c r="C3715" s="5" t="s">
        <v>50</v>
      </c>
      <c r="D3715" s="5">
        <v>2268156</v>
      </c>
      <c r="E3715" s="5">
        <v>85678</v>
      </c>
      <c r="F3715" s="5">
        <v>208495018</v>
      </c>
      <c r="G3715" s="5">
        <v>3.7774297711444893</v>
      </c>
      <c r="H3715" s="5">
        <v>2433.4720464996849</v>
      </c>
      <c r="I3715" s="5">
        <v>91.92269755695817</v>
      </c>
    </row>
    <row r="3716" spans="1:9" x14ac:dyDescent="0.2">
      <c r="A3716" s="5" t="s">
        <v>114</v>
      </c>
      <c r="B3716" s="5" t="s">
        <v>63</v>
      </c>
      <c r="C3716" s="5" t="s">
        <v>51</v>
      </c>
      <c r="D3716" s="5">
        <v>2274778</v>
      </c>
      <c r="E3716" s="5">
        <v>84534</v>
      </c>
      <c r="F3716" s="5">
        <v>206701418</v>
      </c>
      <c r="G3716" s="5">
        <v>3.7161428499836027</v>
      </c>
      <c r="H3716" s="5">
        <v>2445.1867650886034</v>
      </c>
      <c r="I3716" s="5">
        <v>90.866633139585488</v>
      </c>
    </row>
    <row r="3717" spans="1:9" x14ac:dyDescent="0.2">
      <c r="A3717" s="5" t="s">
        <v>114</v>
      </c>
      <c r="B3717" s="5" t="s">
        <v>63</v>
      </c>
      <c r="C3717" s="5" t="s">
        <v>52</v>
      </c>
      <c r="D3717" s="5">
        <v>2283221</v>
      </c>
      <c r="E3717" s="5">
        <v>83636</v>
      </c>
      <c r="F3717" s="5">
        <v>205484202</v>
      </c>
      <c r="G3717" s="5">
        <v>3.6630707233333961</v>
      </c>
      <c r="H3717" s="5">
        <v>2456.8870103783061</v>
      </c>
      <c r="I3717" s="5">
        <v>89.997508782548863</v>
      </c>
    </row>
    <row r="3718" spans="1:9" x14ac:dyDescent="0.2">
      <c r="A3718" s="5" t="s">
        <v>114</v>
      </c>
      <c r="B3718" s="5" t="s">
        <v>63</v>
      </c>
      <c r="C3718" s="5" t="s">
        <v>53</v>
      </c>
      <c r="D3718" s="5">
        <v>2293777</v>
      </c>
      <c r="E3718" s="5">
        <v>83384</v>
      </c>
      <c r="F3718" s="5">
        <v>206264716</v>
      </c>
      <c r="G3718" s="5">
        <v>3.6352269640858723</v>
      </c>
      <c r="H3718" s="5">
        <v>2473.6725990597715</v>
      </c>
      <c r="I3718" s="5">
        <v>89.923613324224632</v>
      </c>
    </row>
    <row r="3719" spans="1:9" x14ac:dyDescent="0.2">
      <c r="A3719" s="5" t="s">
        <v>114</v>
      </c>
      <c r="B3719" s="5" t="s">
        <v>63</v>
      </c>
      <c r="C3719" s="5" t="s">
        <v>54</v>
      </c>
      <c r="D3719" s="5">
        <v>2306131</v>
      </c>
      <c r="E3719" s="5">
        <v>83996</v>
      </c>
      <c r="F3719" s="5">
        <v>208806651</v>
      </c>
      <c r="G3719" s="5">
        <v>3.6422909192929631</v>
      </c>
      <c r="H3719" s="5">
        <v>2485.9118410400497</v>
      </c>
      <c r="I3719" s="5">
        <v>90.54414124783024</v>
      </c>
    </row>
    <row r="3720" spans="1:9" x14ac:dyDescent="0.2">
      <c r="A3720" s="5" t="s">
        <v>114</v>
      </c>
      <c r="B3720" s="5" t="s">
        <v>63</v>
      </c>
      <c r="C3720" s="5" t="s">
        <v>55</v>
      </c>
      <c r="D3720" s="5">
        <v>2320745</v>
      </c>
      <c r="E3720" s="5">
        <v>84164</v>
      </c>
      <c r="F3720" s="5">
        <v>209613079</v>
      </c>
      <c r="G3720" s="5">
        <v>3.6265940463084054</v>
      </c>
      <c r="H3720" s="5">
        <v>2490.5313316857564</v>
      </c>
      <c r="I3720" s="5">
        <v>90.321460996361083</v>
      </c>
    </row>
    <row r="3721" spans="1:9" x14ac:dyDescent="0.2">
      <c r="A3721" s="5" t="s">
        <v>114</v>
      </c>
      <c r="B3721" s="5" t="s">
        <v>63</v>
      </c>
      <c r="C3721" s="5" t="s">
        <v>56</v>
      </c>
      <c r="D3721" s="5">
        <v>2335819</v>
      </c>
      <c r="E3721" s="5">
        <v>84741</v>
      </c>
      <c r="F3721" s="5">
        <v>210840238</v>
      </c>
      <c r="G3721" s="5">
        <v>3.6278924009094884</v>
      </c>
      <c r="H3721" s="5">
        <v>2488.0546370706033</v>
      </c>
      <c r="I3721" s="5">
        <v>90.263945108760566</v>
      </c>
    </row>
    <row r="3722" spans="1:9" x14ac:dyDescent="0.2">
      <c r="A3722" s="5" t="s">
        <v>114</v>
      </c>
      <c r="B3722" s="5" t="s">
        <v>63</v>
      </c>
      <c r="C3722" s="5" t="s">
        <v>57</v>
      </c>
      <c r="D3722" s="5">
        <v>2352277</v>
      </c>
      <c r="E3722" s="5">
        <v>84798</v>
      </c>
      <c r="F3722" s="5">
        <v>211291058</v>
      </c>
      <c r="G3722" s="5">
        <v>3.6049325823446812</v>
      </c>
      <c r="H3722" s="5">
        <v>2491.6986013821079</v>
      </c>
      <c r="I3722" s="5">
        <v>89.824054735050339</v>
      </c>
    </row>
    <row r="3723" spans="1:9" x14ac:dyDescent="0.2">
      <c r="A3723" s="5" t="s">
        <v>114</v>
      </c>
      <c r="B3723" s="5" t="s">
        <v>63</v>
      </c>
      <c r="C3723" s="5" t="s">
        <v>58</v>
      </c>
      <c r="D3723" s="5">
        <v>2371332</v>
      </c>
      <c r="E3723" s="5">
        <v>84220</v>
      </c>
      <c r="F3723" s="5">
        <v>211241526</v>
      </c>
      <c r="G3723" s="5">
        <v>3.5515904141638539</v>
      </c>
      <c r="H3723" s="5">
        <v>2508.2109475184043</v>
      </c>
      <c r="I3723" s="5">
        <v>89.081379579072021</v>
      </c>
    </row>
    <row r="3724" spans="1:9" x14ac:dyDescent="0.2">
      <c r="A3724" s="5" t="s">
        <v>114</v>
      </c>
      <c r="B3724" s="5" t="s">
        <v>63</v>
      </c>
      <c r="C3724" s="5" t="s">
        <v>59</v>
      </c>
      <c r="D3724" s="5">
        <v>2392197</v>
      </c>
      <c r="E3724" s="5">
        <v>85278</v>
      </c>
      <c r="F3724" s="5">
        <v>215515064</v>
      </c>
      <c r="G3724" s="5">
        <v>3.564840186656868</v>
      </c>
      <c r="H3724" s="5">
        <v>2527.2058913201531</v>
      </c>
      <c r="I3724" s="5">
        <v>90.090851213340713</v>
      </c>
    </row>
    <row r="3725" spans="1:9" x14ac:dyDescent="0.2">
      <c r="A3725" s="5" t="s">
        <v>114</v>
      </c>
      <c r="B3725" s="5" t="s">
        <v>63</v>
      </c>
      <c r="C3725" s="5" t="s">
        <v>60</v>
      </c>
      <c r="D3725" s="5">
        <v>2415161</v>
      </c>
      <c r="E3725" s="5">
        <v>86082</v>
      </c>
      <c r="F3725" s="5">
        <v>219665789</v>
      </c>
      <c r="G3725" s="5">
        <v>3.5642344340605034</v>
      </c>
      <c r="H3725" s="5">
        <v>2551.8202295485698</v>
      </c>
      <c r="I3725" s="5">
        <v>90.952855316891913</v>
      </c>
    </row>
    <row r="3726" spans="1:9" x14ac:dyDescent="0.2">
      <c r="A3726" s="5" t="s">
        <v>114</v>
      </c>
      <c r="B3726" s="5" t="s">
        <v>63</v>
      </c>
      <c r="C3726" s="5" t="s">
        <v>61</v>
      </c>
      <c r="D3726" s="5">
        <v>2440017</v>
      </c>
      <c r="E3726" s="5">
        <v>85825</v>
      </c>
      <c r="F3726" s="5">
        <v>220747828</v>
      </c>
      <c r="G3726" s="5">
        <v>3.5173935263565785</v>
      </c>
      <c r="H3726" s="5">
        <v>2572.0690707835711</v>
      </c>
      <c r="I3726" s="5">
        <v>90.46979098916114</v>
      </c>
    </row>
    <row r="3727" spans="1:9" x14ac:dyDescent="0.2">
      <c r="A3727" s="5" t="s">
        <v>114</v>
      </c>
      <c r="B3727" s="5" t="s">
        <v>63</v>
      </c>
      <c r="C3727" s="5" t="s">
        <v>62</v>
      </c>
      <c r="D3727" s="5">
        <v>2462978</v>
      </c>
      <c r="E3727" s="5">
        <v>86896</v>
      </c>
      <c r="F3727" s="5">
        <v>224141082</v>
      </c>
      <c r="G3727" s="5">
        <v>3.5280867307787562</v>
      </c>
      <c r="H3727" s="5">
        <v>2579.417717731541</v>
      </c>
      <c r="I3727" s="5">
        <v>91.004094230642735</v>
      </c>
    </row>
    <row r="3728" spans="1:9" x14ac:dyDescent="0.2">
      <c r="A3728" s="5" t="s">
        <v>114</v>
      </c>
      <c r="B3728" s="5" t="s">
        <v>73</v>
      </c>
      <c r="C3728" s="5" t="s">
        <v>45</v>
      </c>
      <c r="D3728" s="5">
        <v>2123252</v>
      </c>
      <c r="E3728" s="5">
        <v>36721</v>
      </c>
      <c r="F3728" s="5">
        <v>104504291</v>
      </c>
      <c r="G3728" s="5">
        <v>1.7294697002522545</v>
      </c>
      <c r="H3728" s="5">
        <v>2845.8999210261159</v>
      </c>
      <c r="I3728" s="5">
        <v>49.218976833649513</v>
      </c>
    </row>
    <row r="3729" spans="1:9" x14ac:dyDescent="0.2">
      <c r="A3729" s="5" t="s">
        <v>114</v>
      </c>
      <c r="B3729" s="5" t="s">
        <v>73</v>
      </c>
      <c r="C3729" s="5" t="s">
        <v>46</v>
      </c>
      <c r="D3729" s="5">
        <v>2135543</v>
      </c>
      <c r="E3729" s="5">
        <v>36931</v>
      </c>
      <c r="F3729" s="5">
        <v>109901499</v>
      </c>
      <c r="G3729" s="5">
        <v>1.7293493973195575</v>
      </c>
      <c r="H3729" s="5">
        <v>2975.860361214156</v>
      </c>
      <c r="I3729" s="5">
        <v>51.463023221728619</v>
      </c>
    </row>
    <row r="3730" spans="1:9" x14ac:dyDescent="0.2">
      <c r="A3730" s="5" t="s">
        <v>114</v>
      </c>
      <c r="B3730" s="5" t="s">
        <v>73</v>
      </c>
      <c r="C3730" s="5" t="s">
        <v>47</v>
      </c>
      <c r="D3730" s="5">
        <v>2146394</v>
      </c>
      <c r="E3730" s="5">
        <v>38286</v>
      </c>
      <c r="F3730" s="5">
        <v>114970377</v>
      </c>
      <c r="G3730" s="5">
        <v>1.7837358844648279</v>
      </c>
      <c r="H3730" s="5">
        <v>3002.9351982447893</v>
      </c>
      <c r="I3730" s="5">
        <v>53.564432718317327</v>
      </c>
    </row>
    <row r="3731" spans="1:9" x14ac:dyDescent="0.2">
      <c r="A3731" s="5" t="s">
        <v>114</v>
      </c>
      <c r="B3731" s="5" t="s">
        <v>73</v>
      </c>
      <c r="C3731" s="5" t="s">
        <v>48</v>
      </c>
      <c r="D3731" s="5">
        <v>2155707</v>
      </c>
      <c r="E3731" s="5">
        <v>39486</v>
      </c>
      <c r="F3731" s="5">
        <v>116517583</v>
      </c>
      <c r="G3731" s="5">
        <v>1.831696051457828</v>
      </c>
      <c r="H3731" s="5">
        <v>2950.8581016056323</v>
      </c>
      <c r="I3731" s="5">
        <v>54.050751331233791</v>
      </c>
    </row>
    <row r="3732" spans="1:9" x14ac:dyDescent="0.2">
      <c r="A3732" s="5" t="s">
        <v>114</v>
      </c>
      <c r="B3732" s="5" t="s">
        <v>73</v>
      </c>
      <c r="C3732" s="5" t="s">
        <v>49</v>
      </c>
      <c r="D3732" s="5">
        <v>2165208</v>
      </c>
      <c r="E3732" s="5">
        <v>41589</v>
      </c>
      <c r="F3732" s="5">
        <v>117744461</v>
      </c>
      <c r="G3732" s="5">
        <v>1.920785439551304</v>
      </c>
      <c r="H3732" s="5">
        <v>2831.144317006901</v>
      </c>
      <c r="I3732" s="5">
        <v>54.380207813752769</v>
      </c>
    </row>
    <row r="3733" spans="1:9" x14ac:dyDescent="0.2">
      <c r="A3733" s="5" t="s">
        <v>114</v>
      </c>
      <c r="B3733" s="5" t="s">
        <v>73</v>
      </c>
      <c r="C3733" s="5" t="s">
        <v>50</v>
      </c>
      <c r="D3733" s="5">
        <v>2172961</v>
      </c>
      <c r="E3733" s="5">
        <v>42250</v>
      </c>
      <c r="F3733" s="5">
        <v>114465365</v>
      </c>
      <c r="G3733" s="5">
        <v>1.9443515092999828</v>
      </c>
      <c r="H3733" s="5">
        <v>2709.2394082840237</v>
      </c>
      <c r="I3733" s="5">
        <v>52.677137325520341</v>
      </c>
    </row>
    <row r="3734" spans="1:9" x14ac:dyDescent="0.2">
      <c r="A3734" s="5" t="s">
        <v>114</v>
      </c>
      <c r="B3734" s="5" t="s">
        <v>73</v>
      </c>
      <c r="C3734" s="5" t="s">
        <v>51</v>
      </c>
      <c r="D3734" s="5">
        <v>2180841</v>
      </c>
      <c r="E3734" s="5">
        <v>41311</v>
      </c>
      <c r="F3734" s="5">
        <v>110308518</v>
      </c>
      <c r="G3734" s="5">
        <v>1.8942692291643453</v>
      </c>
      <c r="H3734" s="5">
        <v>2670.1972356031083</v>
      </c>
      <c r="I3734" s="5">
        <v>50.580724592026655</v>
      </c>
    </row>
    <row r="3735" spans="1:9" x14ac:dyDescent="0.2">
      <c r="A3735" s="5" t="s">
        <v>114</v>
      </c>
      <c r="B3735" s="5" t="s">
        <v>73</v>
      </c>
      <c r="C3735" s="5" t="s">
        <v>52</v>
      </c>
      <c r="D3735" s="5">
        <v>2190451</v>
      </c>
      <c r="E3735" s="5">
        <v>39930</v>
      </c>
      <c r="F3735" s="5">
        <v>108659847</v>
      </c>
      <c r="G3735" s="5">
        <v>1.8229122678389063</v>
      </c>
      <c r="H3735" s="5">
        <v>2721.2583771600302</v>
      </c>
      <c r="I3735" s="5">
        <v>49.606152796844121</v>
      </c>
    </row>
    <row r="3736" spans="1:9" x14ac:dyDescent="0.2">
      <c r="A3736" s="5" t="s">
        <v>114</v>
      </c>
      <c r="B3736" s="5" t="s">
        <v>73</v>
      </c>
      <c r="C3736" s="5" t="s">
        <v>53</v>
      </c>
      <c r="D3736" s="5">
        <v>2201851</v>
      </c>
      <c r="E3736" s="5">
        <v>38954</v>
      </c>
      <c r="F3736" s="5">
        <v>110526577</v>
      </c>
      <c r="G3736" s="5">
        <v>1.7691478669537584</v>
      </c>
      <c r="H3736" s="5">
        <v>2837.3614262976844</v>
      </c>
      <c r="I3736" s="5">
        <v>50.197119151114222</v>
      </c>
    </row>
    <row r="3737" spans="1:9" x14ac:dyDescent="0.2">
      <c r="A3737" s="5" t="s">
        <v>114</v>
      </c>
      <c r="B3737" s="5" t="s">
        <v>73</v>
      </c>
      <c r="C3737" s="5" t="s">
        <v>54</v>
      </c>
      <c r="D3737" s="5">
        <v>2214909</v>
      </c>
      <c r="E3737" s="5">
        <v>38196</v>
      </c>
      <c r="F3737" s="5">
        <v>110916876</v>
      </c>
      <c r="G3737" s="5">
        <v>1.7244952275691687</v>
      </c>
      <c r="H3737" s="5">
        <v>2903.8872133207665</v>
      </c>
      <c r="I3737" s="5">
        <v>50.077396407707944</v>
      </c>
    </row>
    <row r="3738" spans="1:9" x14ac:dyDescent="0.2">
      <c r="A3738" s="5" t="s">
        <v>114</v>
      </c>
      <c r="B3738" s="5" t="s">
        <v>73</v>
      </c>
      <c r="C3738" s="5" t="s">
        <v>55</v>
      </c>
      <c r="D3738" s="5">
        <v>2230254</v>
      </c>
      <c r="E3738" s="5">
        <v>38011</v>
      </c>
      <c r="F3738" s="5">
        <v>111422472</v>
      </c>
      <c r="G3738" s="5">
        <v>1.7043350219302376</v>
      </c>
      <c r="H3738" s="5">
        <v>2931.3217752755781</v>
      </c>
      <c r="I3738" s="5">
        <v>49.959543621488855</v>
      </c>
    </row>
    <row r="3739" spans="1:9" x14ac:dyDescent="0.2">
      <c r="A3739" s="5" t="s">
        <v>114</v>
      </c>
      <c r="B3739" s="5" t="s">
        <v>73</v>
      </c>
      <c r="C3739" s="5" t="s">
        <v>56</v>
      </c>
      <c r="D3739" s="5">
        <v>2245767</v>
      </c>
      <c r="E3739" s="5">
        <v>38580</v>
      </c>
      <c r="F3739" s="5">
        <v>113981615</v>
      </c>
      <c r="G3739" s="5">
        <v>1.7178986065785098</v>
      </c>
      <c r="H3739" s="5">
        <v>2954.4223691031621</v>
      </c>
      <c r="I3739" s="5">
        <v>50.753980711267019</v>
      </c>
    </row>
    <row r="3740" spans="1:9" x14ac:dyDescent="0.2">
      <c r="A3740" s="5" t="s">
        <v>114</v>
      </c>
      <c r="B3740" s="5" t="s">
        <v>73</v>
      </c>
      <c r="C3740" s="5" t="s">
        <v>57</v>
      </c>
      <c r="D3740" s="5">
        <v>2262384</v>
      </c>
      <c r="E3740" s="5">
        <v>38886</v>
      </c>
      <c r="F3740" s="5">
        <v>113609207</v>
      </c>
      <c r="G3740" s="5">
        <v>1.7188063564805975</v>
      </c>
      <c r="H3740" s="5">
        <v>2921.5966414647946</v>
      </c>
      <c r="I3740" s="5">
        <v>50.216588784220541</v>
      </c>
    </row>
    <row r="3741" spans="1:9" x14ac:dyDescent="0.2">
      <c r="A3741" s="5" t="s">
        <v>114</v>
      </c>
      <c r="B3741" s="5" t="s">
        <v>73</v>
      </c>
      <c r="C3741" s="5" t="s">
        <v>58</v>
      </c>
      <c r="D3741" s="5">
        <v>2281409</v>
      </c>
      <c r="E3741" s="5">
        <v>39773</v>
      </c>
      <c r="F3741" s="5">
        <v>115414882</v>
      </c>
      <c r="G3741" s="5">
        <v>1.7433524633242001</v>
      </c>
      <c r="H3741" s="5">
        <v>2901.8399919543408</v>
      </c>
      <c r="I3741" s="5">
        <v>50.589298981462768</v>
      </c>
    </row>
    <row r="3742" spans="1:9" x14ac:dyDescent="0.2">
      <c r="A3742" s="5" t="s">
        <v>114</v>
      </c>
      <c r="B3742" s="5" t="s">
        <v>73</v>
      </c>
      <c r="C3742" s="5" t="s">
        <v>59</v>
      </c>
      <c r="D3742" s="5">
        <v>2302233</v>
      </c>
      <c r="E3742" s="5">
        <v>39578</v>
      </c>
      <c r="F3742" s="5">
        <v>118412185</v>
      </c>
      <c r="G3742" s="5">
        <v>1.7191135736478453</v>
      </c>
      <c r="H3742" s="5">
        <v>2991.8688412754559</v>
      </c>
      <c r="I3742" s="5">
        <v>51.433623356106878</v>
      </c>
    </row>
    <row r="3743" spans="1:9" x14ac:dyDescent="0.2">
      <c r="A3743" s="5" t="s">
        <v>114</v>
      </c>
      <c r="B3743" s="5" t="s">
        <v>73</v>
      </c>
      <c r="C3743" s="5" t="s">
        <v>60</v>
      </c>
      <c r="D3743" s="5">
        <v>2325140</v>
      </c>
      <c r="E3743" s="5">
        <v>38255</v>
      </c>
      <c r="F3743" s="5">
        <v>119095738</v>
      </c>
      <c r="G3743" s="5">
        <v>1.6452772736265344</v>
      </c>
      <c r="H3743" s="5">
        <v>3113.2071101816755</v>
      </c>
      <c r="I3743" s="5">
        <v>51.22088906474449</v>
      </c>
    </row>
    <row r="3744" spans="1:9" x14ac:dyDescent="0.2">
      <c r="A3744" s="5" t="s">
        <v>114</v>
      </c>
      <c r="B3744" s="5" t="s">
        <v>73</v>
      </c>
      <c r="C3744" s="5" t="s">
        <v>61</v>
      </c>
      <c r="D3744" s="5">
        <v>2350102</v>
      </c>
      <c r="E3744" s="5">
        <v>37561</v>
      </c>
      <c r="F3744" s="5">
        <v>120569220</v>
      </c>
      <c r="G3744" s="5">
        <v>1.5982710537670279</v>
      </c>
      <c r="H3744" s="5">
        <v>3209.9576688586567</v>
      </c>
      <c r="I3744" s="5">
        <v>51.303824259542779</v>
      </c>
    </row>
    <row r="3745" spans="1:9" x14ac:dyDescent="0.2">
      <c r="A3745" s="5" t="s">
        <v>114</v>
      </c>
      <c r="B3745" s="5" t="s">
        <v>73</v>
      </c>
      <c r="C3745" s="5" t="s">
        <v>62</v>
      </c>
      <c r="D3745" s="5">
        <v>2373416</v>
      </c>
      <c r="E3745" s="5">
        <v>36916</v>
      </c>
      <c r="F3745" s="5">
        <v>121914320</v>
      </c>
      <c r="G3745" s="5">
        <v>1.555395261513363</v>
      </c>
      <c r="H3745" s="5">
        <v>3302.4791418355185</v>
      </c>
      <c r="I3745" s="5">
        <v>51.366604084576828</v>
      </c>
    </row>
    <row r="3746" spans="1:9" x14ac:dyDescent="0.2">
      <c r="A3746" s="5" t="s">
        <v>114</v>
      </c>
      <c r="B3746" s="5" t="s">
        <v>64</v>
      </c>
      <c r="C3746" s="5" t="s">
        <v>45</v>
      </c>
      <c r="D3746" s="5">
        <v>1931772</v>
      </c>
      <c r="E3746" s="5">
        <v>236658</v>
      </c>
      <c r="F3746" s="5">
        <v>137140750</v>
      </c>
      <c r="G3746" s="5">
        <v>12.250824631478249</v>
      </c>
      <c r="H3746" s="5">
        <v>579.48917847695827</v>
      </c>
      <c r="I3746" s="5">
        <v>70.992203013606158</v>
      </c>
    </row>
    <row r="3747" spans="1:9" x14ac:dyDescent="0.2">
      <c r="A3747" s="5" t="s">
        <v>114</v>
      </c>
      <c r="B3747" s="5" t="s">
        <v>64</v>
      </c>
      <c r="C3747" s="5" t="s">
        <v>46</v>
      </c>
      <c r="D3747" s="5">
        <v>1939603</v>
      </c>
      <c r="E3747" s="5">
        <v>235378</v>
      </c>
      <c r="F3747" s="5">
        <v>140066814</v>
      </c>
      <c r="G3747" s="5">
        <v>12.13536997004026</v>
      </c>
      <c r="H3747" s="5">
        <v>595.07181639745431</v>
      </c>
      <c r="I3747" s="5">
        <v>72.21416650726978</v>
      </c>
    </row>
    <row r="3748" spans="1:9" x14ac:dyDescent="0.2">
      <c r="A3748" s="5" t="s">
        <v>114</v>
      </c>
      <c r="B3748" s="5" t="s">
        <v>64</v>
      </c>
      <c r="C3748" s="5" t="s">
        <v>47</v>
      </c>
      <c r="D3748" s="5">
        <v>1946211</v>
      </c>
      <c r="E3748" s="5">
        <v>237468</v>
      </c>
      <c r="F3748" s="5">
        <v>142003805</v>
      </c>
      <c r="G3748" s="5">
        <v>12.201554713235101</v>
      </c>
      <c r="H3748" s="5">
        <v>597.99132935806085</v>
      </c>
      <c r="I3748" s="5">
        <v>72.964239232025719</v>
      </c>
    </row>
    <row r="3749" spans="1:9" x14ac:dyDescent="0.2">
      <c r="A3749" s="5" t="s">
        <v>114</v>
      </c>
      <c r="B3749" s="5" t="s">
        <v>64</v>
      </c>
      <c r="C3749" s="5" t="s">
        <v>48</v>
      </c>
      <c r="D3749" s="5">
        <v>1951162</v>
      </c>
      <c r="E3749" s="5">
        <v>241174</v>
      </c>
      <c r="F3749" s="5">
        <v>141420159</v>
      </c>
      <c r="G3749" s="5">
        <v>12.360531826675592</v>
      </c>
      <c r="H3749" s="5">
        <v>586.38227586721621</v>
      </c>
      <c r="I3749" s="5">
        <v>72.479967834551928</v>
      </c>
    </row>
    <row r="3750" spans="1:9" x14ac:dyDescent="0.2">
      <c r="A3750" s="5" t="s">
        <v>114</v>
      </c>
      <c r="B3750" s="5" t="s">
        <v>64</v>
      </c>
      <c r="C3750" s="5" t="s">
        <v>49</v>
      </c>
      <c r="D3750" s="5">
        <v>1955950</v>
      </c>
      <c r="E3750" s="5">
        <v>242163</v>
      </c>
      <c r="F3750" s="5">
        <v>137900245</v>
      </c>
      <c r="G3750" s="5">
        <v>12.38083795598047</v>
      </c>
      <c r="H3750" s="5">
        <v>569.45216651594171</v>
      </c>
      <c r="I3750" s="5">
        <v>70.50294997315882</v>
      </c>
    </row>
    <row r="3751" spans="1:9" x14ac:dyDescent="0.2">
      <c r="A3751" s="5" t="s">
        <v>114</v>
      </c>
      <c r="B3751" s="5" t="s">
        <v>64</v>
      </c>
      <c r="C3751" s="5" t="s">
        <v>50</v>
      </c>
      <c r="D3751" s="5">
        <v>1959373</v>
      </c>
      <c r="E3751" s="5">
        <v>236927</v>
      </c>
      <c r="F3751" s="5">
        <v>132741251</v>
      </c>
      <c r="G3751" s="5">
        <v>12.091980444764728</v>
      </c>
      <c r="H3751" s="5">
        <v>560.26223689153198</v>
      </c>
      <c r="I3751" s="5">
        <v>67.746800124325489</v>
      </c>
    </row>
    <row r="3752" spans="1:9" x14ac:dyDescent="0.2">
      <c r="A3752" s="5" t="s">
        <v>114</v>
      </c>
      <c r="B3752" s="5" t="s">
        <v>64</v>
      </c>
      <c r="C3752" s="5" t="s">
        <v>51</v>
      </c>
      <c r="D3752" s="5">
        <v>1962788</v>
      </c>
      <c r="E3752" s="5">
        <v>225176</v>
      </c>
      <c r="F3752" s="5">
        <v>127363838</v>
      </c>
      <c r="G3752" s="5">
        <v>11.472252734375797</v>
      </c>
      <c r="H3752" s="5">
        <v>565.61906242228304</v>
      </c>
      <c r="I3752" s="5">
        <v>64.889248354891109</v>
      </c>
    </row>
    <row r="3753" spans="1:9" x14ac:dyDescent="0.2">
      <c r="A3753" s="5" t="s">
        <v>114</v>
      </c>
      <c r="B3753" s="5" t="s">
        <v>64</v>
      </c>
      <c r="C3753" s="5" t="s">
        <v>52</v>
      </c>
      <c r="D3753" s="5">
        <v>1966787</v>
      </c>
      <c r="E3753" s="5">
        <v>217793</v>
      </c>
      <c r="F3753" s="5">
        <v>122270597</v>
      </c>
      <c r="G3753" s="5">
        <v>11.073542788314139</v>
      </c>
      <c r="H3753" s="5">
        <v>561.40737764758285</v>
      </c>
      <c r="I3753" s="5">
        <v>62.167686180557425</v>
      </c>
    </row>
    <row r="3754" spans="1:9" x14ac:dyDescent="0.2">
      <c r="A3754" s="5" t="s">
        <v>114</v>
      </c>
      <c r="B3754" s="5" t="s">
        <v>64</v>
      </c>
      <c r="C3754" s="5" t="s">
        <v>53</v>
      </c>
      <c r="D3754" s="5">
        <v>1971898</v>
      </c>
      <c r="E3754" s="5">
        <v>209048</v>
      </c>
      <c r="F3754" s="5">
        <v>119132917</v>
      </c>
      <c r="G3754" s="5">
        <v>10.601359705218018</v>
      </c>
      <c r="H3754" s="5">
        <v>569.88307470054724</v>
      </c>
      <c r="I3754" s="5">
        <v>60.415354648161312</v>
      </c>
    </row>
    <row r="3755" spans="1:9" x14ac:dyDescent="0.2">
      <c r="A3755" s="5" t="s">
        <v>114</v>
      </c>
      <c r="B3755" s="5" t="s">
        <v>64</v>
      </c>
      <c r="C3755" s="5" t="s">
        <v>54</v>
      </c>
      <c r="D3755" s="5">
        <v>1978243</v>
      </c>
      <c r="E3755" s="5">
        <v>206233</v>
      </c>
      <c r="F3755" s="5">
        <v>116709303</v>
      </c>
      <c r="G3755" s="5">
        <v>10.425059004379138</v>
      </c>
      <c r="H3755" s="5">
        <v>565.9099319701503</v>
      </c>
      <c r="I3755" s="5">
        <v>58.996444319530006</v>
      </c>
    </row>
    <row r="3756" spans="1:9" x14ac:dyDescent="0.2">
      <c r="A3756" s="5" t="s">
        <v>114</v>
      </c>
      <c r="B3756" s="5" t="s">
        <v>64</v>
      </c>
      <c r="C3756" s="5" t="s">
        <v>55</v>
      </c>
      <c r="D3756" s="5">
        <v>1985475</v>
      </c>
      <c r="E3756" s="5">
        <v>208385</v>
      </c>
      <c r="F3756" s="5">
        <v>115675348</v>
      </c>
      <c r="G3756" s="5">
        <v>10.495473375388761</v>
      </c>
      <c r="H3756" s="5">
        <v>555.10400460685753</v>
      </c>
      <c r="I3756" s="5">
        <v>58.260793009229531</v>
      </c>
    </row>
    <row r="3757" spans="1:9" x14ac:dyDescent="0.2">
      <c r="A3757" s="5" t="s">
        <v>114</v>
      </c>
      <c r="B3757" s="5" t="s">
        <v>64</v>
      </c>
      <c r="C3757" s="5" t="s">
        <v>56</v>
      </c>
      <c r="D3757" s="5">
        <v>1993408</v>
      </c>
      <c r="E3757" s="5">
        <v>201960</v>
      </c>
      <c r="F3757" s="5">
        <v>113340482</v>
      </c>
      <c r="G3757" s="5">
        <v>10.131393071563874</v>
      </c>
      <c r="H3757" s="5">
        <v>561.20262428203603</v>
      </c>
      <c r="I3757" s="5">
        <v>56.857643793944845</v>
      </c>
    </row>
    <row r="3758" spans="1:9" x14ac:dyDescent="0.2">
      <c r="A3758" s="5" t="s">
        <v>114</v>
      </c>
      <c r="B3758" s="5" t="s">
        <v>64</v>
      </c>
      <c r="C3758" s="5" t="s">
        <v>57</v>
      </c>
      <c r="D3758" s="5">
        <v>2002662</v>
      </c>
      <c r="E3758" s="5">
        <v>200880</v>
      </c>
      <c r="F3758" s="5">
        <v>111147810</v>
      </c>
      <c r="G3758" s="5">
        <v>10.030649205906938</v>
      </c>
      <c r="H3758" s="5">
        <v>553.30451015531662</v>
      </c>
      <c r="I3758" s="5">
        <v>55.500034454141534</v>
      </c>
    </row>
    <row r="3759" spans="1:9" x14ac:dyDescent="0.2">
      <c r="A3759" s="5" t="s">
        <v>114</v>
      </c>
      <c r="B3759" s="5" t="s">
        <v>64</v>
      </c>
      <c r="C3759" s="5" t="s">
        <v>58</v>
      </c>
      <c r="D3759" s="5">
        <v>2014201</v>
      </c>
      <c r="E3759" s="5">
        <v>198154</v>
      </c>
      <c r="F3759" s="5">
        <v>109342002</v>
      </c>
      <c r="G3759" s="5">
        <v>9.8378463718367737</v>
      </c>
      <c r="H3759" s="5">
        <v>551.80315310314199</v>
      </c>
      <c r="I3759" s="5">
        <v>54.28554647723837</v>
      </c>
    </row>
    <row r="3760" spans="1:9" x14ac:dyDescent="0.2">
      <c r="A3760" s="5" t="s">
        <v>114</v>
      </c>
      <c r="B3760" s="5" t="s">
        <v>64</v>
      </c>
      <c r="C3760" s="5" t="s">
        <v>59</v>
      </c>
      <c r="D3760" s="5">
        <v>2027812</v>
      </c>
      <c r="E3760" s="5">
        <v>191143</v>
      </c>
      <c r="F3760" s="5">
        <v>107165615</v>
      </c>
      <c r="G3760" s="5">
        <v>9.4260710558967009</v>
      </c>
      <c r="H3760" s="5">
        <v>560.65675959883436</v>
      </c>
      <c r="I3760" s="5">
        <v>52.847904539474072</v>
      </c>
    </row>
    <row r="3761" spans="1:9" x14ac:dyDescent="0.2">
      <c r="A3761" s="5" t="s">
        <v>114</v>
      </c>
      <c r="B3761" s="5" t="s">
        <v>64</v>
      </c>
      <c r="C3761" s="5" t="s">
        <v>60</v>
      </c>
      <c r="D3761" s="5">
        <v>2044057</v>
      </c>
      <c r="E3761" s="5">
        <v>190703</v>
      </c>
      <c r="F3761" s="5">
        <v>107969219</v>
      </c>
      <c r="G3761" s="5">
        <v>9.3296321971451874</v>
      </c>
      <c r="H3761" s="5">
        <v>566.16423968159916</v>
      </c>
      <c r="I3761" s="5">
        <v>52.821041194056718</v>
      </c>
    </row>
    <row r="3762" spans="1:9" x14ac:dyDescent="0.2">
      <c r="A3762" s="5" t="s">
        <v>114</v>
      </c>
      <c r="B3762" s="5" t="s">
        <v>64</v>
      </c>
      <c r="C3762" s="5" t="s">
        <v>61</v>
      </c>
      <c r="D3762" s="5">
        <v>2062721</v>
      </c>
      <c r="E3762" s="5">
        <v>187214</v>
      </c>
      <c r="F3762" s="5">
        <v>106957282</v>
      </c>
      <c r="G3762" s="5">
        <v>9.0760699095999904</v>
      </c>
      <c r="H3762" s="5">
        <v>571.31027594090187</v>
      </c>
      <c r="I3762" s="5">
        <v>51.852520045124862</v>
      </c>
    </row>
    <row r="3763" spans="1:9" x14ac:dyDescent="0.2">
      <c r="A3763" s="5" t="s">
        <v>114</v>
      </c>
      <c r="B3763" s="5" t="s">
        <v>64</v>
      </c>
      <c r="C3763" s="5" t="s">
        <v>62</v>
      </c>
      <c r="D3763" s="5">
        <v>2080994</v>
      </c>
      <c r="E3763" s="5">
        <v>181465</v>
      </c>
      <c r="F3763" s="5">
        <v>108277947</v>
      </c>
      <c r="G3763" s="5">
        <v>8.7201116389571514</v>
      </c>
      <c r="H3763" s="5">
        <v>596.68777450197013</v>
      </c>
      <c r="I3763" s="5">
        <v>52.0318400725807</v>
      </c>
    </row>
    <row r="3764" spans="1:9" x14ac:dyDescent="0.2">
      <c r="A3764" s="5" t="s">
        <v>114</v>
      </c>
      <c r="B3764" s="5" t="s">
        <v>65</v>
      </c>
      <c r="C3764" s="5" t="s">
        <v>45</v>
      </c>
      <c r="D3764" s="5">
        <v>1753526</v>
      </c>
      <c r="E3764" s="5">
        <v>97527</v>
      </c>
      <c r="F3764" s="5">
        <v>257370644</v>
      </c>
      <c r="G3764" s="5">
        <v>5.5617652660981358</v>
      </c>
      <c r="H3764" s="5">
        <v>2638.9681216483641</v>
      </c>
      <c r="I3764" s="5">
        <v>146.77321237324111</v>
      </c>
    </row>
    <row r="3765" spans="1:9" x14ac:dyDescent="0.2">
      <c r="A3765" s="5" t="s">
        <v>114</v>
      </c>
      <c r="B3765" s="5" t="s">
        <v>65</v>
      </c>
      <c r="C3765" s="5" t="s">
        <v>46</v>
      </c>
      <c r="D3765" s="5">
        <v>1760576</v>
      </c>
      <c r="E3765" s="5">
        <v>99701</v>
      </c>
      <c r="F3765" s="5">
        <v>271106748</v>
      </c>
      <c r="G3765" s="5">
        <v>5.6629762077865422</v>
      </c>
      <c r="H3765" s="5">
        <v>2719.1978816661817</v>
      </c>
      <c r="I3765" s="5">
        <v>153.98752908139156</v>
      </c>
    </row>
    <row r="3766" spans="1:9" x14ac:dyDescent="0.2">
      <c r="A3766" s="5" t="s">
        <v>114</v>
      </c>
      <c r="B3766" s="5" t="s">
        <v>65</v>
      </c>
      <c r="C3766" s="5" t="s">
        <v>47</v>
      </c>
      <c r="D3766" s="5">
        <v>1766454</v>
      </c>
      <c r="E3766" s="5">
        <v>101029</v>
      </c>
      <c r="F3766" s="5">
        <v>275237122</v>
      </c>
      <c r="G3766" s="5">
        <v>5.7193111170740929</v>
      </c>
      <c r="H3766" s="5">
        <v>2724.3377842005762</v>
      </c>
      <c r="I3766" s="5">
        <v>155.81335375843355</v>
      </c>
    </row>
    <row r="3767" spans="1:9" x14ac:dyDescent="0.2">
      <c r="A3767" s="5" t="s">
        <v>114</v>
      </c>
      <c r="B3767" s="5" t="s">
        <v>65</v>
      </c>
      <c r="C3767" s="5" t="s">
        <v>48</v>
      </c>
      <c r="D3767" s="5">
        <v>1770838</v>
      </c>
      <c r="E3767" s="5">
        <v>101613</v>
      </c>
      <c r="F3767" s="5">
        <v>277946477</v>
      </c>
      <c r="G3767" s="5">
        <v>5.7381307606907015</v>
      </c>
      <c r="H3767" s="5">
        <v>2735.3436764980861</v>
      </c>
      <c r="I3767" s="5">
        <v>156.95759691174462</v>
      </c>
    </row>
    <row r="3768" spans="1:9" x14ac:dyDescent="0.2">
      <c r="A3768" s="5" t="s">
        <v>114</v>
      </c>
      <c r="B3768" s="5" t="s">
        <v>65</v>
      </c>
      <c r="C3768" s="5" t="s">
        <v>49</v>
      </c>
      <c r="D3768" s="5">
        <v>1775111</v>
      </c>
      <c r="E3768" s="5">
        <v>99989</v>
      </c>
      <c r="F3768" s="5">
        <v>272685815</v>
      </c>
      <c r="G3768" s="5">
        <v>5.6328308483244145</v>
      </c>
      <c r="H3768" s="5">
        <v>2727.1581373951135</v>
      </c>
      <c r="I3768" s="5">
        <v>153.61620484578148</v>
      </c>
    </row>
    <row r="3769" spans="1:9" x14ac:dyDescent="0.2">
      <c r="A3769" s="5" t="s">
        <v>114</v>
      </c>
      <c r="B3769" s="5" t="s">
        <v>65</v>
      </c>
      <c r="C3769" s="5" t="s">
        <v>50</v>
      </c>
      <c r="D3769" s="5">
        <v>1777934</v>
      </c>
      <c r="E3769" s="5">
        <v>95965</v>
      </c>
      <c r="F3769" s="5">
        <v>256571068</v>
      </c>
      <c r="G3769" s="5">
        <v>5.3975569396839251</v>
      </c>
      <c r="H3769" s="5">
        <v>2673.5900380347002</v>
      </c>
      <c r="I3769" s="5">
        <v>144.30854463664005</v>
      </c>
    </row>
    <row r="3770" spans="1:9" x14ac:dyDescent="0.2">
      <c r="A3770" s="5" t="s">
        <v>114</v>
      </c>
      <c r="B3770" s="5" t="s">
        <v>65</v>
      </c>
      <c r="C3770" s="5" t="s">
        <v>51</v>
      </c>
      <c r="D3770" s="5">
        <v>1780135</v>
      </c>
      <c r="E3770" s="5">
        <v>92022</v>
      </c>
      <c r="F3770" s="5">
        <v>245443106</v>
      </c>
      <c r="G3770" s="5">
        <v>5.1693832209354911</v>
      </c>
      <c r="H3770" s="5">
        <v>2667.2220338614679</v>
      </c>
      <c r="I3770" s="5">
        <v>137.87892828352906</v>
      </c>
    </row>
    <row r="3771" spans="1:9" x14ac:dyDescent="0.2">
      <c r="A3771" s="5" t="s">
        <v>114</v>
      </c>
      <c r="B3771" s="5" t="s">
        <v>65</v>
      </c>
      <c r="C3771" s="5" t="s">
        <v>52</v>
      </c>
      <c r="D3771" s="5">
        <v>1782862</v>
      </c>
      <c r="E3771" s="5">
        <v>89965</v>
      </c>
      <c r="F3771" s="5">
        <v>240251893</v>
      </c>
      <c r="G3771" s="5">
        <v>5.0461000346633673</v>
      </c>
      <c r="H3771" s="5">
        <v>2670.5040071138778</v>
      </c>
      <c r="I3771" s="5">
        <v>134.75630362865999</v>
      </c>
    </row>
    <row r="3772" spans="1:9" x14ac:dyDescent="0.2">
      <c r="A3772" s="5" t="s">
        <v>114</v>
      </c>
      <c r="B3772" s="5" t="s">
        <v>65</v>
      </c>
      <c r="C3772" s="5" t="s">
        <v>53</v>
      </c>
      <c r="D3772" s="5">
        <v>1786451</v>
      </c>
      <c r="E3772" s="5">
        <v>88944</v>
      </c>
      <c r="F3772" s="5">
        <v>242396155</v>
      </c>
      <c r="G3772" s="5">
        <v>4.9788099421702583</v>
      </c>
      <c r="H3772" s="5">
        <v>2725.2670781615398</v>
      </c>
      <c r="I3772" s="5">
        <v>135.68586823819965</v>
      </c>
    </row>
    <row r="3773" spans="1:9" x14ac:dyDescent="0.2">
      <c r="A3773" s="5" t="s">
        <v>114</v>
      </c>
      <c r="B3773" s="5" t="s">
        <v>65</v>
      </c>
      <c r="C3773" s="5" t="s">
        <v>54</v>
      </c>
      <c r="D3773" s="5">
        <v>1791027</v>
      </c>
      <c r="E3773" s="5">
        <v>90523</v>
      </c>
      <c r="F3773" s="5">
        <v>249882429</v>
      </c>
      <c r="G3773" s="5">
        <v>5.054250996774476</v>
      </c>
      <c r="H3773" s="5">
        <v>2760.4302663411509</v>
      </c>
      <c r="I3773" s="5">
        <v>139.51907425181196</v>
      </c>
    </row>
    <row r="3774" spans="1:9" x14ac:dyDescent="0.2">
      <c r="A3774" s="5" t="s">
        <v>114</v>
      </c>
      <c r="B3774" s="5" t="s">
        <v>65</v>
      </c>
      <c r="C3774" s="5" t="s">
        <v>55</v>
      </c>
      <c r="D3774" s="5">
        <v>1796932</v>
      </c>
      <c r="E3774" s="5">
        <v>90720</v>
      </c>
      <c r="F3774" s="5">
        <v>253641575</v>
      </c>
      <c r="G3774" s="5">
        <v>5.0486050668584008</v>
      </c>
      <c r="H3774" s="5">
        <v>2795.8727402998238</v>
      </c>
      <c r="I3774" s="5">
        <v>141.15257282968972</v>
      </c>
    </row>
    <row r="3775" spans="1:9" x14ac:dyDescent="0.2">
      <c r="A3775" s="5" t="s">
        <v>114</v>
      </c>
      <c r="B3775" s="5" t="s">
        <v>65</v>
      </c>
      <c r="C3775" s="5" t="s">
        <v>56</v>
      </c>
      <c r="D3775" s="5">
        <v>1802993</v>
      </c>
      <c r="E3775" s="5">
        <v>90693</v>
      </c>
      <c r="F3775" s="5">
        <v>256876747</v>
      </c>
      <c r="G3775" s="5">
        <v>5.0301360016372776</v>
      </c>
      <c r="H3775" s="5">
        <v>2832.3767765979733</v>
      </c>
      <c r="I3775" s="5">
        <v>142.47240394166809</v>
      </c>
    </row>
    <row r="3776" spans="1:9" x14ac:dyDescent="0.2">
      <c r="A3776" s="5" t="s">
        <v>114</v>
      </c>
      <c r="B3776" s="5" t="s">
        <v>65</v>
      </c>
      <c r="C3776" s="5" t="s">
        <v>57</v>
      </c>
      <c r="D3776" s="5">
        <v>1810235</v>
      </c>
      <c r="E3776" s="5">
        <v>90599</v>
      </c>
      <c r="F3776" s="5">
        <v>255235744</v>
      </c>
      <c r="G3776" s="5">
        <v>5.0048198162117075</v>
      </c>
      <c r="H3776" s="5">
        <v>2817.2026622810408</v>
      </c>
      <c r="I3776" s="5">
        <v>140.9959171046853</v>
      </c>
    </row>
    <row r="3777" spans="1:9" x14ac:dyDescent="0.2">
      <c r="A3777" s="5" t="s">
        <v>114</v>
      </c>
      <c r="B3777" s="5" t="s">
        <v>65</v>
      </c>
      <c r="C3777" s="5" t="s">
        <v>58</v>
      </c>
      <c r="D3777" s="5">
        <v>1819694</v>
      </c>
      <c r="E3777" s="5">
        <v>89075</v>
      </c>
      <c r="F3777" s="5">
        <v>252043374</v>
      </c>
      <c r="G3777" s="5">
        <v>4.8950537837680397</v>
      </c>
      <c r="H3777" s="5">
        <v>2829.5635587987649</v>
      </c>
      <c r="I3777" s="5">
        <v>138.50865804910057</v>
      </c>
    </row>
    <row r="3778" spans="1:9" x14ac:dyDescent="0.2">
      <c r="A3778" s="5" t="s">
        <v>114</v>
      </c>
      <c r="B3778" s="5" t="s">
        <v>65</v>
      </c>
      <c r="C3778" s="5" t="s">
        <v>59</v>
      </c>
      <c r="D3778" s="5">
        <v>1831126</v>
      </c>
      <c r="E3778" s="5">
        <v>90200</v>
      </c>
      <c r="F3778" s="5">
        <v>258559673</v>
      </c>
      <c r="G3778" s="5">
        <v>4.9259308207081327</v>
      </c>
      <c r="H3778" s="5">
        <v>2866.5152217294899</v>
      </c>
      <c r="I3778" s="5">
        <v>141.20255678746301</v>
      </c>
    </row>
    <row r="3779" spans="1:9" x14ac:dyDescent="0.2">
      <c r="A3779" s="5" t="s">
        <v>114</v>
      </c>
      <c r="B3779" s="5" t="s">
        <v>65</v>
      </c>
      <c r="C3779" s="5" t="s">
        <v>60</v>
      </c>
      <c r="D3779" s="5">
        <v>1845319</v>
      </c>
      <c r="E3779" s="5">
        <v>91228</v>
      </c>
      <c r="F3779" s="5">
        <v>262501074</v>
      </c>
      <c r="G3779" s="5">
        <v>4.9437522726422909</v>
      </c>
      <c r="H3779" s="5">
        <v>2877.4178322444864</v>
      </c>
      <c r="I3779" s="5">
        <v>142.25240947500134</v>
      </c>
    </row>
    <row r="3780" spans="1:9" x14ac:dyDescent="0.2">
      <c r="A3780" s="5" t="s">
        <v>114</v>
      </c>
      <c r="B3780" s="5" t="s">
        <v>65</v>
      </c>
      <c r="C3780" s="5" t="s">
        <v>61</v>
      </c>
      <c r="D3780" s="5">
        <v>1861812</v>
      </c>
      <c r="E3780" s="5">
        <v>91669</v>
      </c>
      <c r="F3780" s="5">
        <v>267815754</v>
      </c>
      <c r="G3780" s="5">
        <v>4.923644277725141</v>
      </c>
      <c r="H3780" s="5">
        <v>2921.5520404935146</v>
      </c>
      <c r="I3780" s="5">
        <v>143.84682986252102</v>
      </c>
    </row>
    <row r="3781" spans="1:9" x14ac:dyDescent="0.2">
      <c r="A3781" s="5" t="s">
        <v>114</v>
      </c>
      <c r="B3781" s="5" t="s">
        <v>65</v>
      </c>
      <c r="C3781" s="5" t="s">
        <v>62</v>
      </c>
      <c r="D3781" s="5">
        <v>1877928</v>
      </c>
      <c r="E3781" s="5">
        <v>93151</v>
      </c>
      <c r="F3781" s="5">
        <v>275704279</v>
      </c>
      <c r="G3781" s="5">
        <v>4.96030731742644</v>
      </c>
      <c r="H3781" s="5">
        <v>2959.7565136176745</v>
      </c>
      <c r="I3781" s="5">
        <v>146.81301892298319</v>
      </c>
    </row>
    <row r="3782" spans="1:9" x14ac:dyDescent="0.2">
      <c r="A3782" s="5" t="s">
        <v>115</v>
      </c>
      <c r="B3782" s="5" t="s">
        <v>44</v>
      </c>
      <c r="C3782" s="5" t="s">
        <v>45</v>
      </c>
      <c r="D3782" s="5">
        <v>1841340</v>
      </c>
      <c r="E3782" s="5">
        <v>13968</v>
      </c>
      <c r="F3782" s="5">
        <v>175736300</v>
      </c>
      <c r="G3782" s="5">
        <v>0.75857799211443844</v>
      </c>
      <c r="H3782" s="5">
        <v>12581.350229095075</v>
      </c>
      <c r="I3782" s="5">
        <v>95.439353948754714</v>
      </c>
    </row>
    <row r="3783" spans="1:9" x14ac:dyDescent="0.2">
      <c r="A3783" s="5" t="s">
        <v>115</v>
      </c>
      <c r="B3783" s="5" t="s">
        <v>44</v>
      </c>
      <c r="C3783" s="5" t="s">
        <v>46</v>
      </c>
      <c r="D3783" s="5">
        <v>1856928</v>
      </c>
      <c r="E3783" s="5">
        <v>13694</v>
      </c>
      <c r="F3783" s="5">
        <v>176494723</v>
      </c>
      <c r="G3783" s="5">
        <v>0.73745454858777504</v>
      </c>
      <c r="H3783" s="5">
        <v>12888.471082225793</v>
      </c>
      <c r="I3783" s="5">
        <v>95.046616239294153</v>
      </c>
    </row>
    <row r="3784" spans="1:9" x14ac:dyDescent="0.2">
      <c r="A3784" s="5" t="s">
        <v>115</v>
      </c>
      <c r="B3784" s="5" t="s">
        <v>44</v>
      </c>
      <c r="C3784" s="5" t="s">
        <v>47</v>
      </c>
      <c r="D3784" s="5">
        <v>1876631</v>
      </c>
      <c r="E3784" s="5">
        <v>13702</v>
      </c>
      <c r="F3784" s="5">
        <v>180735822</v>
      </c>
      <c r="G3784" s="5">
        <v>0.73013821044201022</v>
      </c>
      <c r="H3784" s="5">
        <v>13190.470150343015</v>
      </c>
      <c r="I3784" s="5">
        <v>96.308662704602028</v>
      </c>
    </row>
    <row r="3785" spans="1:9" x14ac:dyDescent="0.2">
      <c r="A3785" s="5" t="s">
        <v>115</v>
      </c>
      <c r="B3785" s="5" t="s">
        <v>44</v>
      </c>
      <c r="C3785" s="5" t="s">
        <v>48</v>
      </c>
      <c r="D3785" s="5">
        <v>1897564</v>
      </c>
      <c r="E3785" s="5">
        <v>13730</v>
      </c>
      <c r="F3785" s="5">
        <v>188068949</v>
      </c>
      <c r="G3785" s="5">
        <v>0.72355925808035992</v>
      </c>
      <c r="H3785" s="5">
        <v>13697.665622723962</v>
      </c>
      <c r="I3785" s="5">
        <v>99.110727754110002</v>
      </c>
    </row>
    <row r="3786" spans="1:9" x14ac:dyDescent="0.2">
      <c r="A3786" s="5" t="s">
        <v>115</v>
      </c>
      <c r="B3786" s="5" t="s">
        <v>44</v>
      </c>
      <c r="C3786" s="5" t="s">
        <v>49</v>
      </c>
      <c r="D3786" s="5">
        <v>1915927</v>
      </c>
      <c r="E3786" s="5">
        <v>13670</v>
      </c>
      <c r="F3786" s="5">
        <v>191722115</v>
      </c>
      <c r="G3786" s="5">
        <v>0.71349273745815989</v>
      </c>
      <c r="H3786" s="5">
        <v>14025.026700804681</v>
      </c>
      <c r="I3786" s="5">
        <v>100.06754693680918</v>
      </c>
    </row>
    <row r="3787" spans="1:9" x14ac:dyDescent="0.2">
      <c r="A3787" s="5" t="s">
        <v>115</v>
      </c>
      <c r="B3787" s="5" t="s">
        <v>44</v>
      </c>
      <c r="C3787" s="5" t="s">
        <v>50</v>
      </c>
      <c r="D3787" s="5">
        <v>1930945</v>
      </c>
      <c r="E3787" s="5">
        <v>13883</v>
      </c>
      <c r="F3787" s="5">
        <v>192046342</v>
      </c>
      <c r="G3787" s="5">
        <v>0.71897438818816695</v>
      </c>
      <c r="H3787" s="5">
        <v>13833.20190160628</v>
      </c>
      <c r="I3787" s="5">
        <v>99.457178738907629</v>
      </c>
    </row>
    <row r="3788" spans="1:9" x14ac:dyDescent="0.2">
      <c r="A3788" s="5" t="s">
        <v>115</v>
      </c>
      <c r="B3788" s="5" t="s">
        <v>44</v>
      </c>
      <c r="C3788" s="5" t="s">
        <v>51</v>
      </c>
      <c r="D3788" s="5">
        <v>1943967</v>
      </c>
      <c r="E3788" s="5">
        <v>13972</v>
      </c>
      <c r="F3788" s="5">
        <v>193493021</v>
      </c>
      <c r="G3788" s="5">
        <v>0.71873648060898154</v>
      </c>
      <c r="H3788" s="5">
        <v>13848.627326080732</v>
      </c>
      <c r="I3788" s="5">
        <v>99.535136656126369</v>
      </c>
    </row>
    <row r="3789" spans="1:9" x14ac:dyDescent="0.2">
      <c r="A3789" s="5" t="s">
        <v>115</v>
      </c>
      <c r="B3789" s="5" t="s">
        <v>44</v>
      </c>
      <c r="C3789" s="5" t="s">
        <v>52</v>
      </c>
      <c r="D3789" s="5">
        <v>1956272</v>
      </c>
      <c r="E3789" s="5">
        <v>14083</v>
      </c>
      <c r="F3789" s="5">
        <v>193338332</v>
      </c>
      <c r="G3789" s="5">
        <v>0.71988966769447194</v>
      </c>
      <c r="H3789" s="5">
        <v>13728.490520485691</v>
      </c>
      <c r="I3789" s="5">
        <v>98.829984787391524</v>
      </c>
    </row>
    <row r="3790" spans="1:9" x14ac:dyDescent="0.2">
      <c r="A3790" s="5" t="s">
        <v>115</v>
      </c>
      <c r="B3790" s="5" t="s">
        <v>44</v>
      </c>
      <c r="C3790" s="5" t="s">
        <v>53</v>
      </c>
      <c r="D3790" s="5">
        <v>1967823</v>
      </c>
      <c r="E3790" s="5">
        <v>14147</v>
      </c>
      <c r="F3790" s="5">
        <v>194096809</v>
      </c>
      <c r="G3790" s="5">
        <v>0.71891628464551949</v>
      </c>
      <c r="H3790" s="5">
        <v>13719.997808722697</v>
      </c>
      <c r="I3790" s="5">
        <v>98.635298499915891</v>
      </c>
    </row>
    <row r="3791" spans="1:9" x14ac:dyDescent="0.2">
      <c r="A3791" s="5" t="s">
        <v>115</v>
      </c>
      <c r="B3791" s="5" t="s">
        <v>44</v>
      </c>
      <c r="C3791" s="5" t="s">
        <v>54</v>
      </c>
      <c r="D3791" s="5">
        <v>1980110</v>
      </c>
      <c r="E3791" s="5">
        <v>14273</v>
      </c>
      <c r="F3791" s="5">
        <v>197766669</v>
      </c>
      <c r="G3791" s="5">
        <v>0.72081854038412008</v>
      </c>
      <c r="H3791" s="5">
        <v>13855.998668815246</v>
      </c>
      <c r="I3791" s="5">
        <v>99.876607360197156</v>
      </c>
    </row>
    <row r="3792" spans="1:9" x14ac:dyDescent="0.2">
      <c r="A3792" s="5" t="s">
        <v>115</v>
      </c>
      <c r="B3792" s="5" t="s">
        <v>44</v>
      </c>
      <c r="C3792" s="5" t="s">
        <v>55</v>
      </c>
      <c r="D3792" s="5">
        <v>1993557</v>
      </c>
      <c r="E3792" s="5">
        <v>14253</v>
      </c>
      <c r="F3792" s="5">
        <v>197597303</v>
      </c>
      <c r="G3792" s="5">
        <v>0.71495322180404175</v>
      </c>
      <c r="H3792" s="5">
        <v>13863.558759559392</v>
      </c>
      <c r="I3792" s="5">
        <v>99.117960008166307</v>
      </c>
    </row>
    <row r="3793" spans="1:9" x14ac:dyDescent="0.2">
      <c r="A3793" s="5" t="s">
        <v>115</v>
      </c>
      <c r="B3793" s="5" t="s">
        <v>44</v>
      </c>
      <c r="C3793" s="5" t="s">
        <v>56</v>
      </c>
      <c r="D3793" s="5">
        <v>2005744</v>
      </c>
      <c r="E3793" s="5">
        <v>14137</v>
      </c>
      <c r="F3793" s="5">
        <v>196204073</v>
      </c>
      <c r="G3793" s="5">
        <v>0.70482574047336055</v>
      </c>
      <c r="H3793" s="5">
        <v>13878.763033175355</v>
      </c>
      <c r="I3793" s="5">
        <v>97.821094317121222</v>
      </c>
    </row>
    <row r="3794" spans="1:9" x14ac:dyDescent="0.2">
      <c r="A3794" s="5" t="s">
        <v>115</v>
      </c>
      <c r="B3794" s="5" t="s">
        <v>44</v>
      </c>
      <c r="C3794" s="5" t="s">
        <v>57</v>
      </c>
      <c r="D3794" s="5">
        <v>2017304</v>
      </c>
      <c r="E3794" s="5">
        <v>13975</v>
      </c>
      <c r="F3794" s="5">
        <v>194077031</v>
      </c>
      <c r="G3794" s="5">
        <v>0.69275627272835427</v>
      </c>
      <c r="H3794" s="5">
        <v>13887.444078711986</v>
      </c>
      <c r="I3794" s="5">
        <v>96.206139976919687</v>
      </c>
    </row>
    <row r="3795" spans="1:9" x14ac:dyDescent="0.2">
      <c r="A3795" s="5" t="s">
        <v>115</v>
      </c>
      <c r="B3795" s="5" t="s">
        <v>44</v>
      </c>
      <c r="C3795" s="5" t="s">
        <v>58</v>
      </c>
      <c r="D3795" s="5">
        <v>2027443</v>
      </c>
      <c r="E3795" s="5">
        <v>13806</v>
      </c>
      <c r="F3795" s="5">
        <v>194950262</v>
      </c>
      <c r="G3795" s="5">
        <v>0.68095625869629872</v>
      </c>
      <c r="H3795" s="5">
        <v>14120.691148775895</v>
      </c>
      <c r="I3795" s="5">
        <v>96.155730148763737</v>
      </c>
    </row>
    <row r="3796" spans="1:9" x14ac:dyDescent="0.2">
      <c r="A3796" s="5" t="s">
        <v>115</v>
      </c>
      <c r="B3796" s="5" t="s">
        <v>44</v>
      </c>
      <c r="C3796" s="5" t="s">
        <v>59</v>
      </c>
      <c r="D3796" s="5">
        <v>2035895</v>
      </c>
      <c r="E3796" s="5">
        <v>13737</v>
      </c>
      <c r="F3796" s="5">
        <v>195941076</v>
      </c>
      <c r="G3796" s="5">
        <v>0.6747401020190138</v>
      </c>
      <c r="H3796" s="5">
        <v>14263.745796025332</v>
      </c>
      <c r="I3796" s="5">
        <v>96.243212935834123</v>
      </c>
    </row>
    <row r="3797" spans="1:9" x14ac:dyDescent="0.2">
      <c r="A3797" s="5" t="s">
        <v>115</v>
      </c>
      <c r="B3797" s="5" t="s">
        <v>44</v>
      </c>
      <c r="C3797" s="5" t="s">
        <v>60</v>
      </c>
      <c r="D3797" s="5">
        <v>2044503</v>
      </c>
      <c r="E3797" s="5">
        <v>13892</v>
      </c>
      <c r="F3797" s="5">
        <v>201154659</v>
      </c>
      <c r="G3797" s="5">
        <v>0.67948053879109005</v>
      </c>
      <c r="H3797" s="5">
        <v>14479.891952202706</v>
      </c>
      <c r="I3797" s="5">
        <v>98.388047853194635</v>
      </c>
    </row>
    <row r="3798" spans="1:9" x14ac:dyDescent="0.2">
      <c r="A3798" s="5" t="s">
        <v>115</v>
      </c>
      <c r="B3798" s="5" t="s">
        <v>44</v>
      </c>
      <c r="C3798" s="5" t="s">
        <v>61</v>
      </c>
      <c r="D3798" s="5">
        <v>2052715</v>
      </c>
      <c r="E3798" s="5">
        <v>13805</v>
      </c>
      <c r="F3798" s="5">
        <v>204698280</v>
      </c>
      <c r="G3798" s="5">
        <v>0.67252394998818643</v>
      </c>
      <c r="H3798" s="5">
        <v>14827.836291198841</v>
      </c>
      <c r="I3798" s="5">
        <v>99.720750323352249</v>
      </c>
    </row>
    <row r="3799" spans="1:9" x14ac:dyDescent="0.2">
      <c r="A3799" s="5" t="s">
        <v>115</v>
      </c>
      <c r="B3799" s="5" t="s">
        <v>44</v>
      </c>
      <c r="C3799" s="5" t="s">
        <v>62</v>
      </c>
      <c r="D3799" s="5">
        <v>2061682</v>
      </c>
      <c r="E3799" s="5">
        <v>13823</v>
      </c>
      <c r="F3799" s="5">
        <v>206757484</v>
      </c>
      <c r="G3799" s="5">
        <v>0.67047197385435775</v>
      </c>
      <c r="H3799" s="5">
        <v>14957.497214786948</v>
      </c>
      <c r="I3799" s="5">
        <v>100.28582681519265</v>
      </c>
    </row>
    <row r="3800" spans="1:9" x14ac:dyDescent="0.2">
      <c r="A3800" s="5" t="s">
        <v>115</v>
      </c>
      <c r="B3800" s="5" t="s">
        <v>63</v>
      </c>
      <c r="C3800" s="5" t="s">
        <v>45</v>
      </c>
      <c r="D3800" s="5">
        <v>1841340</v>
      </c>
      <c r="E3800" s="5">
        <v>57757</v>
      </c>
      <c r="F3800" s="5">
        <v>122916312</v>
      </c>
      <c r="G3800" s="5">
        <v>3.1366830677658664</v>
      </c>
      <c r="H3800" s="5">
        <v>2128.1630278580951</v>
      </c>
      <c r="I3800" s="5">
        <v>66.753729349278245</v>
      </c>
    </row>
    <row r="3801" spans="1:9" x14ac:dyDescent="0.2">
      <c r="A3801" s="5" t="s">
        <v>115</v>
      </c>
      <c r="B3801" s="5" t="s">
        <v>63</v>
      </c>
      <c r="C3801" s="5" t="s">
        <v>46</v>
      </c>
      <c r="D3801" s="5">
        <v>1856928</v>
      </c>
      <c r="E3801" s="5">
        <v>54340</v>
      </c>
      <c r="F3801" s="5">
        <v>117258872</v>
      </c>
      <c r="G3801" s="5">
        <v>2.926338554860501</v>
      </c>
      <c r="H3801" s="5">
        <v>2157.8739786529259</v>
      </c>
      <c r="I3801" s="5">
        <v>63.146698202622829</v>
      </c>
    </row>
    <row r="3802" spans="1:9" x14ac:dyDescent="0.2">
      <c r="A3802" s="5" t="s">
        <v>115</v>
      </c>
      <c r="B3802" s="5" t="s">
        <v>63</v>
      </c>
      <c r="C3802" s="5" t="s">
        <v>47</v>
      </c>
      <c r="D3802" s="5">
        <v>1876631</v>
      </c>
      <c r="E3802" s="5">
        <v>54733</v>
      </c>
      <c r="F3802" s="5">
        <v>118319016</v>
      </c>
      <c r="G3802" s="5">
        <v>2.9165563182106657</v>
      </c>
      <c r="H3802" s="5">
        <v>2161.7491458535069</v>
      </c>
      <c r="I3802" s="5">
        <v>63.048631297255561</v>
      </c>
    </row>
    <row r="3803" spans="1:9" x14ac:dyDescent="0.2">
      <c r="A3803" s="5" t="s">
        <v>115</v>
      </c>
      <c r="B3803" s="5" t="s">
        <v>63</v>
      </c>
      <c r="C3803" s="5" t="s">
        <v>48</v>
      </c>
      <c r="D3803" s="5">
        <v>1897564</v>
      </c>
      <c r="E3803" s="5">
        <v>55439</v>
      </c>
      <c r="F3803" s="5">
        <v>120532979</v>
      </c>
      <c r="G3803" s="5">
        <v>2.9215878884717457</v>
      </c>
      <c r="H3803" s="5">
        <v>2174.1549991882971</v>
      </c>
      <c r="I3803" s="5">
        <v>63.519849132888268</v>
      </c>
    </row>
    <row r="3804" spans="1:9" x14ac:dyDescent="0.2">
      <c r="A3804" s="5" t="s">
        <v>115</v>
      </c>
      <c r="B3804" s="5" t="s">
        <v>63</v>
      </c>
      <c r="C3804" s="5" t="s">
        <v>49</v>
      </c>
      <c r="D3804" s="5">
        <v>1915927</v>
      </c>
      <c r="E3804" s="5">
        <v>55468</v>
      </c>
      <c r="F3804" s="5">
        <v>121416784</v>
      </c>
      <c r="G3804" s="5">
        <v>2.895099865495919</v>
      </c>
      <c r="H3804" s="5">
        <v>2188.9519001947069</v>
      </c>
      <c r="I3804" s="5">
        <v>63.372343518307325</v>
      </c>
    </row>
    <row r="3805" spans="1:9" x14ac:dyDescent="0.2">
      <c r="A3805" s="5" t="s">
        <v>115</v>
      </c>
      <c r="B3805" s="5" t="s">
        <v>63</v>
      </c>
      <c r="C3805" s="5" t="s">
        <v>50</v>
      </c>
      <c r="D3805" s="5">
        <v>1930945</v>
      </c>
      <c r="E3805" s="5">
        <v>55940</v>
      </c>
      <c r="F3805" s="5">
        <v>123548830</v>
      </c>
      <c r="G3805" s="5">
        <v>2.8970271033095196</v>
      </c>
      <c r="H3805" s="5">
        <v>2208.5954594208079</v>
      </c>
      <c r="I3805" s="5">
        <v>63.983609061884209</v>
      </c>
    </row>
    <row r="3806" spans="1:9" x14ac:dyDescent="0.2">
      <c r="A3806" s="5" t="s">
        <v>115</v>
      </c>
      <c r="B3806" s="5" t="s">
        <v>63</v>
      </c>
      <c r="C3806" s="5" t="s">
        <v>51</v>
      </c>
      <c r="D3806" s="5">
        <v>1943967</v>
      </c>
      <c r="E3806" s="5">
        <v>56113</v>
      </c>
      <c r="F3806" s="5">
        <v>124688351</v>
      </c>
      <c r="G3806" s="5">
        <v>2.8865201929868149</v>
      </c>
      <c r="H3806" s="5">
        <v>2222.0938285245843</v>
      </c>
      <c r="I3806" s="5">
        <v>64.14118706747594</v>
      </c>
    </row>
    <row r="3807" spans="1:9" x14ac:dyDescent="0.2">
      <c r="A3807" s="5" t="s">
        <v>115</v>
      </c>
      <c r="B3807" s="5" t="s">
        <v>63</v>
      </c>
      <c r="C3807" s="5" t="s">
        <v>52</v>
      </c>
      <c r="D3807" s="5">
        <v>1956272</v>
      </c>
      <c r="E3807" s="5">
        <v>55924</v>
      </c>
      <c r="F3807" s="5">
        <v>125311321</v>
      </c>
      <c r="G3807" s="5">
        <v>2.8587026752925975</v>
      </c>
      <c r="H3807" s="5">
        <v>2240.7431693011945</v>
      </c>
      <c r="I3807" s="5">
        <v>64.056184927249376</v>
      </c>
    </row>
    <row r="3808" spans="1:9" x14ac:dyDescent="0.2">
      <c r="A3808" s="5" t="s">
        <v>115</v>
      </c>
      <c r="B3808" s="5" t="s">
        <v>63</v>
      </c>
      <c r="C3808" s="5" t="s">
        <v>53</v>
      </c>
      <c r="D3808" s="5">
        <v>1967823</v>
      </c>
      <c r="E3808" s="5">
        <v>55740</v>
      </c>
      <c r="F3808" s="5">
        <v>125633096</v>
      </c>
      <c r="G3808" s="5">
        <v>2.8325718319178095</v>
      </c>
      <c r="H3808" s="5">
        <v>2253.9127377108002</v>
      </c>
      <c r="I3808" s="5">
        <v>63.843697324403671</v>
      </c>
    </row>
    <row r="3809" spans="1:9" x14ac:dyDescent="0.2">
      <c r="A3809" s="5" t="s">
        <v>115</v>
      </c>
      <c r="B3809" s="5" t="s">
        <v>63</v>
      </c>
      <c r="C3809" s="5" t="s">
        <v>54</v>
      </c>
      <c r="D3809" s="5">
        <v>1980110</v>
      </c>
      <c r="E3809" s="5">
        <v>56525</v>
      </c>
      <c r="F3809" s="5">
        <v>128172070</v>
      </c>
      <c r="G3809" s="5">
        <v>2.8546393887208286</v>
      </c>
      <c r="H3809" s="5">
        <v>2267.5288810260945</v>
      </c>
      <c r="I3809" s="5">
        <v>64.729772588391555</v>
      </c>
    </row>
    <row r="3810" spans="1:9" x14ac:dyDescent="0.2">
      <c r="A3810" s="5" t="s">
        <v>115</v>
      </c>
      <c r="B3810" s="5" t="s">
        <v>63</v>
      </c>
      <c r="C3810" s="5" t="s">
        <v>55</v>
      </c>
      <c r="D3810" s="5">
        <v>1993557</v>
      </c>
      <c r="E3810" s="5">
        <v>55889</v>
      </c>
      <c r="F3810" s="5">
        <v>127206977</v>
      </c>
      <c r="G3810" s="5">
        <v>2.8034814153796455</v>
      </c>
      <c r="H3810" s="5">
        <v>2276.0646459947397</v>
      </c>
      <c r="I3810" s="5">
        <v>63.809049352489041</v>
      </c>
    </row>
    <row r="3811" spans="1:9" x14ac:dyDescent="0.2">
      <c r="A3811" s="5" t="s">
        <v>115</v>
      </c>
      <c r="B3811" s="5" t="s">
        <v>63</v>
      </c>
      <c r="C3811" s="5" t="s">
        <v>56</v>
      </c>
      <c r="D3811" s="5">
        <v>2005744</v>
      </c>
      <c r="E3811" s="5">
        <v>55590</v>
      </c>
      <c r="F3811" s="5">
        <v>127318730</v>
      </c>
      <c r="G3811" s="5">
        <v>2.7715401367273191</v>
      </c>
      <c r="H3811" s="5">
        <v>2290.31714337111</v>
      </c>
      <c r="I3811" s="5">
        <v>63.47705888687689</v>
      </c>
    </row>
    <row r="3812" spans="1:9" x14ac:dyDescent="0.2">
      <c r="A3812" s="5" t="s">
        <v>115</v>
      </c>
      <c r="B3812" s="5" t="s">
        <v>63</v>
      </c>
      <c r="C3812" s="5" t="s">
        <v>57</v>
      </c>
      <c r="D3812" s="5">
        <v>2017304</v>
      </c>
      <c r="E3812" s="5">
        <v>55637</v>
      </c>
      <c r="F3812" s="5">
        <v>127441137</v>
      </c>
      <c r="G3812" s="5">
        <v>2.7579878887862215</v>
      </c>
      <c r="H3812" s="5">
        <v>2290.5824720959072</v>
      </c>
      <c r="I3812" s="5">
        <v>63.173987163065163</v>
      </c>
    </row>
    <row r="3813" spans="1:9" x14ac:dyDescent="0.2">
      <c r="A3813" s="5" t="s">
        <v>115</v>
      </c>
      <c r="B3813" s="5" t="s">
        <v>63</v>
      </c>
      <c r="C3813" s="5" t="s">
        <v>58</v>
      </c>
      <c r="D3813" s="5">
        <v>2027443</v>
      </c>
      <c r="E3813" s="5">
        <v>55406</v>
      </c>
      <c r="F3813" s="5">
        <v>127744707</v>
      </c>
      <c r="G3813" s="5">
        <v>2.7328018592877825</v>
      </c>
      <c r="H3813" s="5">
        <v>2305.6114319748763</v>
      </c>
      <c r="I3813" s="5">
        <v>63.007792080961096</v>
      </c>
    </row>
    <row r="3814" spans="1:9" x14ac:dyDescent="0.2">
      <c r="A3814" s="5" t="s">
        <v>115</v>
      </c>
      <c r="B3814" s="5" t="s">
        <v>63</v>
      </c>
      <c r="C3814" s="5" t="s">
        <v>59</v>
      </c>
      <c r="D3814" s="5">
        <v>2035895</v>
      </c>
      <c r="E3814" s="5">
        <v>55537</v>
      </c>
      <c r="F3814" s="5">
        <v>129442556</v>
      </c>
      <c r="G3814" s="5">
        <v>2.7278911731695397</v>
      </c>
      <c r="H3814" s="5">
        <v>2330.744476655203</v>
      </c>
      <c r="I3814" s="5">
        <v>63.580172847813863</v>
      </c>
    </row>
    <row r="3815" spans="1:9" x14ac:dyDescent="0.2">
      <c r="A3815" s="5" t="s">
        <v>115</v>
      </c>
      <c r="B3815" s="5" t="s">
        <v>63</v>
      </c>
      <c r="C3815" s="5" t="s">
        <v>60</v>
      </c>
      <c r="D3815" s="5">
        <v>2044503</v>
      </c>
      <c r="E3815" s="5">
        <v>55249</v>
      </c>
      <c r="F3815" s="5">
        <v>129978911</v>
      </c>
      <c r="G3815" s="5">
        <v>2.7023193411797388</v>
      </c>
      <c r="H3815" s="5">
        <v>2352.6020561458126</v>
      </c>
      <c r="I3815" s="5">
        <v>63.574820384220516</v>
      </c>
    </row>
    <row r="3816" spans="1:9" x14ac:dyDescent="0.2">
      <c r="A3816" s="5" t="s">
        <v>115</v>
      </c>
      <c r="B3816" s="5" t="s">
        <v>63</v>
      </c>
      <c r="C3816" s="5" t="s">
        <v>61</v>
      </c>
      <c r="D3816" s="5">
        <v>2052715</v>
      </c>
      <c r="E3816" s="5">
        <v>55095</v>
      </c>
      <c r="F3816" s="5">
        <v>130323224</v>
      </c>
      <c r="G3816" s="5">
        <v>2.6840063038463695</v>
      </c>
      <c r="H3816" s="5">
        <v>2365.427425356203</v>
      </c>
      <c r="I3816" s="5">
        <v>63.488221209471355</v>
      </c>
    </row>
    <row r="3817" spans="1:9" x14ac:dyDescent="0.2">
      <c r="A3817" s="5" t="s">
        <v>115</v>
      </c>
      <c r="B3817" s="5" t="s">
        <v>63</v>
      </c>
      <c r="C3817" s="5" t="s">
        <v>62</v>
      </c>
      <c r="D3817" s="5">
        <v>2061682</v>
      </c>
      <c r="E3817" s="5">
        <v>54310</v>
      </c>
      <c r="F3817" s="5">
        <v>130416891</v>
      </c>
      <c r="G3817" s="5">
        <v>2.6342568834572937</v>
      </c>
      <c r="H3817" s="5">
        <v>2401.3421285214508</v>
      </c>
      <c r="I3817" s="5">
        <v>63.257520315936212</v>
      </c>
    </row>
    <row r="3818" spans="1:9" x14ac:dyDescent="0.2">
      <c r="A3818" s="5" t="s">
        <v>115</v>
      </c>
      <c r="B3818" s="5" t="s">
        <v>64</v>
      </c>
      <c r="C3818" s="5" t="s">
        <v>45</v>
      </c>
      <c r="D3818" s="5">
        <v>1687290</v>
      </c>
      <c r="E3818" s="5">
        <v>141913</v>
      </c>
      <c r="F3818" s="5">
        <v>132800720</v>
      </c>
      <c r="G3818" s="5">
        <v>8.4107059248854679</v>
      </c>
      <c r="H3818" s="5">
        <v>935.78967395516975</v>
      </c>
      <c r="I3818" s="5">
        <v>78.70651755181386</v>
      </c>
    </row>
    <row r="3819" spans="1:9" x14ac:dyDescent="0.2">
      <c r="A3819" s="5" t="s">
        <v>115</v>
      </c>
      <c r="B3819" s="5" t="s">
        <v>64</v>
      </c>
      <c r="C3819" s="5" t="s">
        <v>46</v>
      </c>
      <c r="D3819" s="5">
        <v>1701548</v>
      </c>
      <c r="E3819" s="5">
        <v>142998</v>
      </c>
      <c r="F3819" s="5">
        <v>135992076</v>
      </c>
      <c r="G3819" s="5">
        <v>8.4039944803202733</v>
      </c>
      <c r="H3819" s="5">
        <v>951.00683925649309</v>
      </c>
      <c r="I3819" s="5">
        <v>79.922562278583968</v>
      </c>
    </row>
    <row r="3820" spans="1:9" x14ac:dyDescent="0.2">
      <c r="A3820" s="5" t="s">
        <v>115</v>
      </c>
      <c r="B3820" s="5" t="s">
        <v>64</v>
      </c>
      <c r="C3820" s="5" t="s">
        <v>47</v>
      </c>
      <c r="D3820" s="5">
        <v>1718878</v>
      </c>
      <c r="E3820" s="5">
        <v>135725</v>
      </c>
      <c r="F3820" s="5">
        <v>125960680</v>
      </c>
      <c r="G3820" s="5">
        <v>7.8961392257042098</v>
      </c>
      <c r="H3820" s="5">
        <v>928.05805857432313</v>
      </c>
      <c r="I3820" s="5">
        <v>73.280756400396072</v>
      </c>
    </row>
    <row r="3821" spans="1:9" x14ac:dyDescent="0.2">
      <c r="A3821" s="5" t="s">
        <v>115</v>
      </c>
      <c r="B3821" s="5" t="s">
        <v>64</v>
      </c>
      <c r="C3821" s="5" t="s">
        <v>48</v>
      </c>
      <c r="D3821" s="5">
        <v>1736840</v>
      </c>
      <c r="E3821" s="5">
        <v>131819</v>
      </c>
      <c r="F3821" s="5">
        <v>121093913</v>
      </c>
      <c r="G3821" s="5">
        <v>7.589587987379379</v>
      </c>
      <c r="H3821" s="5">
        <v>918.63777604139011</v>
      </c>
      <c r="I3821" s="5">
        <v>69.720822297966421</v>
      </c>
    </row>
    <row r="3822" spans="1:9" x14ac:dyDescent="0.2">
      <c r="A3822" s="5" t="s">
        <v>115</v>
      </c>
      <c r="B3822" s="5" t="s">
        <v>64</v>
      </c>
      <c r="C3822" s="5" t="s">
        <v>49</v>
      </c>
      <c r="D3822" s="5">
        <v>1761245</v>
      </c>
      <c r="E3822" s="5">
        <v>127913</v>
      </c>
      <c r="F3822" s="5">
        <v>115326470</v>
      </c>
      <c r="G3822" s="5">
        <v>7.2626465937447655</v>
      </c>
      <c r="H3822" s="5">
        <v>901.6008537052528</v>
      </c>
      <c r="I3822" s="5">
        <v>65.480083690798267</v>
      </c>
    </row>
    <row r="3823" spans="1:9" x14ac:dyDescent="0.2">
      <c r="A3823" s="5" t="s">
        <v>115</v>
      </c>
      <c r="B3823" s="5" t="s">
        <v>64</v>
      </c>
      <c r="C3823" s="5" t="s">
        <v>50</v>
      </c>
      <c r="D3823" s="5">
        <v>1773480</v>
      </c>
      <c r="E3823" s="5">
        <v>123748</v>
      </c>
      <c r="F3823" s="5">
        <v>113599659</v>
      </c>
      <c r="G3823" s="5">
        <v>6.9776935742156665</v>
      </c>
      <c r="H3823" s="5">
        <v>917.99187865662475</v>
      </c>
      <c r="I3823" s="5">
        <v>64.054660328844989</v>
      </c>
    </row>
    <row r="3824" spans="1:9" x14ac:dyDescent="0.2">
      <c r="A3824" s="5" t="s">
        <v>115</v>
      </c>
      <c r="B3824" s="5" t="s">
        <v>64</v>
      </c>
      <c r="C3824" s="5" t="s">
        <v>51</v>
      </c>
      <c r="D3824" s="5">
        <v>1783054</v>
      </c>
      <c r="E3824" s="5">
        <v>120101</v>
      </c>
      <c r="F3824" s="5">
        <v>110847188</v>
      </c>
      <c r="G3824" s="5">
        <v>6.7356905623721994</v>
      </c>
      <c r="H3824" s="5">
        <v>922.94975062655601</v>
      </c>
      <c r="I3824" s="5">
        <v>62.16703924839068</v>
      </c>
    </row>
    <row r="3825" spans="1:9" x14ac:dyDescent="0.2">
      <c r="A3825" s="5" t="s">
        <v>115</v>
      </c>
      <c r="B3825" s="5" t="s">
        <v>64</v>
      </c>
      <c r="C3825" s="5" t="s">
        <v>52</v>
      </c>
      <c r="D3825" s="5">
        <v>1791341</v>
      </c>
      <c r="E3825" s="5">
        <v>116726</v>
      </c>
      <c r="F3825" s="5">
        <v>108676715</v>
      </c>
      <c r="G3825" s="5">
        <v>6.516123954065697</v>
      </c>
      <c r="H3825" s="5">
        <v>931.04119904734159</v>
      </c>
      <c r="I3825" s="5">
        <v>60.667798593344315</v>
      </c>
    </row>
    <row r="3826" spans="1:9" x14ac:dyDescent="0.2">
      <c r="A3826" s="5" t="s">
        <v>115</v>
      </c>
      <c r="B3826" s="5" t="s">
        <v>64</v>
      </c>
      <c r="C3826" s="5" t="s">
        <v>53</v>
      </c>
      <c r="D3826" s="5">
        <v>1798806</v>
      </c>
      <c r="E3826" s="5">
        <v>112594</v>
      </c>
      <c r="F3826" s="5">
        <v>106404325</v>
      </c>
      <c r="G3826" s="5">
        <v>6.2593742738238589</v>
      </c>
      <c r="H3826" s="5">
        <v>945.02659999644743</v>
      </c>
      <c r="I3826" s="5">
        <v>59.15275188096993</v>
      </c>
    </row>
    <row r="3827" spans="1:9" x14ac:dyDescent="0.2">
      <c r="A3827" s="5" t="s">
        <v>115</v>
      </c>
      <c r="B3827" s="5" t="s">
        <v>64</v>
      </c>
      <c r="C3827" s="5" t="s">
        <v>54</v>
      </c>
      <c r="D3827" s="5">
        <v>1806702</v>
      </c>
      <c r="E3827" s="5">
        <v>110994</v>
      </c>
      <c r="F3827" s="5">
        <v>104550409</v>
      </c>
      <c r="G3827" s="5">
        <v>6.1434591869605502</v>
      </c>
      <c r="H3827" s="5">
        <v>941.94649260320375</v>
      </c>
      <c r="I3827" s="5">
        <v>57.868098336084202</v>
      </c>
    </row>
    <row r="3828" spans="1:9" x14ac:dyDescent="0.2">
      <c r="A3828" s="5" t="s">
        <v>115</v>
      </c>
      <c r="B3828" s="5" t="s">
        <v>64</v>
      </c>
      <c r="C3828" s="5" t="s">
        <v>55</v>
      </c>
      <c r="D3828" s="5">
        <v>1815444</v>
      </c>
      <c r="E3828" s="5">
        <v>112852</v>
      </c>
      <c r="F3828" s="5">
        <v>112138168</v>
      </c>
      <c r="G3828" s="5">
        <v>6.2162203846552142</v>
      </c>
      <c r="H3828" s="5">
        <v>993.67461808386201</v>
      </c>
      <c r="I3828" s="5">
        <v>61.769004166473877</v>
      </c>
    </row>
    <row r="3829" spans="1:9" x14ac:dyDescent="0.2">
      <c r="A3829" s="5" t="s">
        <v>115</v>
      </c>
      <c r="B3829" s="5" t="s">
        <v>64</v>
      </c>
      <c r="C3829" s="5" t="s">
        <v>56</v>
      </c>
      <c r="D3829" s="5">
        <v>1823473</v>
      </c>
      <c r="E3829" s="5">
        <v>116424</v>
      </c>
      <c r="F3829" s="5">
        <v>122725266</v>
      </c>
      <c r="G3829" s="5">
        <v>6.384739450488162</v>
      </c>
      <c r="H3829" s="5">
        <v>1054.1234281591423</v>
      </c>
      <c r="I3829" s="5">
        <v>67.303034374515008</v>
      </c>
    </row>
    <row r="3830" spans="1:9" x14ac:dyDescent="0.2">
      <c r="A3830" s="5" t="s">
        <v>115</v>
      </c>
      <c r="B3830" s="5" t="s">
        <v>64</v>
      </c>
      <c r="C3830" s="5" t="s">
        <v>57</v>
      </c>
      <c r="D3830" s="5">
        <v>1831459</v>
      </c>
      <c r="E3830" s="5">
        <v>115765</v>
      </c>
      <c r="F3830" s="5">
        <v>123707847</v>
      </c>
      <c r="G3830" s="5">
        <v>6.3209168209607753</v>
      </c>
      <c r="H3830" s="5">
        <v>1068.6118170431478</v>
      </c>
      <c r="I3830" s="5">
        <v>67.546064094254902</v>
      </c>
    </row>
    <row r="3831" spans="1:9" x14ac:dyDescent="0.2">
      <c r="A3831" s="5" t="s">
        <v>115</v>
      </c>
      <c r="B3831" s="5" t="s">
        <v>64</v>
      </c>
      <c r="C3831" s="5" t="s">
        <v>58</v>
      </c>
      <c r="D3831" s="5">
        <v>1839326</v>
      </c>
      <c r="E3831" s="5">
        <v>115597</v>
      </c>
      <c r="F3831" s="5">
        <v>124055503</v>
      </c>
      <c r="G3831" s="5">
        <v>6.2847477826116744</v>
      </c>
      <c r="H3831" s="5">
        <v>1073.1723401126326</v>
      </c>
      <c r="I3831" s="5">
        <v>67.446174848830495</v>
      </c>
    </row>
    <row r="3832" spans="1:9" x14ac:dyDescent="0.2">
      <c r="A3832" s="5" t="s">
        <v>115</v>
      </c>
      <c r="B3832" s="5" t="s">
        <v>64</v>
      </c>
      <c r="C3832" s="5" t="s">
        <v>59</v>
      </c>
      <c r="D3832" s="5">
        <v>1846079</v>
      </c>
      <c r="E3832" s="5">
        <v>108567</v>
      </c>
      <c r="F3832" s="5">
        <v>112172138</v>
      </c>
      <c r="G3832" s="5">
        <v>5.8809509235520254</v>
      </c>
      <c r="H3832" s="5">
        <v>1033.206572899684</v>
      </c>
      <c r="I3832" s="5">
        <v>60.762371491144201</v>
      </c>
    </row>
    <row r="3833" spans="1:9" x14ac:dyDescent="0.2">
      <c r="A3833" s="5" t="s">
        <v>115</v>
      </c>
      <c r="B3833" s="5" t="s">
        <v>64</v>
      </c>
      <c r="C3833" s="5" t="s">
        <v>60</v>
      </c>
      <c r="D3833" s="5">
        <v>1853240</v>
      </c>
      <c r="E3833" s="5">
        <v>101005</v>
      </c>
      <c r="F3833" s="5">
        <v>100780322</v>
      </c>
      <c r="G3833" s="5">
        <v>5.4501845416675661</v>
      </c>
      <c r="H3833" s="5">
        <v>997.77557546656101</v>
      </c>
      <c r="I3833" s="5">
        <v>54.380610174613111</v>
      </c>
    </row>
    <row r="3834" spans="1:9" x14ac:dyDescent="0.2">
      <c r="A3834" s="5" t="s">
        <v>115</v>
      </c>
      <c r="B3834" s="5" t="s">
        <v>64</v>
      </c>
      <c r="C3834" s="5" t="s">
        <v>61</v>
      </c>
      <c r="D3834" s="5">
        <v>1860683</v>
      </c>
      <c r="E3834" s="5">
        <v>99050</v>
      </c>
      <c r="F3834" s="5">
        <v>99871305</v>
      </c>
      <c r="G3834" s="5">
        <v>5.3233140733805815</v>
      </c>
      <c r="H3834" s="5">
        <v>1008.2918223119636</v>
      </c>
      <c r="I3834" s="5">
        <v>53.674540477878281</v>
      </c>
    </row>
    <row r="3835" spans="1:9" x14ac:dyDescent="0.2">
      <c r="A3835" s="5" t="s">
        <v>115</v>
      </c>
      <c r="B3835" s="5" t="s">
        <v>64</v>
      </c>
      <c r="C3835" s="5" t="s">
        <v>62</v>
      </c>
      <c r="D3835" s="5">
        <v>1867972</v>
      </c>
      <c r="E3835" s="5">
        <v>96763</v>
      </c>
      <c r="F3835" s="5">
        <v>99038085</v>
      </c>
      <c r="G3835" s="5">
        <v>5.1801097660992781</v>
      </c>
      <c r="H3835" s="5">
        <v>1023.511931213377</v>
      </c>
      <c r="I3835" s="5">
        <v>53.019041505975466</v>
      </c>
    </row>
    <row r="3836" spans="1:9" x14ac:dyDescent="0.2">
      <c r="A3836" s="5" t="s">
        <v>115</v>
      </c>
      <c r="B3836" s="5" t="s">
        <v>65</v>
      </c>
      <c r="C3836" s="5" t="s">
        <v>45</v>
      </c>
      <c r="D3836" s="5">
        <v>1596319</v>
      </c>
      <c r="E3836" s="5">
        <v>91100</v>
      </c>
      <c r="F3836" s="5">
        <v>196139715</v>
      </c>
      <c r="G3836" s="5">
        <v>5.706879389395227</v>
      </c>
      <c r="H3836" s="5">
        <v>2153.0155323819977</v>
      </c>
      <c r="I3836" s="5">
        <v>122.86999966798616</v>
      </c>
    </row>
    <row r="3837" spans="1:9" x14ac:dyDescent="0.2">
      <c r="A3837" s="5" t="s">
        <v>115</v>
      </c>
      <c r="B3837" s="5" t="s">
        <v>65</v>
      </c>
      <c r="C3837" s="5" t="s">
        <v>46</v>
      </c>
      <c r="D3837" s="5">
        <v>1610239</v>
      </c>
      <c r="E3837" s="5">
        <v>86538</v>
      </c>
      <c r="F3837" s="5">
        <v>191244328</v>
      </c>
      <c r="G3837" s="5">
        <v>5.3742332659934329</v>
      </c>
      <c r="H3837" s="5">
        <v>2209.9462432688529</v>
      </c>
      <c r="I3837" s="5">
        <v>118.76766616632686</v>
      </c>
    </row>
    <row r="3838" spans="1:9" x14ac:dyDescent="0.2">
      <c r="A3838" s="5" t="s">
        <v>115</v>
      </c>
      <c r="B3838" s="5" t="s">
        <v>65</v>
      </c>
      <c r="C3838" s="5" t="s">
        <v>47</v>
      </c>
      <c r="D3838" s="5">
        <v>1627218</v>
      </c>
      <c r="E3838" s="5">
        <v>87051</v>
      </c>
      <c r="F3838" s="5">
        <v>195980695</v>
      </c>
      <c r="G3838" s="5">
        <v>5.349682709999521</v>
      </c>
      <c r="H3838" s="5">
        <v>2251.3319203685196</v>
      </c>
      <c r="I3838" s="5">
        <v>120.43911448865487</v>
      </c>
    </row>
    <row r="3839" spans="1:9" x14ac:dyDescent="0.2">
      <c r="A3839" s="5" t="s">
        <v>115</v>
      </c>
      <c r="B3839" s="5" t="s">
        <v>65</v>
      </c>
      <c r="C3839" s="5" t="s">
        <v>48</v>
      </c>
      <c r="D3839" s="5">
        <v>1644971</v>
      </c>
      <c r="E3839" s="5">
        <v>86741</v>
      </c>
      <c r="F3839" s="5">
        <v>198692193</v>
      </c>
      <c r="G3839" s="5">
        <v>5.2731020790032161</v>
      </c>
      <c r="H3839" s="5">
        <v>2290.6375647041191</v>
      </c>
      <c r="I3839" s="5">
        <v>120.78765704684156</v>
      </c>
    </row>
    <row r="3840" spans="1:9" x14ac:dyDescent="0.2">
      <c r="A3840" s="5" t="s">
        <v>115</v>
      </c>
      <c r="B3840" s="5" t="s">
        <v>65</v>
      </c>
      <c r="C3840" s="5" t="s">
        <v>49</v>
      </c>
      <c r="D3840" s="5">
        <v>1660136</v>
      </c>
      <c r="E3840" s="5">
        <v>86545</v>
      </c>
      <c r="F3840" s="5">
        <v>201982801</v>
      </c>
      <c r="G3840" s="5">
        <v>5.2131271172964144</v>
      </c>
      <c r="H3840" s="5">
        <v>2333.8471431047433</v>
      </c>
      <c r="I3840" s="5">
        <v>121.66641829344103</v>
      </c>
    </row>
    <row r="3841" spans="1:9" x14ac:dyDescent="0.2">
      <c r="A3841" s="5" t="s">
        <v>115</v>
      </c>
      <c r="B3841" s="5" t="s">
        <v>65</v>
      </c>
      <c r="C3841" s="5" t="s">
        <v>50</v>
      </c>
      <c r="D3841" s="5">
        <v>1672216</v>
      </c>
      <c r="E3841" s="5">
        <v>86654</v>
      </c>
      <c r="F3841" s="5">
        <v>204797039</v>
      </c>
      <c r="G3841" s="5">
        <v>5.1819860592172304</v>
      </c>
      <c r="H3841" s="5">
        <v>2363.3881759641795</v>
      </c>
      <c r="I3841" s="5">
        <v>122.47044580365215</v>
      </c>
    </row>
    <row r="3842" spans="1:9" x14ac:dyDescent="0.2">
      <c r="A3842" s="5" t="s">
        <v>115</v>
      </c>
      <c r="B3842" s="5" t="s">
        <v>65</v>
      </c>
      <c r="C3842" s="5" t="s">
        <v>51</v>
      </c>
      <c r="D3842" s="5">
        <v>1681890</v>
      </c>
      <c r="E3842" s="5">
        <v>86214</v>
      </c>
      <c r="F3842" s="5">
        <v>206352289</v>
      </c>
      <c r="G3842" s="5">
        <v>5.1260189429748673</v>
      </c>
      <c r="H3842" s="5">
        <v>2393.4893288793005</v>
      </c>
      <c r="I3842" s="5">
        <v>122.69071639643496</v>
      </c>
    </row>
    <row r="3843" spans="1:9" x14ac:dyDescent="0.2">
      <c r="A3843" s="5" t="s">
        <v>115</v>
      </c>
      <c r="B3843" s="5" t="s">
        <v>65</v>
      </c>
      <c r="C3843" s="5" t="s">
        <v>52</v>
      </c>
      <c r="D3843" s="5">
        <v>1690519</v>
      </c>
      <c r="E3843" s="5">
        <v>85355</v>
      </c>
      <c r="F3843" s="5">
        <v>205091350</v>
      </c>
      <c r="G3843" s="5">
        <v>5.0490411524508154</v>
      </c>
      <c r="H3843" s="5">
        <v>2402.8041708160035</v>
      </c>
      <c r="I3843" s="5">
        <v>121.31857139730461</v>
      </c>
    </row>
    <row r="3844" spans="1:9" x14ac:dyDescent="0.2">
      <c r="A3844" s="5" t="s">
        <v>115</v>
      </c>
      <c r="B3844" s="5" t="s">
        <v>65</v>
      </c>
      <c r="C3844" s="5" t="s">
        <v>53</v>
      </c>
      <c r="D3844" s="5">
        <v>1698315</v>
      </c>
      <c r="E3844" s="5">
        <v>84614</v>
      </c>
      <c r="F3844" s="5">
        <v>205565223</v>
      </c>
      <c r="G3844" s="5">
        <v>4.9822323891621991</v>
      </c>
      <c r="H3844" s="5">
        <v>2429.446935495308</v>
      </c>
      <c r="I3844" s="5">
        <v>121.04069209775572</v>
      </c>
    </row>
    <row r="3845" spans="1:9" x14ac:dyDescent="0.2">
      <c r="A3845" s="5" t="s">
        <v>115</v>
      </c>
      <c r="B3845" s="5" t="s">
        <v>65</v>
      </c>
      <c r="C3845" s="5" t="s">
        <v>54</v>
      </c>
      <c r="D3845" s="5">
        <v>1706420</v>
      </c>
      <c r="E3845" s="5">
        <v>85488</v>
      </c>
      <c r="F3845" s="5">
        <v>209697218</v>
      </c>
      <c r="G3845" s="5">
        <v>5.0097865707152991</v>
      </c>
      <c r="H3845" s="5">
        <v>2452.9433136814523</v>
      </c>
      <c r="I3845" s="5">
        <v>122.88722471607224</v>
      </c>
    </row>
    <row r="3846" spans="1:9" x14ac:dyDescent="0.2">
      <c r="A3846" s="5" t="s">
        <v>115</v>
      </c>
      <c r="B3846" s="5" t="s">
        <v>65</v>
      </c>
      <c r="C3846" s="5" t="s">
        <v>55</v>
      </c>
      <c r="D3846" s="5">
        <v>1715680</v>
      </c>
      <c r="E3846" s="5">
        <v>83699</v>
      </c>
      <c r="F3846" s="5">
        <v>204738576</v>
      </c>
      <c r="G3846" s="5">
        <v>4.8784738412757624</v>
      </c>
      <c r="H3846" s="5">
        <v>2446.1292966463161</v>
      </c>
      <c r="I3846" s="5">
        <v>119.33377786067332</v>
      </c>
    </row>
    <row r="3847" spans="1:9" x14ac:dyDescent="0.2">
      <c r="A3847" s="5" t="s">
        <v>115</v>
      </c>
      <c r="B3847" s="5" t="s">
        <v>65</v>
      </c>
      <c r="C3847" s="5" t="s">
        <v>56</v>
      </c>
      <c r="D3847" s="5">
        <v>1724087</v>
      </c>
      <c r="E3847" s="5">
        <v>82734</v>
      </c>
      <c r="F3847" s="5">
        <v>203222702</v>
      </c>
      <c r="G3847" s="5">
        <v>4.798713754004293</v>
      </c>
      <c r="H3847" s="5">
        <v>2456.3384098435949</v>
      </c>
      <c r="I3847" s="5">
        <v>117.87264911805495</v>
      </c>
    </row>
    <row r="3848" spans="1:9" x14ac:dyDescent="0.2">
      <c r="A3848" s="5" t="s">
        <v>115</v>
      </c>
      <c r="B3848" s="5" t="s">
        <v>65</v>
      </c>
      <c r="C3848" s="5" t="s">
        <v>57</v>
      </c>
      <c r="D3848" s="5">
        <v>1732321</v>
      </c>
      <c r="E3848" s="5">
        <v>82115</v>
      </c>
      <c r="F3848" s="5">
        <v>202717220</v>
      </c>
      <c r="G3848" s="5">
        <v>4.7401722890849909</v>
      </c>
      <c r="H3848" s="5">
        <v>2468.6990196675392</v>
      </c>
      <c r="I3848" s="5">
        <v>117.02058683119353</v>
      </c>
    </row>
    <row r="3849" spans="1:9" x14ac:dyDescent="0.2">
      <c r="A3849" s="5" t="s">
        <v>115</v>
      </c>
      <c r="B3849" s="5" t="s">
        <v>65</v>
      </c>
      <c r="C3849" s="5" t="s">
        <v>58</v>
      </c>
      <c r="D3849" s="5">
        <v>1740318</v>
      </c>
      <c r="E3849" s="5">
        <v>81856</v>
      </c>
      <c r="F3849" s="5">
        <v>204875115</v>
      </c>
      <c r="G3849" s="5">
        <v>4.7035082094191978</v>
      </c>
      <c r="H3849" s="5">
        <v>2502.8723001368257</v>
      </c>
      <c r="I3849" s="5">
        <v>117.7228041082147</v>
      </c>
    </row>
    <row r="3850" spans="1:9" x14ac:dyDescent="0.2">
      <c r="A3850" s="5" t="s">
        <v>115</v>
      </c>
      <c r="B3850" s="5" t="s">
        <v>65</v>
      </c>
      <c r="C3850" s="5" t="s">
        <v>59</v>
      </c>
      <c r="D3850" s="5">
        <v>1747661</v>
      </c>
      <c r="E3850" s="5">
        <v>81517</v>
      </c>
      <c r="F3850" s="5">
        <v>205209169</v>
      </c>
      <c r="G3850" s="5">
        <v>4.6643485206799262</v>
      </c>
      <c r="H3850" s="5">
        <v>2517.3788166885433</v>
      </c>
      <c r="I3850" s="5">
        <v>117.4193215961219</v>
      </c>
    </row>
    <row r="3851" spans="1:9" x14ac:dyDescent="0.2">
      <c r="A3851" s="5" t="s">
        <v>115</v>
      </c>
      <c r="B3851" s="5" t="s">
        <v>65</v>
      </c>
      <c r="C3851" s="5" t="s">
        <v>60</v>
      </c>
      <c r="D3851" s="5">
        <v>1755671</v>
      </c>
      <c r="E3851" s="5">
        <v>81382</v>
      </c>
      <c r="F3851" s="5">
        <v>207013022</v>
      </c>
      <c r="G3851" s="5">
        <v>4.6353787241459248</v>
      </c>
      <c r="H3851" s="5">
        <v>2543.7200117962202</v>
      </c>
      <c r="I3851" s="5">
        <v>117.9110562286442</v>
      </c>
    </row>
    <row r="3852" spans="1:9" x14ac:dyDescent="0.2">
      <c r="A3852" s="5" t="s">
        <v>115</v>
      </c>
      <c r="B3852" s="5" t="s">
        <v>65</v>
      </c>
      <c r="C3852" s="5" t="s">
        <v>61</v>
      </c>
      <c r="D3852" s="5">
        <v>1763618</v>
      </c>
      <c r="E3852" s="5">
        <v>83070</v>
      </c>
      <c r="F3852" s="5">
        <v>214689915</v>
      </c>
      <c r="G3852" s="5">
        <v>4.7102036835641279</v>
      </c>
      <c r="H3852" s="5">
        <v>2584.4458288190681</v>
      </c>
      <c r="I3852" s="5">
        <v>121.73266262875521</v>
      </c>
    </row>
    <row r="3853" spans="1:9" x14ac:dyDescent="0.2">
      <c r="A3853" s="5" t="s">
        <v>115</v>
      </c>
      <c r="B3853" s="5" t="s">
        <v>65</v>
      </c>
      <c r="C3853" s="5" t="s">
        <v>62</v>
      </c>
      <c r="D3853" s="5">
        <v>1772265</v>
      </c>
      <c r="E3853" s="5">
        <v>80844</v>
      </c>
      <c r="F3853" s="5">
        <v>209355157</v>
      </c>
      <c r="G3853" s="5">
        <v>4.5616202994473172</v>
      </c>
      <c r="H3853" s="5">
        <v>2589.6189822373954</v>
      </c>
      <c r="I3853" s="5">
        <v>118.12858517208205</v>
      </c>
    </row>
    <row r="3854" spans="1:9" x14ac:dyDescent="0.2">
      <c r="A3854" s="5" t="s">
        <v>116</v>
      </c>
      <c r="B3854" s="5" t="s">
        <v>44</v>
      </c>
      <c r="C3854" s="5" t="s">
        <v>45</v>
      </c>
      <c r="D3854" s="5">
        <v>821373</v>
      </c>
      <c r="E3854" s="5">
        <v>8912</v>
      </c>
      <c r="F3854" s="5">
        <v>125193672</v>
      </c>
      <c r="G3854" s="5">
        <v>1.0850125338914232</v>
      </c>
      <c r="H3854" s="5">
        <v>14047.763913824057</v>
      </c>
      <c r="I3854" s="5">
        <v>152.41999919646739</v>
      </c>
    </row>
    <row r="3855" spans="1:9" x14ac:dyDescent="0.2">
      <c r="A3855" s="5" t="s">
        <v>116</v>
      </c>
      <c r="B3855" s="5" t="s">
        <v>44</v>
      </c>
      <c r="C3855" s="5" t="s">
        <v>46</v>
      </c>
      <c r="D3855" s="5">
        <v>822977</v>
      </c>
      <c r="E3855" s="5">
        <v>8876</v>
      </c>
      <c r="F3855" s="5">
        <v>124419823</v>
      </c>
      <c r="G3855" s="5">
        <v>1.0785234581282344</v>
      </c>
      <c r="H3855" s="5">
        <v>14017.555543037404</v>
      </c>
      <c r="I3855" s="5">
        <v>151.18262478781301</v>
      </c>
    </row>
    <row r="3856" spans="1:9" x14ac:dyDescent="0.2">
      <c r="A3856" s="5" t="s">
        <v>116</v>
      </c>
      <c r="B3856" s="5" t="s">
        <v>44</v>
      </c>
      <c r="C3856" s="5" t="s">
        <v>47</v>
      </c>
      <c r="D3856" s="5">
        <v>823300</v>
      </c>
      <c r="E3856" s="5">
        <v>9148</v>
      </c>
      <c r="F3856" s="5">
        <v>128661019</v>
      </c>
      <c r="G3856" s="5">
        <v>1.1111381027571967</v>
      </c>
      <c r="H3856" s="5">
        <v>14064.387735024049</v>
      </c>
      <c r="I3856" s="5">
        <v>156.27477104336208</v>
      </c>
    </row>
    <row r="3857" spans="1:9" x14ac:dyDescent="0.2">
      <c r="A3857" s="5" t="s">
        <v>116</v>
      </c>
      <c r="B3857" s="5" t="s">
        <v>44</v>
      </c>
      <c r="C3857" s="5" t="s">
        <v>48</v>
      </c>
      <c r="D3857" s="5">
        <v>823154</v>
      </c>
      <c r="E3857" s="5">
        <v>9413</v>
      </c>
      <c r="F3857" s="5">
        <v>135727798</v>
      </c>
      <c r="G3857" s="5">
        <v>1.1435284284593163</v>
      </c>
      <c r="H3857" s="5">
        <v>14419.186019334962</v>
      </c>
      <c r="I3857" s="5">
        <v>164.88749128352654</v>
      </c>
    </row>
    <row r="3858" spans="1:9" x14ac:dyDescent="0.2">
      <c r="A3858" s="5" t="s">
        <v>116</v>
      </c>
      <c r="B3858" s="5" t="s">
        <v>44</v>
      </c>
      <c r="C3858" s="5" t="s">
        <v>49</v>
      </c>
      <c r="D3858" s="5">
        <v>817520</v>
      </c>
      <c r="E3858" s="5">
        <v>9683</v>
      </c>
      <c r="F3858" s="5">
        <v>138802928</v>
      </c>
      <c r="G3858" s="5">
        <v>1.1844358547803111</v>
      </c>
      <c r="H3858" s="5">
        <v>14334.702881338428</v>
      </c>
      <c r="I3858" s="5">
        <v>169.7853606027987</v>
      </c>
    </row>
    <row r="3859" spans="1:9" x14ac:dyDescent="0.2">
      <c r="A3859" s="5" t="s">
        <v>116</v>
      </c>
      <c r="B3859" s="5" t="s">
        <v>44</v>
      </c>
      <c r="C3859" s="5" t="s">
        <v>50</v>
      </c>
      <c r="D3859" s="5">
        <v>809588</v>
      </c>
      <c r="E3859" s="5">
        <v>9760</v>
      </c>
      <c r="F3859" s="5">
        <v>141810550</v>
      </c>
      <c r="G3859" s="5">
        <v>1.2055514656837798</v>
      </c>
      <c r="H3859" s="5">
        <v>14529.769467213115</v>
      </c>
      <c r="I3859" s="5">
        <v>175.16384877246205</v>
      </c>
    </row>
    <row r="3860" spans="1:9" x14ac:dyDescent="0.2">
      <c r="A3860" s="5" t="s">
        <v>116</v>
      </c>
      <c r="B3860" s="5" t="s">
        <v>44</v>
      </c>
      <c r="C3860" s="5" t="s">
        <v>51</v>
      </c>
      <c r="D3860" s="5">
        <v>799789</v>
      </c>
      <c r="E3860" s="5">
        <v>9443</v>
      </c>
      <c r="F3860" s="5">
        <v>138381450</v>
      </c>
      <c r="G3860" s="5">
        <v>1.180686406039593</v>
      </c>
      <c r="H3860" s="5">
        <v>14654.39478979138</v>
      </c>
      <c r="I3860" s="5">
        <v>173.02244717044121</v>
      </c>
    </row>
    <row r="3861" spans="1:9" x14ac:dyDescent="0.2">
      <c r="A3861" s="5" t="s">
        <v>116</v>
      </c>
      <c r="B3861" s="5" t="s">
        <v>44</v>
      </c>
      <c r="C3861" s="5" t="s">
        <v>52</v>
      </c>
      <c r="D3861" s="5">
        <v>791074</v>
      </c>
      <c r="E3861" s="5">
        <v>9135</v>
      </c>
      <c r="F3861" s="5">
        <v>131161541</v>
      </c>
      <c r="G3861" s="5">
        <v>1.1547592260648183</v>
      </c>
      <c r="H3861" s="5">
        <v>14358.132567049808</v>
      </c>
      <c r="I3861" s="5">
        <v>165.80186050862497</v>
      </c>
    </row>
    <row r="3862" spans="1:9" x14ac:dyDescent="0.2">
      <c r="A3862" s="5" t="s">
        <v>116</v>
      </c>
      <c r="B3862" s="5" t="s">
        <v>44</v>
      </c>
      <c r="C3862" s="5" t="s">
        <v>53</v>
      </c>
      <c r="D3862" s="5">
        <v>785715</v>
      </c>
      <c r="E3862" s="5">
        <v>8857</v>
      </c>
      <c r="F3862" s="5">
        <v>131193376</v>
      </c>
      <c r="G3862" s="5">
        <v>1.1272535206786176</v>
      </c>
      <c r="H3862" s="5">
        <v>14812.394264423619</v>
      </c>
      <c r="I3862" s="5">
        <v>166.97323584251288</v>
      </c>
    </row>
    <row r="3863" spans="1:9" x14ac:dyDescent="0.2">
      <c r="A3863" s="5" t="s">
        <v>116</v>
      </c>
      <c r="B3863" s="5" t="s">
        <v>44</v>
      </c>
      <c r="C3863" s="5" t="s">
        <v>54</v>
      </c>
      <c r="D3863" s="5">
        <v>781686</v>
      </c>
      <c r="E3863" s="5">
        <v>8594</v>
      </c>
      <c r="F3863" s="5">
        <v>129690345</v>
      </c>
      <c r="G3863" s="5">
        <v>1.0994184365589252</v>
      </c>
      <c r="H3863" s="5">
        <v>15090.801140330463</v>
      </c>
      <c r="I3863" s="5">
        <v>165.91104996123764</v>
      </c>
    </row>
    <row r="3864" spans="1:9" x14ac:dyDescent="0.2">
      <c r="A3864" s="5" t="s">
        <v>116</v>
      </c>
      <c r="B3864" s="5" t="s">
        <v>44</v>
      </c>
      <c r="C3864" s="5" t="s">
        <v>55</v>
      </c>
      <c r="D3864" s="5">
        <v>778842</v>
      </c>
      <c r="E3864" s="5">
        <v>8267</v>
      </c>
      <c r="F3864" s="5">
        <v>128490761</v>
      </c>
      <c r="G3864" s="5">
        <v>1.0614476363627026</v>
      </c>
      <c r="H3864" s="5">
        <v>15542.610499576629</v>
      </c>
      <c r="I3864" s="5">
        <v>164.97667177681737</v>
      </c>
    </row>
    <row r="3865" spans="1:9" x14ac:dyDescent="0.2">
      <c r="A3865" s="5" t="s">
        <v>116</v>
      </c>
      <c r="B3865" s="5" t="s">
        <v>44</v>
      </c>
      <c r="C3865" s="5" t="s">
        <v>56</v>
      </c>
      <c r="D3865" s="5">
        <v>776800</v>
      </c>
      <c r="E3865" s="5">
        <v>8237</v>
      </c>
      <c r="F3865" s="5">
        <v>129693463</v>
      </c>
      <c r="G3865" s="5">
        <v>1.0603759011328526</v>
      </c>
      <c r="H3865" s="5">
        <v>15745.230423697949</v>
      </c>
      <c r="I3865" s="5">
        <v>166.9586289907312</v>
      </c>
    </row>
    <row r="3866" spans="1:9" x14ac:dyDescent="0.2">
      <c r="A3866" s="5" t="s">
        <v>116</v>
      </c>
      <c r="B3866" s="5" t="s">
        <v>44</v>
      </c>
      <c r="C3866" s="5" t="s">
        <v>57</v>
      </c>
      <c r="D3866" s="5">
        <v>778803</v>
      </c>
      <c r="E3866" s="5">
        <v>8106</v>
      </c>
      <c r="F3866" s="5">
        <v>130848303</v>
      </c>
      <c r="G3866" s="5">
        <v>1.0408280399536212</v>
      </c>
      <c r="H3866" s="5">
        <v>16142.154330125833</v>
      </c>
      <c r="I3866" s="5">
        <v>168.0120685205373</v>
      </c>
    </row>
    <row r="3867" spans="1:9" x14ac:dyDescent="0.2">
      <c r="A3867" s="5" t="s">
        <v>116</v>
      </c>
      <c r="B3867" s="5" t="s">
        <v>44</v>
      </c>
      <c r="C3867" s="5" t="s">
        <v>58</v>
      </c>
      <c r="D3867" s="5">
        <v>783870</v>
      </c>
      <c r="E3867" s="5">
        <v>7986</v>
      </c>
      <c r="F3867" s="5">
        <v>132760436</v>
      </c>
      <c r="G3867" s="5">
        <v>1.0187913812239275</v>
      </c>
      <c r="H3867" s="5">
        <v>16624.146756824444</v>
      </c>
      <c r="I3867" s="5">
        <v>169.36537436054448</v>
      </c>
    </row>
    <row r="3868" spans="1:9" x14ac:dyDescent="0.2">
      <c r="A3868" s="5" t="s">
        <v>116</v>
      </c>
      <c r="B3868" s="5" t="s">
        <v>44</v>
      </c>
      <c r="C3868" s="5" t="s">
        <v>59</v>
      </c>
      <c r="D3868" s="5">
        <v>790572</v>
      </c>
      <c r="E3868" s="5">
        <v>8028</v>
      </c>
      <c r="F3868" s="5">
        <v>133627075</v>
      </c>
      <c r="G3868" s="5">
        <v>1.0154672819173964</v>
      </c>
      <c r="H3868" s="5">
        <v>16645.126432486297</v>
      </c>
      <c r="I3868" s="5">
        <v>169.02581295568271</v>
      </c>
    </row>
    <row r="3869" spans="1:9" x14ac:dyDescent="0.2">
      <c r="A3869" s="5" t="s">
        <v>116</v>
      </c>
      <c r="B3869" s="5" t="s">
        <v>44</v>
      </c>
      <c r="C3869" s="5" t="s">
        <v>60</v>
      </c>
      <c r="D3869" s="5">
        <v>798495</v>
      </c>
      <c r="E3869" s="5">
        <v>7950</v>
      </c>
      <c r="F3869" s="5">
        <v>134076394</v>
      </c>
      <c r="G3869" s="5">
        <v>0.9956230157984709</v>
      </c>
      <c r="H3869" s="5">
        <v>16864.955220125787</v>
      </c>
      <c r="I3869" s="5">
        <v>167.91137577567798</v>
      </c>
    </row>
    <row r="3870" spans="1:9" x14ac:dyDescent="0.2">
      <c r="A3870" s="5" t="s">
        <v>116</v>
      </c>
      <c r="B3870" s="5" t="s">
        <v>44</v>
      </c>
      <c r="C3870" s="5" t="s">
        <v>61</v>
      </c>
      <c r="D3870" s="5">
        <v>807286</v>
      </c>
      <c r="E3870" s="5">
        <v>7893</v>
      </c>
      <c r="F3870" s="5">
        <v>133684096</v>
      </c>
      <c r="G3870" s="5">
        <v>0.97772041135359711</v>
      </c>
      <c r="H3870" s="5">
        <v>16937.044976561509</v>
      </c>
      <c r="I3870" s="5">
        <v>165.59694581598094</v>
      </c>
    </row>
    <row r="3871" spans="1:9" x14ac:dyDescent="0.2">
      <c r="A3871" s="5" t="s">
        <v>116</v>
      </c>
      <c r="B3871" s="5" t="s">
        <v>44</v>
      </c>
      <c r="C3871" s="5" t="s">
        <v>62</v>
      </c>
      <c r="D3871" s="5">
        <v>814132</v>
      </c>
      <c r="E3871" s="5">
        <v>7838</v>
      </c>
      <c r="F3871" s="5">
        <v>132367027</v>
      </c>
      <c r="G3871" s="5">
        <v>0.96274314238968617</v>
      </c>
      <c r="H3871" s="5">
        <v>16887.857489155398</v>
      </c>
      <c r="I3871" s="5">
        <v>162.58668987338663</v>
      </c>
    </row>
    <row r="3872" spans="1:9" x14ac:dyDescent="0.2">
      <c r="A3872" s="5" t="s">
        <v>116</v>
      </c>
      <c r="B3872" s="5" t="s">
        <v>63</v>
      </c>
      <c r="C3872" s="5" t="s">
        <v>45</v>
      </c>
      <c r="D3872" s="5">
        <v>821373</v>
      </c>
      <c r="E3872" s="5">
        <v>28616</v>
      </c>
      <c r="F3872" s="5">
        <v>64229200</v>
      </c>
      <c r="G3872" s="5">
        <v>3.4839226514628554</v>
      </c>
      <c r="H3872" s="5">
        <v>2244.5205479452056</v>
      </c>
      <c r="I3872" s="5">
        <v>78.197359786601211</v>
      </c>
    </row>
    <row r="3873" spans="1:9" x14ac:dyDescent="0.2">
      <c r="A3873" s="5" t="s">
        <v>116</v>
      </c>
      <c r="B3873" s="5" t="s">
        <v>63</v>
      </c>
      <c r="C3873" s="5" t="s">
        <v>46</v>
      </c>
      <c r="D3873" s="5">
        <v>822977</v>
      </c>
      <c r="E3873" s="5">
        <v>28507</v>
      </c>
      <c r="F3873" s="5">
        <v>64124185</v>
      </c>
      <c r="G3873" s="5">
        <v>3.4638878121745806</v>
      </c>
      <c r="H3873" s="5">
        <v>2249.4189146525414</v>
      </c>
      <c r="I3873" s="5">
        <v>77.917347629399117</v>
      </c>
    </row>
    <row r="3874" spans="1:9" x14ac:dyDescent="0.2">
      <c r="A3874" s="5" t="s">
        <v>116</v>
      </c>
      <c r="B3874" s="5" t="s">
        <v>63</v>
      </c>
      <c r="C3874" s="5" t="s">
        <v>47</v>
      </c>
      <c r="D3874" s="5">
        <v>823300</v>
      </c>
      <c r="E3874" s="5">
        <v>28470</v>
      </c>
      <c r="F3874" s="5">
        <v>64506896</v>
      </c>
      <c r="G3874" s="5">
        <v>3.4580347382485122</v>
      </c>
      <c r="H3874" s="5">
        <v>2265.7848963821566</v>
      </c>
      <c r="I3874" s="5">
        <v>78.351628810883028</v>
      </c>
    </row>
    <row r="3875" spans="1:9" x14ac:dyDescent="0.2">
      <c r="A3875" s="5" t="s">
        <v>116</v>
      </c>
      <c r="B3875" s="5" t="s">
        <v>63</v>
      </c>
      <c r="C3875" s="5" t="s">
        <v>48</v>
      </c>
      <c r="D3875" s="5">
        <v>823154</v>
      </c>
      <c r="E3875" s="5">
        <v>28876</v>
      </c>
      <c r="F3875" s="5">
        <v>66590267</v>
      </c>
      <c r="G3875" s="5">
        <v>3.5079705620090529</v>
      </c>
      <c r="H3875" s="5">
        <v>2306.0765687768389</v>
      </c>
      <c r="I3875" s="5">
        <v>80.896487170079965</v>
      </c>
    </row>
    <row r="3876" spans="1:9" x14ac:dyDescent="0.2">
      <c r="A3876" s="5" t="s">
        <v>116</v>
      </c>
      <c r="B3876" s="5" t="s">
        <v>63</v>
      </c>
      <c r="C3876" s="5" t="s">
        <v>49</v>
      </c>
      <c r="D3876" s="5">
        <v>817520</v>
      </c>
      <c r="E3876" s="5">
        <v>28603</v>
      </c>
      <c r="F3876" s="5">
        <v>67099718</v>
      </c>
      <c r="G3876" s="5">
        <v>3.4987523241021625</v>
      </c>
      <c r="H3876" s="5">
        <v>2345.8979128063488</v>
      </c>
      <c r="I3876" s="5">
        <v>82.077157745376255</v>
      </c>
    </row>
    <row r="3877" spans="1:9" x14ac:dyDescent="0.2">
      <c r="A3877" s="5" t="s">
        <v>116</v>
      </c>
      <c r="B3877" s="5" t="s">
        <v>63</v>
      </c>
      <c r="C3877" s="5" t="s">
        <v>50</v>
      </c>
      <c r="D3877" s="5">
        <v>809588</v>
      </c>
      <c r="E3877" s="5">
        <v>28376</v>
      </c>
      <c r="F3877" s="5">
        <v>67689512</v>
      </c>
      <c r="G3877" s="5">
        <v>3.5049926629347272</v>
      </c>
      <c r="H3877" s="5">
        <v>2385.4493938539613</v>
      </c>
      <c r="I3877" s="5">
        <v>83.609826232602259</v>
      </c>
    </row>
    <row r="3878" spans="1:9" x14ac:dyDescent="0.2">
      <c r="A3878" s="5" t="s">
        <v>116</v>
      </c>
      <c r="B3878" s="5" t="s">
        <v>63</v>
      </c>
      <c r="C3878" s="5" t="s">
        <v>51</v>
      </c>
      <c r="D3878" s="5">
        <v>799789</v>
      </c>
      <c r="E3878" s="5">
        <v>28211</v>
      </c>
      <c r="F3878" s="5">
        <v>68153419</v>
      </c>
      <c r="G3878" s="5">
        <v>3.5273053267799384</v>
      </c>
      <c r="H3878" s="5">
        <v>2415.8455566977418</v>
      </c>
      <c r="I3878" s="5">
        <v>85.214249008175912</v>
      </c>
    </row>
    <row r="3879" spans="1:9" x14ac:dyDescent="0.2">
      <c r="A3879" s="5" t="s">
        <v>116</v>
      </c>
      <c r="B3879" s="5" t="s">
        <v>63</v>
      </c>
      <c r="C3879" s="5" t="s">
        <v>52</v>
      </c>
      <c r="D3879" s="5">
        <v>791074</v>
      </c>
      <c r="E3879" s="5">
        <v>27384</v>
      </c>
      <c r="F3879" s="5">
        <v>66059982</v>
      </c>
      <c r="G3879" s="5">
        <v>3.4616230592839607</v>
      </c>
      <c r="H3879" s="5">
        <v>2412.3569237510956</v>
      </c>
      <c r="I3879" s="5">
        <v>83.506703544801113</v>
      </c>
    </row>
    <row r="3880" spans="1:9" x14ac:dyDescent="0.2">
      <c r="A3880" s="5" t="s">
        <v>116</v>
      </c>
      <c r="B3880" s="5" t="s">
        <v>63</v>
      </c>
      <c r="C3880" s="5" t="s">
        <v>53</v>
      </c>
      <c r="D3880" s="5">
        <v>785715</v>
      </c>
      <c r="E3880" s="5">
        <v>26671</v>
      </c>
      <c r="F3880" s="5">
        <v>64350493</v>
      </c>
      <c r="G3880" s="5">
        <v>3.3944878231928879</v>
      </c>
      <c r="H3880" s="5">
        <v>2412.7514153949983</v>
      </c>
      <c r="I3880" s="5">
        <v>81.900552999497279</v>
      </c>
    </row>
    <row r="3881" spans="1:9" x14ac:dyDescent="0.2">
      <c r="A3881" s="5" t="s">
        <v>116</v>
      </c>
      <c r="B3881" s="5" t="s">
        <v>63</v>
      </c>
      <c r="C3881" s="5" t="s">
        <v>54</v>
      </c>
      <c r="D3881" s="5">
        <v>781686</v>
      </c>
      <c r="E3881" s="5">
        <v>26164</v>
      </c>
      <c r="F3881" s="5">
        <v>62983899</v>
      </c>
      <c r="G3881" s="5">
        <v>3.3471240370174211</v>
      </c>
      <c r="H3881" s="5">
        <v>2407.2733144779086</v>
      </c>
      <c r="I3881" s="5">
        <v>80.574423745596064</v>
      </c>
    </row>
    <row r="3882" spans="1:9" x14ac:dyDescent="0.2">
      <c r="A3882" s="5" t="s">
        <v>116</v>
      </c>
      <c r="B3882" s="5" t="s">
        <v>63</v>
      </c>
      <c r="C3882" s="5" t="s">
        <v>55</v>
      </c>
      <c r="D3882" s="5">
        <v>778842</v>
      </c>
      <c r="E3882" s="5">
        <v>25577</v>
      </c>
      <c r="F3882" s="5">
        <v>61411419</v>
      </c>
      <c r="G3882" s="5">
        <v>3.2839780083765384</v>
      </c>
      <c r="H3882" s="5">
        <v>2401.0407397270988</v>
      </c>
      <c r="I3882" s="5">
        <v>78.849649864799275</v>
      </c>
    </row>
    <row r="3883" spans="1:9" x14ac:dyDescent="0.2">
      <c r="A3883" s="5" t="s">
        <v>116</v>
      </c>
      <c r="B3883" s="5" t="s">
        <v>63</v>
      </c>
      <c r="C3883" s="5" t="s">
        <v>56</v>
      </c>
      <c r="D3883" s="5">
        <v>776800</v>
      </c>
      <c r="E3883" s="5">
        <v>25187</v>
      </c>
      <c r="F3883" s="5">
        <v>60837392</v>
      </c>
      <c r="G3883" s="5">
        <v>3.24240473738414</v>
      </c>
      <c r="H3883" s="5">
        <v>2415.4282764918412</v>
      </c>
      <c r="I3883" s="5">
        <v>78.317960865087542</v>
      </c>
    </row>
    <row r="3884" spans="1:9" x14ac:dyDescent="0.2">
      <c r="A3884" s="5" t="s">
        <v>116</v>
      </c>
      <c r="B3884" s="5" t="s">
        <v>63</v>
      </c>
      <c r="C3884" s="5" t="s">
        <v>57</v>
      </c>
      <c r="D3884" s="5">
        <v>778803</v>
      </c>
      <c r="E3884" s="5">
        <v>25036</v>
      </c>
      <c r="F3884" s="5">
        <v>61423659</v>
      </c>
      <c r="G3884" s="5">
        <v>3.2146768823438019</v>
      </c>
      <c r="H3884" s="5">
        <v>2453.4134446397188</v>
      </c>
      <c r="I3884" s="5">
        <v>78.869314833147797</v>
      </c>
    </row>
    <row r="3885" spans="1:9" x14ac:dyDescent="0.2">
      <c r="A3885" s="5" t="s">
        <v>116</v>
      </c>
      <c r="B3885" s="5" t="s">
        <v>63</v>
      </c>
      <c r="C3885" s="5" t="s">
        <v>58</v>
      </c>
      <c r="D3885" s="5">
        <v>783870</v>
      </c>
      <c r="E3885" s="5">
        <v>24716</v>
      </c>
      <c r="F3885" s="5">
        <v>61634615</v>
      </c>
      <c r="G3885" s="5">
        <v>3.153073851531504</v>
      </c>
      <c r="H3885" s="5">
        <v>2493.7131817446189</v>
      </c>
      <c r="I3885" s="5">
        <v>78.628618265783871</v>
      </c>
    </row>
    <row r="3886" spans="1:9" x14ac:dyDescent="0.2">
      <c r="A3886" s="5" t="s">
        <v>116</v>
      </c>
      <c r="B3886" s="5" t="s">
        <v>63</v>
      </c>
      <c r="C3886" s="5" t="s">
        <v>59</v>
      </c>
      <c r="D3886" s="5">
        <v>790572</v>
      </c>
      <c r="E3886" s="5">
        <v>24690</v>
      </c>
      <c r="F3886" s="5">
        <v>61052686</v>
      </c>
      <c r="G3886" s="5">
        <v>3.1230552055979719</v>
      </c>
      <c r="H3886" s="5">
        <v>2472.7697853381937</v>
      </c>
      <c r="I3886" s="5">
        <v>77.225965503458255</v>
      </c>
    </row>
    <row r="3887" spans="1:9" x14ac:dyDescent="0.2">
      <c r="A3887" s="5" t="s">
        <v>116</v>
      </c>
      <c r="B3887" s="5" t="s">
        <v>63</v>
      </c>
      <c r="C3887" s="5" t="s">
        <v>60</v>
      </c>
      <c r="D3887" s="5">
        <v>798495</v>
      </c>
      <c r="E3887" s="5">
        <v>24901</v>
      </c>
      <c r="F3887" s="5">
        <v>61623235</v>
      </c>
      <c r="G3887" s="5">
        <v>3.1184916624399652</v>
      </c>
      <c r="H3887" s="5">
        <v>2474.7293281394323</v>
      </c>
      <c r="I3887" s="5">
        <v>77.174227765984753</v>
      </c>
    </row>
    <row r="3888" spans="1:9" x14ac:dyDescent="0.2">
      <c r="A3888" s="5" t="s">
        <v>116</v>
      </c>
      <c r="B3888" s="5" t="s">
        <v>63</v>
      </c>
      <c r="C3888" s="5" t="s">
        <v>61</v>
      </c>
      <c r="D3888" s="5">
        <v>807286</v>
      </c>
      <c r="E3888" s="5">
        <v>24697</v>
      </c>
      <c r="F3888" s="5">
        <v>61367099</v>
      </c>
      <c r="G3888" s="5">
        <v>3.0592627643734684</v>
      </c>
      <c r="H3888" s="5">
        <v>2484.7997327610642</v>
      </c>
      <c r="I3888" s="5">
        <v>76.016552993610688</v>
      </c>
    </row>
    <row r="3889" spans="1:9" x14ac:dyDescent="0.2">
      <c r="A3889" s="5" t="s">
        <v>116</v>
      </c>
      <c r="B3889" s="5" t="s">
        <v>63</v>
      </c>
      <c r="C3889" s="5" t="s">
        <v>62</v>
      </c>
      <c r="D3889" s="5">
        <v>814132</v>
      </c>
      <c r="E3889" s="5">
        <v>24808</v>
      </c>
      <c r="F3889" s="5">
        <v>61817097</v>
      </c>
      <c r="G3889" s="5">
        <v>3.0471717117125969</v>
      </c>
      <c r="H3889" s="5">
        <v>2491.8210657852305</v>
      </c>
      <c r="I3889" s="5">
        <v>75.930066623102888</v>
      </c>
    </row>
    <row r="3890" spans="1:9" x14ac:dyDescent="0.2">
      <c r="A3890" s="5" t="s">
        <v>116</v>
      </c>
      <c r="B3890" s="5" t="s">
        <v>64</v>
      </c>
      <c r="C3890" s="5" t="s">
        <v>45</v>
      </c>
      <c r="D3890" s="5">
        <v>656268</v>
      </c>
      <c r="E3890" s="5">
        <v>66612</v>
      </c>
      <c r="F3890" s="5">
        <v>69504510</v>
      </c>
      <c r="G3890" s="5">
        <v>10.150121596664777</v>
      </c>
      <c r="H3890" s="5">
        <v>1043.4232570707979</v>
      </c>
      <c r="I3890" s="5">
        <v>105.90872936056611</v>
      </c>
    </row>
    <row r="3891" spans="1:9" x14ac:dyDescent="0.2">
      <c r="A3891" s="5" t="s">
        <v>116</v>
      </c>
      <c r="B3891" s="5" t="s">
        <v>64</v>
      </c>
      <c r="C3891" s="5" t="s">
        <v>46</v>
      </c>
      <c r="D3891" s="5">
        <v>658145</v>
      </c>
      <c r="E3891" s="5">
        <v>67046</v>
      </c>
      <c r="F3891" s="5">
        <v>72170134</v>
      </c>
      <c r="G3891" s="5">
        <v>10.187116820761382</v>
      </c>
      <c r="H3891" s="5">
        <v>1076.4271395758137</v>
      </c>
      <c r="I3891" s="5">
        <v>109.65689019896831</v>
      </c>
    </row>
    <row r="3892" spans="1:9" x14ac:dyDescent="0.2">
      <c r="A3892" s="5" t="s">
        <v>116</v>
      </c>
      <c r="B3892" s="5" t="s">
        <v>64</v>
      </c>
      <c r="C3892" s="5" t="s">
        <v>47</v>
      </c>
      <c r="D3892" s="5">
        <v>658622</v>
      </c>
      <c r="E3892" s="5">
        <v>77276</v>
      </c>
      <c r="F3892" s="5">
        <v>94039983</v>
      </c>
      <c r="G3892" s="5">
        <v>11.732981892496758</v>
      </c>
      <c r="H3892" s="5">
        <v>1216.9364744551995</v>
      </c>
      <c r="I3892" s="5">
        <v>142.782936191017</v>
      </c>
    </row>
    <row r="3893" spans="1:9" x14ac:dyDescent="0.2">
      <c r="A3893" s="5" t="s">
        <v>116</v>
      </c>
      <c r="B3893" s="5" t="s">
        <v>64</v>
      </c>
      <c r="C3893" s="5" t="s">
        <v>48</v>
      </c>
      <c r="D3893" s="5">
        <v>658910</v>
      </c>
      <c r="E3893" s="5">
        <v>78540</v>
      </c>
      <c r="F3893" s="5">
        <v>94144760</v>
      </c>
      <c r="G3893" s="5">
        <v>11.919685541272708</v>
      </c>
      <c r="H3893" s="5">
        <v>1198.6855105678635</v>
      </c>
      <c r="I3893" s="5">
        <v>142.87954348848857</v>
      </c>
    </row>
    <row r="3894" spans="1:9" x14ac:dyDescent="0.2">
      <c r="A3894" s="5" t="s">
        <v>116</v>
      </c>
      <c r="B3894" s="5" t="s">
        <v>64</v>
      </c>
      <c r="C3894" s="5" t="s">
        <v>49</v>
      </c>
      <c r="D3894" s="5">
        <v>655154</v>
      </c>
      <c r="E3894" s="5">
        <v>76963</v>
      </c>
      <c r="F3894" s="5">
        <v>92849252</v>
      </c>
      <c r="G3894" s="5">
        <v>11.747314371888136</v>
      </c>
      <c r="H3894" s="5">
        <v>1206.4141470576772</v>
      </c>
      <c r="I3894" s="5">
        <v>141.72126248179816</v>
      </c>
    </row>
    <row r="3895" spans="1:9" x14ac:dyDescent="0.2">
      <c r="A3895" s="5" t="s">
        <v>116</v>
      </c>
      <c r="B3895" s="5" t="s">
        <v>64</v>
      </c>
      <c r="C3895" s="5" t="s">
        <v>50</v>
      </c>
      <c r="D3895" s="5">
        <v>649692</v>
      </c>
      <c r="E3895" s="5">
        <v>77999</v>
      </c>
      <c r="F3895" s="5">
        <v>93431373</v>
      </c>
      <c r="G3895" s="5">
        <v>12.005534930397788</v>
      </c>
      <c r="H3895" s="5">
        <v>1197.8534724804165</v>
      </c>
      <c r="I3895" s="5">
        <v>143.80871705361926</v>
      </c>
    </row>
    <row r="3896" spans="1:9" x14ac:dyDescent="0.2">
      <c r="A3896" s="5" t="s">
        <v>116</v>
      </c>
      <c r="B3896" s="5" t="s">
        <v>64</v>
      </c>
      <c r="C3896" s="5" t="s">
        <v>51</v>
      </c>
      <c r="D3896" s="5">
        <v>642618</v>
      </c>
      <c r="E3896" s="5">
        <v>66586</v>
      </c>
      <c r="F3896" s="5">
        <v>72197646</v>
      </c>
      <c r="G3896" s="5">
        <v>10.361676765979167</v>
      </c>
      <c r="H3896" s="5">
        <v>1084.2766647643648</v>
      </c>
      <c r="I3896" s="5">
        <v>112.34924325182301</v>
      </c>
    </row>
    <row r="3897" spans="1:9" x14ac:dyDescent="0.2">
      <c r="A3897" s="5" t="s">
        <v>116</v>
      </c>
      <c r="B3897" s="5" t="s">
        <v>64</v>
      </c>
      <c r="C3897" s="5" t="s">
        <v>52</v>
      </c>
      <c r="D3897" s="5">
        <v>635492</v>
      </c>
      <c r="E3897" s="5">
        <v>63053</v>
      </c>
      <c r="F3897" s="5">
        <v>67662782</v>
      </c>
      <c r="G3897" s="5">
        <v>9.9219187653031042</v>
      </c>
      <c r="H3897" s="5">
        <v>1073.1096379236515</v>
      </c>
      <c r="I3897" s="5">
        <v>106.47306653742298</v>
      </c>
    </row>
    <row r="3898" spans="1:9" x14ac:dyDescent="0.2">
      <c r="A3898" s="5" t="s">
        <v>116</v>
      </c>
      <c r="B3898" s="5" t="s">
        <v>64</v>
      </c>
      <c r="C3898" s="5" t="s">
        <v>53</v>
      </c>
      <c r="D3898" s="5">
        <v>630398</v>
      </c>
      <c r="E3898" s="5">
        <v>61475</v>
      </c>
      <c r="F3898" s="5">
        <v>67949688</v>
      </c>
      <c r="G3898" s="5">
        <v>9.7517758622330657</v>
      </c>
      <c r="H3898" s="5">
        <v>1105.3222936152908</v>
      </c>
      <c r="I3898" s="5">
        <v>107.78855262865682</v>
      </c>
    </row>
    <row r="3899" spans="1:9" x14ac:dyDescent="0.2">
      <c r="A3899" s="5" t="s">
        <v>116</v>
      </c>
      <c r="B3899" s="5" t="s">
        <v>64</v>
      </c>
      <c r="C3899" s="5" t="s">
        <v>54</v>
      </c>
      <c r="D3899" s="5">
        <v>625573</v>
      </c>
      <c r="E3899" s="5">
        <v>58755</v>
      </c>
      <c r="F3899" s="5">
        <v>64672952</v>
      </c>
      <c r="G3899" s="5">
        <v>9.3921892409039387</v>
      </c>
      <c r="H3899" s="5">
        <v>1100.72252574249</v>
      </c>
      <c r="I3899" s="5">
        <v>103.38194263499224</v>
      </c>
    </row>
    <row r="3900" spans="1:9" x14ac:dyDescent="0.2">
      <c r="A3900" s="5" t="s">
        <v>116</v>
      </c>
      <c r="B3900" s="5" t="s">
        <v>64</v>
      </c>
      <c r="C3900" s="5" t="s">
        <v>55</v>
      </c>
      <c r="D3900" s="5">
        <v>621398</v>
      </c>
      <c r="E3900" s="5">
        <v>55177</v>
      </c>
      <c r="F3900" s="5">
        <v>60535562</v>
      </c>
      <c r="G3900" s="5">
        <v>8.8794943015587435</v>
      </c>
      <c r="H3900" s="5">
        <v>1097.115863493847</v>
      </c>
      <c r="I3900" s="5">
        <v>97.418340580433153</v>
      </c>
    </row>
    <row r="3901" spans="1:9" x14ac:dyDescent="0.2">
      <c r="A3901" s="5" t="s">
        <v>116</v>
      </c>
      <c r="B3901" s="5" t="s">
        <v>64</v>
      </c>
      <c r="C3901" s="5" t="s">
        <v>56</v>
      </c>
      <c r="D3901" s="5">
        <v>617812</v>
      </c>
      <c r="E3901" s="5">
        <v>53026</v>
      </c>
      <c r="F3901" s="5">
        <v>58932644</v>
      </c>
      <c r="G3901" s="5">
        <v>8.5828698697985804</v>
      </c>
      <c r="H3901" s="5">
        <v>1111.391468336288</v>
      </c>
      <c r="I3901" s="5">
        <v>95.389283471347269</v>
      </c>
    </row>
    <row r="3902" spans="1:9" x14ac:dyDescent="0.2">
      <c r="A3902" s="5" t="s">
        <v>116</v>
      </c>
      <c r="B3902" s="5" t="s">
        <v>64</v>
      </c>
      <c r="C3902" s="5" t="s">
        <v>57</v>
      </c>
      <c r="D3902" s="5">
        <v>615627</v>
      </c>
      <c r="E3902" s="5">
        <v>51218</v>
      </c>
      <c r="F3902" s="5">
        <v>56120992</v>
      </c>
      <c r="G3902" s="5">
        <v>8.3196480986051622</v>
      </c>
      <c r="H3902" s="5">
        <v>1095.7279081572885</v>
      </c>
      <c r="I3902" s="5">
        <v>91.160706076893959</v>
      </c>
    </row>
    <row r="3903" spans="1:9" x14ac:dyDescent="0.2">
      <c r="A3903" s="5" t="s">
        <v>116</v>
      </c>
      <c r="B3903" s="5" t="s">
        <v>64</v>
      </c>
      <c r="C3903" s="5" t="s">
        <v>58</v>
      </c>
      <c r="D3903" s="5">
        <v>615355</v>
      </c>
      <c r="E3903" s="5">
        <v>49221</v>
      </c>
      <c r="F3903" s="5">
        <v>54150283</v>
      </c>
      <c r="G3903" s="5">
        <v>7.9987974421269019</v>
      </c>
      <c r="H3903" s="5">
        <v>1100.1459336462078</v>
      </c>
      <c r="I3903" s="5">
        <v>87.998444800156008</v>
      </c>
    </row>
    <row r="3904" spans="1:9" x14ac:dyDescent="0.2">
      <c r="A3904" s="5" t="s">
        <v>116</v>
      </c>
      <c r="B3904" s="5" t="s">
        <v>64</v>
      </c>
      <c r="C3904" s="5" t="s">
        <v>59</v>
      </c>
      <c r="D3904" s="5">
        <v>616444</v>
      </c>
      <c r="E3904" s="5">
        <v>47266</v>
      </c>
      <c r="F3904" s="5">
        <v>50334743</v>
      </c>
      <c r="G3904" s="5">
        <v>7.6675253551011933</v>
      </c>
      <c r="H3904" s="5">
        <v>1064.9249566284432</v>
      </c>
      <c r="I3904" s="5">
        <v>81.653391062286275</v>
      </c>
    </row>
    <row r="3905" spans="1:9" x14ac:dyDescent="0.2">
      <c r="A3905" s="5" t="s">
        <v>116</v>
      </c>
      <c r="B3905" s="5" t="s">
        <v>64</v>
      </c>
      <c r="C3905" s="5" t="s">
        <v>60</v>
      </c>
      <c r="D3905" s="5">
        <v>618630</v>
      </c>
      <c r="E3905" s="5">
        <v>45955</v>
      </c>
      <c r="F3905" s="5">
        <v>48018440</v>
      </c>
      <c r="G3905" s="5">
        <v>7.4285113880671805</v>
      </c>
      <c r="H3905" s="5">
        <v>1044.901316505277</v>
      </c>
      <c r="I3905" s="5">
        <v>77.620613290658383</v>
      </c>
    </row>
    <row r="3906" spans="1:9" x14ac:dyDescent="0.2">
      <c r="A3906" s="5" t="s">
        <v>116</v>
      </c>
      <c r="B3906" s="5" t="s">
        <v>64</v>
      </c>
      <c r="C3906" s="5" t="s">
        <v>61</v>
      </c>
      <c r="D3906" s="5">
        <v>622688</v>
      </c>
      <c r="E3906" s="5">
        <v>44804</v>
      </c>
      <c r="F3906" s="5">
        <v>46445581</v>
      </c>
      <c r="G3906" s="5">
        <v>7.19525669356082</v>
      </c>
      <c r="H3906" s="5">
        <v>1036.6391616819926</v>
      </c>
      <c r="I3906" s="5">
        <v>74.588848668996349</v>
      </c>
    </row>
    <row r="3907" spans="1:9" x14ac:dyDescent="0.2">
      <c r="A3907" s="5" t="s">
        <v>116</v>
      </c>
      <c r="B3907" s="5" t="s">
        <v>64</v>
      </c>
      <c r="C3907" s="5" t="s">
        <v>62</v>
      </c>
      <c r="D3907" s="5">
        <v>625848</v>
      </c>
      <c r="E3907" s="5">
        <v>43554</v>
      </c>
      <c r="F3907" s="5">
        <v>46703733</v>
      </c>
      <c r="G3907" s="5">
        <v>6.9591977604785829</v>
      </c>
      <c r="H3907" s="5">
        <v>1072.3178812508611</v>
      </c>
      <c r="I3907" s="5">
        <v>74.624721977221313</v>
      </c>
    </row>
    <row r="3908" spans="1:9" x14ac:dyDescent="0.2">
      <c r="A3908" s="5" t="s">
        <v>116</v>
      </c>
      <c r="B3908" s="5" t="s">
        <v>65</v>
      </c>
      <c r="C3908" s="5" t="s">
        <v>45</v>
      </c>
      <c r="D3908" s="5">
        <v>562611</v>
      </c>
      <c r="E3908" s="5">
        <v>35447</v>
      </c>
      <c r="F3908" s="5">
        <v>95644556</v>
      </c>
      <c r="G3908" s="5">
        <v>6.3004456009569667</v>
      </c>
      <c r="H3908" s="5">
        <v>2698.2412051795641</v>
      </c>
      <c r="I3908" s="5">
        <v>170.00121931494408</v>
      </c>
    </row>
    <row r="3909" spans="1:9" x14ac:dyDescent="0.2">
      <c r="A3909" s="5" t="s">
        <v>116</v>
      </c>
      <c r="B3909" s="5" t="s">
        <v>65</v>
      </c>
      <c r="C3909" s="5" t="s">
        <v>46</v>
      </c>
      <c r="D3909" s="5">
        <v>565145</v>
      </c>
      <c r="E3909" s="5">
        <v>34754</v>
      </c>
      <c r="F3909" s="5">
        <v>93518271</v>
      </c>
      <c r="G3909" s="5">
        <v>6.1495722336745438</v>
      </c>
      <c r="H3909" s="5">
        <v>2690.8635265005469</v>
      </c>
      <c r="I3909" s="5">
        <v>165.47659627175327</v>
      </c>
    </row>
    <row r="3910" spans="1:9" x14ac:dyDescent="0.2">
      <c r="A3910" s="5" t="s">
        <v>116</v>
      </c>
      <c r="B3910" s="5" t="s">
        <v>65</v>
      </c>
      <c r="C3910" s="5" t="s">
        <v>47</v>
      </c>
      <c r="D3910" s="5">
        <v>566430</v>
      </c>
      <c r="E3910" s="5">
        <v>34669</v>
      </c>
      <c r="F3910" s="5">
        <v>94665543</v>
      </c>
      <c r="G3910" s="5">
        <v>6.1206150804159387</v>
      </c>
      <c r="H3910" s="5">
        <v>2730.5530300845135</v>
      </c>
      <c r="I3910" s="5">
        <v>167.1266405381071</v>
      </c>
    </row>
    <row r="3911" spans="1:9" x14ac:dyDescent="0.2">
      <c r="A3911" s="5" t="s">
        <v>116</v>
      </c>
      <c r="B3911" s="5" t="s">
        <v>65</v>
      </c>
      <c r="C3911" s="5" t="s">
        <v>48</v>
      </c>
      <c r="D3911" s="5">
        <v>567460</v>
      </c>
      <c r="E3911" s="5">
        <v>34923</v>
      </c>
      <c r="F3911" s="5">
        <v>96482519</v>
      </c>
      <c r="G3911" s="5">
        <v>6.1542663800091635</v>
      </c>
      <c r="H3911" s="5">
        <v>2762.7213870515134</v>
      </c>
      <c r="I3911" s="5">
        <v>170.02523349663412</v>
      </c>
    </row>
    <row r="3912" spans="1:9" x14ac:dyDescent="0.2">
      <c r="A3912" s="5" t="s">
        <v>116</v>
      </c>
      <c r="B3912" s="5" t="s">
        <v>65</v>
      </c>
      <c r="C3912" s="5" t="s">
        <v>49</v>
      </c>
      <c r="D3912" s="5">
        <v>564657</v>
      </c>
      <c r="E3912" s="5">
        <v>34684</v>
      </c>
      <c r="F3912" s="5">
        <v>96972216</v>
      </c>
      <c r="G3912" s="5">
        <v>6.1424900426276485</v>
      </c>
      <c r="H3912" s="5">
        <v>2795.877522777073</v>
      </c>
      <c r="I3912" s="5">
        <v>171.73649844064627</v>
      </c>
    </row>
    <row r="3913" spans="1:9" x14ac:dyDescent="0.2">
      <c r="A3913" s="5" t="s">
        <v>116</v>
      </c>
      <c r="B3913" s="5" t="s">
        <v>65</v>
      </c>
      <c r="C3913" s="5" t="s">
        <v>50</v>
      </c>
      <c r="D3913" s="5">
        <v>560305</v>
      </c>
      <c r="E3913" s="5">
        <v>35329</v>
      </c>
      <c r="F3913" s="5">
        <v>102962809</v>
      </c>
      <c r="G3913" s="5">
        <v>6.3053158547576764</v>
      </c>
      <c r="H3913" s="5">
        <v>2914.3991904667555</v>
      </c>
      <c r="I3913" s="5">
        <v>183.76207422742971</v>
      </c>
    </row>
    <row r="3914" spans="1:9" x14ac:dyDescent="0.2">
      <c r="A3914" s="5" t="s">
        <v>116</v>
      </c>
      <c r="B3914" s="5" t="s">
        <v>65</v>
      </c>
      <c r="C3914" s="5" t="s">
        <v>51</v>
      </c>
      <c r="D3914" s="5">
        <v>554642</v>
      </c>
      <c r="E3914" s="5">
        <v>35043</v>
      </c>
      <c r="F3914" s="5">
        <v>102438748</v>
      </c>
      <c r="G3914" s="5">
        <v>6.3181295322027546</v>
      </c>
      <c r="H3914" s="5">
        <v>2923.229974602631</v>
      </c>
      <c r="I3914" s="5">
        <v>184.69345631957191</v>
      </c>
    </row>
    <row r="3915" spans="1:9" x14ac:dyDescent="0.2">
      <c r="A3915" s="5" t="s">
        <v>116</v>
      </c>
      <c r="B3915" s="5" t="s">
        <v>65</v>
      </c>
      <c r="C3915" s="5" t="s">
        <v>52</v>
      </c>
      <c r="D3915" s="5">
        <v>548939</v>
      </c>
      <c r="E3915" s="5">
        <v>34157</v>
      </c>
      <c r="F3915" s="5">
        <v>100258427</v>
      </c>
      <c r="G3915" s="5">
        <v>6.222367148262375</v>
      </c>
      <c r="H3915" s="5">
        <v>2935.2234388265947</v>
      </c>
      <c r="I3915" s="5">
        <v>182.64037898564322</v>
      </c>
    </row>
    <row r="3916" spans="1:9" x14ac:dyDescent="0.2">
      <c r="A3916" s="5" t="s">
        <v>116</v>
      </c>
      <c r="B3916" s="5" t="s">
        <v>65</v>
      </c>
      <c r="C3916" s="5" t="s">
        <v>53</v>
      </c>
      <c r="D3916" s="5">
        <v>545148</v>
      </c>
      <c r="E3916" s="5">
        <v>33312</v>
      </c>
      <c r="F3916" s="5">
        <v>97962567</v>
      </c>
      <c r="G3916" s="5">
        <v>6.1106341764071406</v>
      </c>
      <c r="H3916" s="5">
        <v>2940.7590958213254</v>
      </c>
      <c r="I3916" s="5">
        <v>179.69903035505953</v>
      </c>
    </row>
    <row r="3917" spans="1:9" x14ac:dyDescent="0.2">
      <c r="A3917" s="5" t="s">
        <v>116</v>
      </c>
      <c r="B3917" s="5" t="s">
        <v>65</v>
      </c>
      <c r="C3917" s="5" t="s">
        <v>54</v>
      </c>
      <c r="D3917" s="5">
        <v>541599</v>
      </c>
      <c r="E3917" s="5">
        <v>31720</v>
      </c>
      <c r="F3917" s="5">
        <v>91644164</v>
      </c>
      <c r="G3917" s="5">
        <v>5.8567316409372987</v>
      </c>
      <c r="H3917" s="5">
        <v>2889.1602774274907</v>
      </c>
      <c r="I3917" s="5">
        <v>169.21036412548767</v>
      </c>
    </row>
    <row r="3918" spans="1:9" x14ac:dyDescent="0.2">
      <c r="A3918" s="5" t="s">
        <v>116</v>
      </c>
      <c r="B3918" s="5" t="s">
        <v>65</v>
      </c>
      <c r="C3918" s="5" t="s">
        <v>55</v>
      </c>
      <c r="D3918" s="5">
        <v>538694</v>
      </c>
      <c r="E3918" s="5">
        <v>30591</v>
      </c>
      <c r="F3918" s="5">
        <v>89547804</v>
      </c>
      <c r="G3918" s="5">
        <v>5.6787341236397655</v>
      </c>
      <c r="H3918" s="5">
        <v>2927.2597822889084</v>
      </c>
      <c r="I3918" s="5">
        <v>166.23130014442336</v>
      </c>
    </row>
    <row r="3919" spans="1:9" x14ac:dyDescent="0.2">
      <c r="A3919" s="5" t="s">
        <v>116</v>
      </c>
      <c r="B3919" s="5" t="s">
        <v>65</v>
      </c>
      <c r="C3919" s="5" t="s">
        <v>56</v>
      </c>
      <c r="D3919" s="5">
        <v>536263</v>
      </c>
      <c r="E3919" s="5">
        <v>29702</v>
      </c>
      <c r="F3919" s="5">
        <v>87739197</v>
      </c>
      <c r="G3919" s="5">
        <v>5.5387002273138366</v>
      </c>
      <c r="H3919" s="5">
        <v>2953.9827957713287</v>
      </c>
      <c r="I3919" s="5">
        <v>163.61225182419821</v>
      </c>
    </row>
    <row r="3920" spans="1:9" x14ac:dyDescent="0.2">
      <c r="A3920" s="5" t="s">
        <v>116</v>
      </c>
      <c r="B3920" s="5" t="s">
        <v>65</v>
      </c>
      <c r="C3920" s="5" t="s">
        <v>57</v>
      </c>
      <c r="D3920" s="5">
        <v>535197</v>
      </c>
      <c r="E3920" s="5">
        <v>28840</v>
      </c>
      <c r="F3920" s="5">
        <v>85331883</v>
      </c>
      <c r="G3920" s="5">
        <v>5.3886699663862094</v>
      </c>
      <c r="H3920" s="5">
        <v>2958.8031553398059</v>
      </c>
      <c r="I3920" s="5">
        <v>159.4401369962836</v>
      </c>
    </row>
    <row r="3921" spans="1:9" x14ac:dyDescent="0.2">
      <c r="A3921" s="5" t="s">
        <v>116</v>
      </c>
      <c r="B3921" s="5" t="s">
        <v>65</v>
      </c>
      <c r="C3921" s="5" t="s">
        <v>58</v>
      </c>
      <c r="D3921" s="5">
        <v>535831</v>
      </c>
      <c r="E3921" s="5">
        <v>28162</v>
      </c>
      <c r="F3921" s="5">
        <v>86642284</v>
      </c>
      <c r="G3921" s="5">
        <v>5.2557616114035959</v>
      </c>
      <c r="H3921" s="5">
        <v>3076.5671472196577</v>
      </c>
      <c r="I3921" s="5">
        <v>161.69703507262551</v>
      </c>
    </row>
    <row r="3922" spans="1:9" x14ac:dyDescent="0.2">
      <c r="A3922" s="5" t="s">
        <v>116</v>
      </c>
      <c r="B3922" s="5" t="s">
        <v>65</v>
      </c>
      <c r="C3922" s="5" t="s">
        <v>59</v>
      </c>
      <c r="D3922" s="5">
        <v>537682</v>
      </c>
      <c r="E3922" s="5">
        <v>28077</v>
      </c>
      <c r="F3922" s="5">
        <v>86991317</v>
      </c>
      <c r="G3922" s="5">
        <v>5.2218597609739588</v>
      </c>
      <c r="H3922" s="5">
        <v>3098.3123909249562</v>
      </c>
      <c r="I3922" s="5">
        <v>161.78952801098046</v>
      </c>
    </row>
    <row r="3923" spans="1:9" x14ac:dyDescent="0.2">
      <c r="A3923" s="5" t="s">
        <v>116</v>
      </c>
      <c r="B3923" s="5" t="s">
        <v>65</v>
      </c>
      <c r="C3923" s="5" t="s">
        <v>60</v>
      </c>
      <c r="D3923" s="5">
        <v>540562</v>
      </c>
      <c r="E3923" s="5">
        <v>28054</v>
      </c>
      <c r="F3923" s="5">
        <v>89246691</v>
      </c>
      <c r="G3923" s="5">
        <v>5.1897839655765665</v>
      </c>
      <c r="H3923" s="5">
        <v>3181.2465602053185</v>
      </c>
      <c r="I3923" s="5">
        <v>165.09982388699169</v>
      </c>
    </row>
    <row r="3924" spans="1:9" x14ac:dyDescent="0.2">
      <c r="A3924" s="5" t="s">
        <v>116</v>
      </c>
      <c r="B3924" s="5" t="s">
        <v>65</v>
      </c>
      <c r="C3924" s="5" t="s">
        <v>61</v>
      </c>
      <c r="D3924" s="5">
        <v>545166</v>
      </c>
      <c r="E3924" s="5">
        <v>28391</v>
      </c>
      <c r="F3924" s="5">
        <v>91937309</v>
      </c>
      <c r="G3924" s="5">
        <v>5.2077715778313394</v>
      </c>
      <c r="H3924" s="5">
        <v>3238.255397837343</v>
      </c>
      <c r="I3924" s="5">
        <v>168.6409442261623</v>
      </c>
    </row>
    <row r="3925" spans="1:9" x14ac:dyDescent="0.2">
      <c r="A3925" s="5" t="s">
        <v>116</v>
      </c>
      <c r="B3925" s="5" t="s">
        <v>65</v>
      </c>
      <c r="C3925" s="5" t="s">
        <v>62</v>
      </c>
      <c r="D3925" s="5">
        <v>548913</v>
      </c>
      <c r="E3925" s="5">
        <v>27831</v>
      </c>
      <c r="F3925" s="5">
        <v>89943749</v>
      </c>
      <c r="G3925" s="5">
        <v>5.0702023817982083</v>
      </c>
      <c r="H3925" s="5">
        <v>3231.7828680248645</v>
      </c>
      <c r="I3925" s="5">
        <v>163.85793194914314</v>
      </c>
    </row>
    <row r="3926" spans="1:9" x14ac:dyDescent="0.2">
      <c r="A3926" s="5" t="s">
        <v>117</v>
      </c>
      <c r="B3926" s="5" t="s">
        <v>44</v>
      </c>
      <c r="C3926" s="5" t="s">
        <v>45</v>
      </c>
      <c r="D3926" s="5">
        <v>255612</v>
      </c>
      <c r="E3926" s="5">
        <v>1411</v>
      </c>
      <c r="F3926" s="5">
        <v>18007549</v>
      </c>
      <c r="G3926" s="5">
        <v>0.55200851290236763</v>
      </c>
      <c r="H3926" s="5">
        <v>12762.260099220412</v>
      </c>
      <c r="I3926" s="5">
        <v>70.448762186438827</v>
      </c>
    </row>
    <row r="3927" spans="1:9" x14ac:dyDescent="0.2">
      <c r="A3927" s="5" t="s">
        <v>117</v>
      </c>
      <c r="B3927" s="5" t="s">
        <v>44</v>
      </c>
      <c r="C3927" s="5" t="s">
        <v>46</v>
      </c>
      <c r="D3927" s="5">
        <v>256268</v>
      </c>
      <c r="E3927" s="5">
        <v>1431</v>
      </c>
      <c r="F3927" s="5">
        <v>18524065</v>
      </c>
      <c r="G3927" s="5">
        <v>0.55839980020915603</v>
      </c>
      <c r="H3927" s="5">
        <v>12944.839273235501</v>
      </c>
      <c r="I3927" s="5">
        <v>72.283956639143398</v>
      </c>
    </row>
    <row r="3928" spans="1:9" x14ac:dyDescent="0.2">
      <c r="A3928" s="5" t="s">
        <v>117</v>
      </c>
      <c r="B3928" s="5" t="s">
        <v>44</v>
      </c>
      <c r="C3928" s="5" t="s">
        <v>47</v>
      </c>
      <c r="D3928" s="5">
        <v>256188</v>
      </c>
      <c r="E3928" s="5">
        <v>1439</v>
      </c>
      <c r="F3928" s="5">
        <v>18949871</v>
      </c>
      <c r="G3928" s="5">
        <v>0.56169687885459119</v>
      </c>
      <c r="H3928" s="5">
        <v>13168.777623349548</v>
      </c>
      <c r="I3928" s="5">
        <v>73.968612893656214</v>
      </c>
    </row>
    <row r="3929" spans="1:9" x14ac:dyDescent="0.2">
      <c r="A3929" s="5" t="s">
        <v>117</v>
      </c>
      <c r="B3929" s="5" t="s">
        <v>44</v>
      </c>
      <c r="C3929" s="5" t="s">
        <v>48</v>
      </c>
      <c r="D3929" s="5">
        <v>255365</v>
      </c>
      <c r="E3929" s="5">
        <v>1419</v>
      </c>
      <c r="F3929" s="5">
        <v>19104026</v>
      </c>
      <c r="G3929" s="5">
        <v>0.5556752099935387</v>
      </c>
      <c r="H3929" s="5">
        <v>13463.020436927414</v>
      </c>
      <c r="I3929" s="5">
        <v>74.810667084369427</v>
      </c>
    </row>
    <row r="3930" spans="1:9" x14ac:dyDescent="0.2">
      <c r="A3930" s="5" t="s">
        <v>117</v>
      </c>
      <c r="B3930" s="5" t="s">
        <v>44</v>
      </c>
      <c r="C3930" s="5" t="s">
        <v>49</v>
      </c>
      <c r="D3930" s="5">
        <v>254170</v>
      </c>
      <c r="E3930" s="5">
        <v>1422</v>
      </c>
      <c r="F3930" s="5">
        <v>19701899</v>
      </c>
      <c r="G3930" s="5">
        <v>0.55946807254986819</v>
      </c>
      <c r="H3930" s="5">
        <v>13855.06258790436</v>
      </c>
      <c r="I3930" s="5">
        <v>77.514651611126411</v>
      </c>
    </row>
    <row r="3931" spans="1:9" x14ac:dyDescent="0.2">
      <c r="A3931" s="5" t="s">
        <v>117</v>
      </c>
      <c r="B3931" s="5" t="s">
        <v>44</v>
      </c>
      <c r="C3931" s="5" t="s">
        <v>50</v>
      </c>
      <c r="D3931" s="5">
        <v>252632</v>
      </c>
      <c r="E3931" s="5">
        <v>1386</v>
      </c>
      <c r="F3931" s="5">
        <v>18373944</v>
      </c>
      <c r="G3931" s="5">
        <v>0.54862408562652398</v>
      </c>
      <c r="H3931" s="5">
        <v>13256.813852813853</v>
      </c>
      <c r="I3931" s="5">
        <v>72.730073783210358</v>
      </c>
    </row>
    <row r="3932" spans="1:9" x14ac:dyDescent="0.2">
      <c r="A3932" s="5" t="s">
        <v>117</v>
      </c>
      <c r="B3932" s="5" t="s">
        <v>44</v>
      </c>
      <c r="C3932" s="5" t="s">
        <v>51</v>
      </c>
      <c r="D3932" s="5">
        <v>251361</v>
      </c>
      <c r="E3932" s="5">
        <v>1349</v>
      </c>
      <c r="F3932" s="5">
        <v>19286560</v>
      </c>
      <c r="G3932" s="5">
        <v>0.53667832320845321</v>
      </c>
      <c r="H3932" s="5">
        <v>14296.931060044477</v>
      </c>
      <c r="I3932" s="5">
        <v>76.728529883315232</v>
      </c>
    </row>
    <row r="3933" spans="1:9" x14ac:dyDescent="0.2">
      <c r="A3933" s="5" t="s">
        <v>117</v>
      </c>
      <c r="B3933" s="5" t="s">
        <v>44</v>
      </c>
      <c r="C3933" s="5" t="s">
        <v>52</v>
      </c>
      <c r="D3933" s="5">
        <v>250773</v>
      </c>
      <c r="E3933" s="5">
        <v>1310</v>
      </c>
      <c r="F3933" s="5">
        <v>17972909</v>
      </c>
      <c r="G3933" s="5">
        <v>0.52238478624094298</v>
      </c>
      <c r="H3933" s="5">
        <v>13719.77786259542</v>
      </c>
      <c r="I3933" s="5">
        <v>71.670032260251304</v>
      </c>
    </row>
    <row r="3934" spans="1:9" x14ac:dyDescent="0.2">
      <c r="A3934" s="5" t="s">
        <v>117</v>
      </c>
      <c r="B3934" s="5" t="s">
        <v>44</v>
      </c>
      <c r="C3934" s="5" t="s">
        <v>53</v>
      </c>
      <c r="D3934" s="5">
        <v>250513</v>
      </c>
      <c r="E3934" s="5">
        <v>1277</v>
      </c>
      <c r="F3934" s="5">
        <v>17227466</v>
      </c>
      <c r="G3934" s="5">
        <v>0.50975398482314294</v>
      </c>
      <c r="H3934" s="5">
        <v>13490.576350822239</v>
      </c>
      <c r="I3934" s="5">
        <v>68.768750523924908</v>
      </c>
    </row>
    <row r="3935" spans="1:9" x14ac:dyDescent="0.2">
      <c r="A3935" s="5" t="s">
        <v>117</v>
      </c>
      <c r="B3935" s="5" t="s">
        <v>44</v>
      </c>
      <c r="C3935" s="5" t="s">
        <v>54</v>
      </c>
      <c r="D3935" s="5">
        <v>250754</v>
      </c>
      <c r="E3935" s="5">
        <v>1259</v>
      </c>
      <c r="F3935" s="5">
        <v>18753402</v>
      </c>
      <c r="G3935" s="5">
        <v>0.50208570950014753</v>
      </c>
      <c r="H3935" s="5">
        <v>14895.474185861794</v>
      </c>
      <c r="I3935" s="5">
        <v>74.78804724949552</v>
      </c>
    </row>
    <row r="3936" spans="1:9" x14ac:dyDescent="0.2">
      <c r="A3936" s="5" t="s">
        <v>117</v>
      </c>
      <c r="B3936" s="5" t="s">
        <v>44</v>
      </c>
      <c r="C3936" s="5" t="s">
        <v>55</v>
      </c>
      <c r="D3936" s="5">
        <v>251323</v>
      </c>
      <c r="E3936" s="5">
        <v>1268</v>
      </c>
      <c r="F3936" s="5">
        <v>18170090</v>
      </c>
      <c r="G3936" s="5">
        <v>0.50453002709660477</v>
      </c>
      <c r="H3936" s="5">
        <v>14329.723974763407</v>
      </c>
      <c r="I3936" s="5">
        <v>72.297760252742492</v>
      </c>
    </row>
    <row r="3937" spans="1:9" x14ac:dyDescent="0.2">
      <c r="A3937" s="5" t="s">
        <v>117</v>
      </c>
      <c r="B3937" s="5" t="s">
        <v>44</v>
      </c>
      <c r="C3937" s="5" t="s">
        <v>56</v>
      </c>
      <c r="D3937" s="5">
        <v>251918</v>
      </c>
      <c r="E3937" s="5">
        <v>1268</v>
      </c>
      <c r="F3937" s="5">
        <v>19037185</v>
      </c>
      <c r="G3937" s="5">
        <v>0.50333838788812235</v>
      </c>
      <c r="H3937" s="5">
        <v>15013.552839116719</v>
      </c>
      <c r="I3937" s="5">
        <v>75.56897482514151</v>
      </c>
    </row>
    <row r="3938" spans="1:9" x14ac:dyDescent="0.2">
      <c r="A3938" s="5" t="s">
        <v>117</v>
      </c>
      <c r="B3938" s="5" t="s">
        <v>44</v>
      </c>
      <c r="C3938" s="5" t="s">
        <v>57</v>
      </c>
      <c r="D3938" s="5">
        <v>252759</v>
      </c>
      <c r="E3938" s="5">
        <v>1288</v>
      </c>
      <c r="F3938" s="5">
        <v>19765461</v>
      </c>
      <c r="G3938" s="5">
        <v>0.50957631577906226</v>
      </c>
      <c r="H3938" s="5">
        <v>15345.854813664597</v>
      </c>
      <c r="I3938" s="5">
        <v>78.198841584275925</v>
      </c>
    </row>
    <row r="3939" spans="1:9" x14ac:dyDescent="0.2">
      <c r="A3939" s="5" t="s">
        <v>117</v>
      </c>
      <c r="B3939" s="5" t="s">
        <v>44</v>
      </c>
      <c r="C3939" s="5" t="s">
        <v>58</v>
      </c>
      <c r="D3939" s="5">
        <v>253882</v>
      </c>
      <c r="E3939" s="5">
        <v>1327</v>
      </c>
      <c r="F3939" s="5">
        <v>20253965</v>
      </c>
      <c r="G3939" s="5">
        <v>0.52268376647418879</v>
      </c>
      <c r="H3939" s="5">
        <v>15262.972871137905</v>
      </c>
      <c r="I3939" s="5">
        <v>79.777081478797243</v>
      </c>
    </row>
    <row r="3940" spans="1:9" x14ac:dyDescent="0.2">
      <c r="A3940" s="5" t="s">
        <v>117</v>
      </c>
      <c r="B3940" s="5" t="s">
        <v>44</v>
      </c>
      <c r="C3940" s="5" t="s">
        <v>59</v>
      </c>
      <c r="D3940" s="5">
        <v>254962</v>
      </c>
      <c r="E3940" s="5">
        <v>1357</v>
      </c>
      <c r="F3940" s="5">
        <v>19412224</v>
      </c>
      <c r="G3940" s="5">
        <v>0.53223617637138088</v>
      </c>
      <c r="H3940" s="5">
        <v>14305.249815770081</v>
      </c>
      <c r="I3940" s="5">
        <v>76.137714639828687</v>
      </c>
    </row>
    <row r="3941" spans="1:9" x14ac:dyDescent="0.2">
      <c r="A3941" s="5" t="s">
        <v>117</v>
      </c>
      <c r="B3941" s="5" t="s">
        <v>44</v>
      </c>
      <c r="C3941" s="5" t="s">
        <v>60</v>
      </c>
      <c r="D3941" s="5">
        <v>256139</v>
      </c>
      <c r="E3941" s="5">
        <v>1422</v>
      </c>
      <c r="F3941" s="5">
        <v>19753389</v>
      </c>
      <c r="G3941" s="5">
        <v>0.55516731149883458</v>
      </c>
      <c r="H3941" s="5">
        <v>13891.272151898735</v>
      </c>
      <c r="I3941" s="5">
        <v>77.119802138682516</v>
      </c>
    </row>
    <row r="3942" spans="1:9" x14ac:dyDescent="0.2">
      <c r="A3942" s="5" t="s">
        <v>117</v>
      </c>
      <c r="B3942" s="5" t="s">
        <v>44</v>
      </c>
      <c r="C3942" s="5" t="s">
        <v>61</v>
      </c>
      <c r="D3942" s="5">
        <v>257388</v>
      </c>
      <c r="E3942" s="5">
        <v>1431</v>
      </c>
      <c r="F3942" s="5">
        <v>19115236</v>
      </c>
      <c r="G3942" s="5">
        <v>0.55596997529022329</v>
      </c>
      <c r="H3942" s="5">
        <v>13357.956673654788</v>
      </c>
      <c r="I3942" s="5">
        <v>74.266228417797251</v>
      </c>
    </row>
    <row r="3943" spans="1:9" x14ac:dyDescent="0.2">
      <c r="A3943" s="5" t="s">
        <v>117</v>
      </c>
      <c r="B3943" s="5" t="s">
        <v>44</v>
      </c>
      <c r="C3943" s="5" t="s">
        <v>62</v>
      </c>
      <c r="D3943" s="5">
        <v>258469</v>
      </c>
      <c r="E3943" s="5">
        <v>1457</v>
      </c>
      <c r="F3943" s="5">
        <v>17934930</v>
      </c>
      <c r="G3943" s="5">
        <v>0.56370396449864391</v>
      </c>
      <c r="H3943" s="5">
        <v>12309.49210706932</v>
      </c>
      <c r="I3943" s="5">
        <v>69.38909501719742</v>
      </c>
    </row>
    <row r="3944" spans="1:9" x14ac:dyDescent="0.2">
      <c r="A3944" s="5" t="s">
        <v>117</v>
      </c>
      <c r="B3944" s="5" t="s">
        <v>63</v>
      </c>
      <c r="C3944" s="5" t="s">
        <v>45</v>
      </c>
      <c r="D3944" s="5">
        <v>255612</v>
      </c>
      <c r="E3944" s="5">
        <v>7145</v>
      </c>
      <c r="F3944" s="5">
        <v>15023904</v>
      </c>
      <c r="G3944" s="5">
        <v>2.7952521790839242</v>
      </c>
      <c r="H3944" s="5">
        <v>2102.7157452764172</v>
      </c>
      <c r="I3944" s="5">
        <v>58.776207689779824</v>
      </c>
    </row>
    <row r="3945" spans="1:9" x14ac:dyDescent="0.2">
      <c r="A3945" s="5" t="s">
        <v>117</v>
      </c>
      <c r="B3945" s="5" t="s">
        <v>63</v>
      </c>
      <c r="C3945" s="5" t="s">
        <v>46</v>
      </c>
      <c r="D3945" s="5">
        <v>256268</v>
      </c>
      <c r="E3945" s="5">
        <v>7033</v>
      </c>
      <c r="F3945" s="5">
        <v>14923881</v>
      </c>
      <c r="G3945" s="5">
        <v>2.744392589008382</v>
      </c>
      <c r="H3945" s="5">
        <v>2121.9793829091427</v>
      </c>
      <c r="I3945" s="5">
        <v>58.235444924844302</v>
      </c>
    </row>
    <row r="3946" spans="1:9" x14ac:dyDescent="0.2">
      <c r="A3946" s="5" t="s">
        <v>117</v>
      </c>
      <c r="B3946" s="5" t="s">
        <v>63</v>
      </c>
      <c r="C3946" s="5" t="s">
        <v>47</v>
      </c>
      <c r="D3946" s="5">
        <v>256188</v>
      </c>
      <c r="E3946" s="5">
        <v>7148</v>
      </c>
      <c r="F3946" s="5">
        <v>15144934</v>
      </c>
      <c r="G3946" s="5">
        <v>2.7901384920449046</v>
      </c>
      <c r="H3946" s="5">
        <v>2118.7652490207051</v>
      </c>
      <c r="I3946" s="5">
        <v>59.116484768997765</v>
      </c>
    </row>
    <row r="3947" spans="1:9" x14ac:dyDescent="0.2">
      <c r="A3947" s="5" t="s">
        <v>117</v>
      </c>
      <c r="B3947" s="5" t="s">
        <v>63</v>
      </c>
      <c r="C3947" s="5" t="s">
        <v>48</v>
      </c>
      <c r="D3947" s="5">
        <v>255365</v>
      </c>
      <c r="E3947" s="5">
        <v>7075</v>
      </c>
      <c r="F3947" s="5">
        <v>15529819</v>
      </c>
      <c r="G3947" s="5">
        <v>2.7705441231178902</v>
      </c>
      <c r="H3947" s="5">
        <v>2195.0274204946995</v>
      </c>
      <c r="I3947" s="5">
        <v>60.814203199342117</v>
      </c>
    </row>
    <row r="3948" spans="1:9" x14ac:dyDescent="0.2">
      <c r="A3948" s="5" t="s">
        <v>117</v>
      </c>
      <c r="B3948" s="5" t="s">
        <v>63</v>
      </c>
      <c r="C3948" s="5" t="s">
        <v>49</v>
      </c>
      <c r="D3948" s="5">
        <v>254170</v>
      </c>
      <c r="E3948" s="5">
        <v>7009</v>
      </c>
      <c r="F3948" s="5">
        <v>15470063</v>
      </c>
      <c r="G3948" s="5">
        <v>2.7576031789747018</v>
      </c>
      <c r="H3948" s="5">
        <v>2207.1712084462833</v>
      </c>
      <c r="I3948" s="5">
        <v>60.865023409529059</v>
      </c>
    </row>
    <row r="3949" spans="1:9" x14ac:dyDescent="0.2">
      <c r="A3949" s="5" t="s">
        <v>117</v>
      </c>
      <c r="B3949" s="5" t="s">
        <v>63</v>
      </c>
      <c r="C3949" s="5" t="s">
        <v>50</v>
      </c>
      <c r="D3949" s="5">
        <v>252632</v>
      </c>
      <c r="E3949" s="5">
        <v>6740</v>
      </c>
      <c r="F3949" s="5">
        <v>14993918</v>
      </c>
      <c r="G3949" s="5">
        <v>2.6679122201462997</v>
      </c>
      <c r="H3949" s="5">
        <v>2224.6169139465874</v>
      </c>
      <c r="I3949" s="5">
        <v>59.350826498622503</v>
      </c>
    </row>
    <row r="3950" spans="1:9" x14ac:dyDescent="0.2">
      <c r="A3950" s="5" t="s">
        <v>117</v>
      </c>
      <c r="B3950" s="5" t="s">
        <v>63</v>
      </c>
      <c r="C3950" s="5" t="s">
        <v>51</v>
      </c>
      <c r="D3950" s="5">
        <v>251361</v>
      </c>
      <c r="E3950" s="5">
        <v>6510</v>
      </c>
      <c r="F3950" s="5">
        <v>14961904</v>
      </c>
      <c r="G3950" s="5">
        <v>2.5899005812357525</v>
      </c>
      <c r="H3950" s="5">
        <v>2298.2955453149002</v>
      </c>
      <c r="I3950" s="5">
        <v>59.523569686626011</v>
      </c>
    </row>
    <row r="3951" spans="1:9" x14ac:dyDescent="0.2">
      <c r="A3951" s="5" t="s">
        <v>117</v>
      </c>
      <c r="B3951" s="5" t="s">
        <v>63</v>
      </c>
      <c r="C3951" s="5" t="s">
        <v>52</v>
      </c>
      <c r="D3951" s="5">
        <v>250773</v>
      </c>
      <c r="E3951" s="5">
        <v>6351</v>
      </c>
      <c r="F3951" s="5">
        <v>14348885</v>
      </c>
      <c r="G3951" s="5">
        <v>2.5325692957375794</v>
      </c>
      <c r="H3951" s="5">
        <v>2259.3111321051801</v>
      </c>
      <c r="I3951" s="5">
        <v>57.218620026876899</v>
      </c>
    </row>
    <row r="3952" spans="1:9" x14ac:dyDescent="0.2">
      <c r="A3952" s="5" t="s">
        <v>117</v>
      </c>
      <c r="B3952" s="5" t="s">
        <v>63</v>
      </c>
      <c r="C3952" s="5" t="s">
        <v>53</v>
      </c>
      <c r="D3952" s="5">
        <v>250513</v>
      </c>
      <c r="E3952" s="5">
        <v>6305</v>
      </c>
      <c r="F3952" s="5">
        <v>14783092</v>
      </c>
      <c r="G3952" s="5">
        <v>2.516835453649112</v>
      </c>
      <c r="H3952" s="5">
        <v>2344.6616970658206</v>
      </c>
      <c r="I3952" s="5">
        <v>59.011276859883516</v>
      </c>
    </row>
    <row r="3953" spans="1:9" x14ac:dyDescent="0.2">
      <c r="A3953" s="5" t="s">
        <v>117</v>
      </c>
      <c r="B3953" s="5" t="s">
        <v>63</v>
      </c>
      <c r="C3953" s="5" t="s">
        <v>54</v>
      </c>
      <c r="D3953" s="5">
        <v>250754</v>
      </c>
      <c r="E3953" s="5">
        <v>6246</v>
      </c>
      <c r="F3953" s="5">
        <v>14858231</v>
      </c>
      <c r="G3953" s="5">
        <v>2.4908874833502157</v>
      </c>
      <c r="H3953" s="5">
        <v>2378.8394172270255</v>
      </c>
      <c r="I3953" s="5">
        <v>59.254213292709188</v>
      </c>
    </row>
    <row r="3954" spans="1:9" x14ac:dyDescent="0.2">
      <c r="A3954" s="5" t="s">
        <v>117</v>
      </c>
      <c r="B3954" s="5" t="s">
        <v>63</v>
      </c>
      <c r="C3954" s="5" t="s">
        <v>55</v>
      </c>
      <c r="D3954" s="5">
        <v>251323</v>
      </c>
      <c r="E3954" s="5">
        <v>6281</v>
      </c>
      <c r="F3954" s="5">
        <v>14831560</v>
      </c>
      <c r="G3954" s="5">
        <v>2.4991743692379926</v>
      </c>
      <c r="H3954" s="5">
        <v>2361.3373666613597</v>
      </c>
      <c r="I3954" s="5">
        <v>59.013938238840062</v>
      </c>
    </row>
    <row r="3955" spans="1:9" x14ac:dyDescent="0.2">
      <c r="A3955" s="5" t="s">
        <v>117</v>
      </c>
      <c r="B3955" s="5" t="s">
        <v>63</v>
      </c>
      <c r="C3955" s="5" t="s">
        <v>56</v>
      </c>
      <c r="D3955" s="5">
        <v>251918</v>
      </c>
      <c r="E3955" s="5">
        <v>6281</v>
      </c>
      <c r="F3955" s="5">
        <v>15128295</v>
      </c>
      <c r="G3955" s="5">
        <v>2.49327162013036</v>
      </c>
      <c r="H3955" s="5">
        <v>2408.5806400254737</v>
      </c>
      <c r="I3955" s="5">
        <v>60.052457545709316</v>
      </c>
    </row>
    <row r="3956" spans="1:9" x14ac:dyDescent="0.2">
      <c r="A3956" s="5" t="s">
        <v>117</v>
      </c>
      <c r="B3956" s="5" t="s">
        <v>63</v>
      </c>
      <c r="C3956" s="5" t="s">
        <v>57</v>
      </c>
      <c r="D3956" s="5">
        <v>252759</v>
      </c>
      <c r="E3956" s="5">
        <v>6190</v>
      </c>
      <c r="F3956" s="5">
        <v>14719272</v>
      </c>
      <c r="G3956" s="5">
        <v>2.4489731325096238</v>
      </c>
      <c r="H3956" s="5">
        <v>2377.9114701130857</v>
      </c>
      <c r="I3956" s="5">
        <v>58.234413017934081</v>
      </c>
    </row>
    <row r="3957" spans="1:9" x14ac:dyDescent="0.2">
      <c r="A3957" s="5" t="s">
        <v>117</v>
      </c>
      <c r="B3957" s="5" t="s">
        <v>63</v>
      </c>
      <c r="C3957" s="5" t="s">
        <v>58</v>
      </c>
      <c r="D3957" s="5">
        <v>253882</v>
      </c>
      <c r="E3957" s="5">
        <v>6228</v>
      </c>
      <c r="F3957" s="5">
        <v>14812125</v>
      </c>
      <c r="G3957" s="5">
        <v>2.4531081368509779</v>
      </c>
      <c r="H3957" s="5">
        <v>2378.3116570327552</v>
      </c>
      <c r="I3957" s="5">
        <v>58.342556778345845</v>
      </c>
    </row>
    <row r="3958" spans="1:9" x14ac:dyDescent="0.2">
      <c r="A3958" s="5" t="s">
        <v>117</v>
      </c>
      <c r="B3958" s="5" t="s">
        <v>63</v>
      </c>
      <c r="C3958" s="5" t="s">
        <v>59</v>
      </c>
      <c r="D3958" s="5">
        <v>254962</v>
      </c>
      <c r="E3958" s="5">
        <v>6213</v>
      </c>
      <c r="F3958" s="5">
        <v>14976060</v>
      </c>
      <c r="G3958" s="5">
        <v>2.4368337242412594</v>
      </c>
      <c r="H3958" s="5">
        <v>2410.4394012554321</v>
      </c>
      <c r="I3958" s="5">
        <v>58.738400232191466</v>
      </c>
    </row>
    <row r="3959" spans="1:9" x14ac:dyDescent="0.2">
      <c r="A3959" s="5" t="s">
        <v>117</v>
      </c>
      <c r="B3959" s="5" t="s">
        <v>63</v>
      </c>
      <c r="C3959" s="5" t="s">
        <v>60</v>
      </c>
      <c r="D3959" s="5">
        <v>256139</v>
      </c>
      <c r="E3959" s="5">
        <v>6218</v>
      </c>
      <c r="F3959" s="5">
        <v>15067257</v>
      </c>
      <c r="G3959" s="5">
        <v>2.4275881454991235</v>
      </c>
      <c r="H3959" s="5">
        <v>2423.1677388227727</v>
      </c>
      <c r="I3959" s="5">
        <v>58.824532773220788</v>
      </c>
    </row>
    <row r="3960" spans="1:9" x14ac:dyDescent="0.2">
      <c r="A3960" s="5" t="s">
        <v>117</v>
      </c>
      <c r="B3960" s="5" t="s">
        <v>63</v>
      </c>
      <c r="C3960" s="5" t="s">
        <v>61</v>
      </c>
      <c r="D3960" s="5">
        <v>257388</v>
      </c>
      <c r="E3960" s="5">
        <v>6197</v>
      </c>
      <c r="F3960" s="5">
        <v>15373099</v>
      </c>
      <c r="G3960" s="5">
        <v>2.4076491522526302</v>
      </c>
      <c r="H3960" s="5">
        <v>2480.7324511860579</v>
      </c>
      <c r="I3960" s="5">
        <v>59.727333830637015</v>
      </c>
    </row>
    <row r="3961" spans="1:9" x14ac:dyDescent="0.2">
      <c r="A3961" s="5" t="s">
        <v>117</v>
      </c>
      <c r="B3961" s="5" t="s">
        <v>63</v>
      </c>
      <c r="C3961" s="5" t="s">
        <v>62</v>
      </c>
      <c r="D3961" s="5">
        <v>258469</v>
      </c>
      <c r="E3961" s="5">
        <v>6172</v>
      </c>
      <c r="F3961" s="5">
        <v>15770459</v>
      </c>
      <c r="G3961" s="5">
        <v>2.3879072538679686</v>
      </c>
      <c r="H3961" s="5">
        <v>2555.1618600129618</v>
      </c>
      <c r="I3961" s="5">
        <v>61.014895403317226</v>
      </c>
    </row>
    <row r="3962" spans="1:9" x14ac:dyDescent="0.2">
      <c r="A3962" s="5" t="s">
        <v>117</v>
      </c>
      <c r="B3962" s="5" t="s">
        <v>64</v>
      </c>
      <c r="C3962" s="5" t="s">
        <v>45</v>
      </c>
      <c r="D3962" s="5">
        <v>181638</v>
      </c>
      <c r="E3962" s="5">
        <v>32834</v>
      </c>
      <c r="F3962" s="5">
        <v>18695163</v>
      </c>
      <c r="G3962" s="5">
        <v>18.07661392439908</v>
      </c>
      <c r="H3962" s="5">
        <v>569.38426630931349</v>
      </c>
      <c r="I3962" s="5">
        <v>102.9253955670069</v>
      </c>
    </row>
    <row r="3963" spans="1:9" x14ac:dyDescent="0.2">
      <c r="A3963" s="5" t="s">
        <v>117</v>
      </c>
      <c r="B3963" s="5" t="s">
        <v>64</v>
      </c>
      <c r="C3963" s="5" t="s">
        <v>46</v>
      </c>
      <c r="D3963" s="5">
        <v>182722</v>
      </c>
      <c r="E3963" s="5">
        <v>32122</v>
      </c>
      <c r="F3963" s="5">
        <v>18709632</v>
      </c>
      <c r="G3963" s="5">
        <v>17.579711255349658</v>
      </c>
      <c r="H3963" s="5">
        <v>582.45538883008533</v>
      </c>
      <c r="I3963" s="5">
        <v>102.39397554755311</v>
      </c>
    </row>
    <row r="3964" spans="1:9" x14ac:dyDescent="0.2">
      <c r="A3964" s="5" t="s">
        <v>117</v>
      </c>
      <c r="B3964" s="5" t="s">
        <v>64</v>
      </c>
      <c r="C3964" s="5" t="s">
        <v>47</v>
      </c>
      <c r="D3964" s="5">
        <v>183260</v>
      </c>
      <c r="E3964" s="5">
        <v>31414</v>
      </c>
      <c r="F3964" s="5">
        <v>18627804</v>
      </c>
      <c r="G3964" s="5">
        <v>17.141765797227983</v>
      </c>
      <c r="H3964" s="5">
        <v>592.97778060737255</v>
      </c>
      <c r="I3964" s="5">
        <v>101.64686238131617</v>
      </c>
    </row>
    <row r="3965" spans="1:9" x14ac:dyDescent="0.2">
      <c r="A3965" s="5" t="s">
        <v>117</v>
      </c>
      <c r="B3965" s="5" t="s">
        <v>64</v>
      </c>
      <c r="C3965" s="5" t="s">
        <v>48</v>
      </c>
      <c r="D3965" s="5">
        <v>183301</v>
      </c>
      <c r="E3965" s="5">
        <v>34029</v>
      </c>
      <c r="F3965" s="5">
        <v>25468611</v>
      </c>
      <c r="G3965" s="5">
        <v>18.564546838260565</v>
      </c>
      <c r="H3965" s="5">
        <v>748.43842017103054</v>
      </c>
      <c r="I3965" s="5">
        <v>138.94420106818839</v>
      </c>
    </row>
    <row r="3966" spans="1:9" x14ac:dyDescent="0.2">
      <c r="A3966" s="5" t="s">
        <v>117</v>
      </c>
      <c r="B3966" s="5" t="s">
        <v>64</v>
      </c>
      <c r="C3966" s="5" t="s">
        <v>49</v>
      </c>
      <c r="D3966" s="5">
        <v>182932</v>
      </c>
      <c r="E3966" s="5">
        <v>34161</v>
      </c>
      <c r="F3966" s="5">
        <v>25628384</v>
      </c>
      <c r="G3966" s="5">
        <v>18.674152143966065</v>
      </c>
      <c r="H3966" s="5">
        <v>750.22347120985921</v>
      </c>
      <c r="I3966" s="5">
        <v>140.09787243347256</v>
      </c>
    </row>
    <row r="3967" spans="1:9" x14ac:dyDescent="0.2">
      <c r="A3967" s="5" t="s">
        <v>117</v>
      </c>
      <c r="B3967" s="5" t="s">
        <v>64</v>
      </c>
      <c r="C3967" s="5" t="s">
        <v>50</v>
      </c>
      <c r="D3967" s="5">
        <v>182104</v>
      </c>
      <c r="E3967" s="5">
        <v>33767</v>
      </c>
      <c r="F3967" s="5">
        <v>25439007</v>
      </c>
      <c r="G3967" s="5">
        <v>18.542700874225716</v>
      </c>
      <c r="H3967" s="5">
        <v>753.36888086001125</v>
      </c>
      <c r="I3967" s="5">
        <v>139.6949380573738</v>
      </c>
    </row>
    <row r="3968" spans="1:9" x14ac:dyDescent="0.2">
      <c r="A3968" s="5" t="s">
        <v>117</v>
      </c>
      <c r="B3968" s="5" t="s">
        <v>64</v>
      </c>
      <c r="C3968" s="5" t="s">
        <v>51</v>
      </c>
      <c r="D3968" s="5">
        <v>181255</v>
      </c>
      <c r="E3968" s="5">
        <v>33986</v>
      </c>
      <c r="F3968" s="5">
        <v>29240141</v>
      </c>
      <c r="G3968" s="5">
        <v>18.750379299881384</v>
      </c>
      <c r="H3968" s="5">
        <v>860.35841228741242</v>
      </c>
      <c r="I3968" s="5">
        <v>161.32046564232712</v>
      </c>
    </row>
    <row r="3969" spans="1:9" x14ac:dyDescent="0.2">
      <c r="A3969" s="5" t="s">
        <v>117</v>
      </c>
      <c r="B3969" s="5" t="s">
        <v>64</v>
      </c>
      <c r="C3969" s="5" t="s">
        <v>52</v>
      </c>
      <c r="D3969" s="5">
        <v>180564</v>
      </c>
      <c r="E3969" s="5">
        <v>32164</v>
      </c>
      <c r="F3969" s="5">
        <v>28674756</v>
      </c>
      <c r="G3969" s="5">
        <v>17.813074588511554</v>
      </c>
      <c r="H3969" s="5">
        <v>891.51709986320111</v>
      </c>
      <c r="I3969" s="5">
        <v>158.80660596796704</v>
      </c>
    </row>
    <row r="3970" spans="1:9" x14ac:dyDescent="0.2">
      <c r="A3970" s="5" t="s">
        <v>117</v>
      </c>
      <c r="B3970" s="5" t="s">
        <v>64</v>
      </c>
      <c r="C3970" s="5" t="s">
        <v>53</v>
      </c>
      <c r="D3970" s="5">
        <v>180087</v>
      </c>
      <c r="E3970" s="5">
        <v>30788</v>
      </c>
      <c r="F3970" s="5">
        <v>27463280</v>
      </c>
      <c r="G3970" s="5">
        <v>17.096181290154203</v>
      </c>
      <c r="H3970" s="5">
        <v>892.01247239184102</v>
      </c>
      <c r="I3970" s="5">
        <v>152.50006941089583</v>
      </c>
    </row>
    <row r="3971" spans="1:9" x14ac:dyDescent="0.2">
      <c r="A3971" s="5" t="s">
        <v>117</v>
      </c>
      <c r="B3971" s="5" t="s">
        <v>64</v>
      </c>
      <c r="C3971" s="5" t="s">
        <v>54</v>
      </c>
      <c r="D3971" s="5">
        <v>179960</v>
      </c>
      <c r="E3971" s="5">
        <v>30500</v>
      </c>
      <c r="F3971" s="5">
        <v>27326742</v>
      </c>
      <c r="G3971" s="5">
        <v>16.948210713491886</v>
      </c>
      <c r="H3971" s="5">
        <v>895.9587540983606</v>
      </c>
      <c r="I3971" s="5">
        <v>151.84897755056679</v>
      </c>
    </row>
    <row r="3972" spans="1:9" x14ac:dyDescent="0.2">
      <c r="A3972" s="5" t="s">
        <v>117</v>
      </c>
      <c r="B3972" s="5" t="s">
        <v>64</v>
      </c>
      <c r="C3972" s="5" t="s">
        <v>55</v>
      </c>
      <c r="D3972" s="5">
        <v>179964</v>
      </c>
      <c r="E3972" s="5">
        <v>29155</v>
      </c>
      <c r="F3972" s="5">
        <v>23000588</v>
      </c>
      <c r="G3972" s="5">
        <v>16.200462314685158</v>
      </c>
      <c r="H3972" s="5">
        <v>788.90715143200134</v>
      </c>
      <c r="I3972" s="5">
        <v>127.80660576559757</v>
      </c>
    </row>
    <row r="3973" spans="1:9" x14ac:dyDescent="0.2">
      <c r="A3973" s="5" t="s">
        <v>117</v>
      </c>
      <c r="B3973" s="5" t="s">
        <v>64</v>
      </c>
      <c r="C3973" s="5" t="s">
        <v>56</v>
      </c>
      <c r="D3973" s="5">
        <v>180138</v>
      </c>
      <c r="E3973" s="5">
        <v>26184</v>
      </c>
      <c r="F3973" s="5">
        <v>14276783</v>
      </c>
      <c r="G3973" s="5">
        <v>14.535522765879492</v>
      </c>
      <c r="H3973" s="5">
        <v>545.24835777574094</v>
      </c>
      <c r="I3973" s="5">
        <v>79.25469917507688</v>
      </c>
    </row>
    <row r="3974" spans="1:9" x14ac:dyDescent="0.2">
      <c r="A3974" s="5" t="s">
        <v>117</v>
      </c>
      <c r="B3974" s="5" t="s">
        <v>64</v>
      </c>
      <c r="C3974" s="5" t="s">
        <v>57</v>
      </c>
      <c r="D3974" s="5">
        <v>180436</v>
      </c>
      <c r="E3974" s="5">
        <v>25887</v>
      </c>
      <c r="F3974" s="5">
        <v>13824617</v>
      </c>
      <c r="G3974" s="5">
        <v>14.346915249728436</v>
      </c>
      <c r="H3974" s="5">
        <v>534.03704562135431</v>
      </c>
      <c r="I3974" s="5">
        <v>76.617842337449289</v>
      </c>
    </row>
    <row r="3975" spans="1:9" x14ac:dyDescent="0.2">
      <c r="A3975" s="5" t="s">
        <v>117</v>
      </c>
      <c r="B3975" s="5" t="s">
        <v>64</v>
      </c>
      <c r="C3975" s="5" t="s">
        <v>58</v>
      </c>
      <c r="D3975" s="5">
        <v>180948</v>
      </c>
      <c r="E3975" s="5">
        <v>25504</v>
      </c>
      <c r="F3975" s="5">
        <v>13726828</v>
      </c>
      <c r="G3975" s="5">
        <v>14.094657028538586</v>
      </c>
      <c r="H3975" s="5">
        <v>538.22255332496866</v>
      </c>
      <c r="I3975" s="5">
        <v>75.860622941397523</v>
      </c>
    </row>
    <row r="3976" spans="1:9" x14ac:dyDescent="0.2">
      <c r="A3976" s="5" t="s">
        <v>117</v>
      </c>
      <c r="B3976" s="5" t="s">
        <v>64</v>
      </c>
      <c r="C3976" s="5" t="s">
        <v>59</v>
      </c>
      <c r="D3976" s="5">
        <v>181645</v>
      </c>
      <c r="E3976" s="5">
        <v>25260</v>
      </c>
      <c r="F3976" s="5">
        <v>13130782</v>
      </c>
      <c r="G3976" s="5">
        <v>13.906245699028325</v>
      </c>
      <c r="H3976" s="5">
        <v>519.82509897070463</v>
      </c>
      <c r="I3976" s="5">
        <v>72.288155468083346</v>
      </c>
    </row>
    <row r="3977" spans="1:9" x14ac:dyDescent="0.2">
      <c r="A3977" s="5" t="s">
        <v>117</v>
      </c>
      <c r="B3977" s="5" t="s">
        <v>64</v>
      </c>
      <c r="C3977" s="5" t="s">
        <v>60</v>
      </c>
      <c r="D3977" s="5">
        <v>182575</v>
      </c>
      <c r="E3977" s="5">
        <v>24817</v>
      </c>
      <c r="F3977" s="5">
        <v>13613423</v>
      </c>
      <c r="G3977" s="5">
        <v>13.59277009448172</v>
      </c>
      <c r="H3977" s="5">
        <v>548.55232300439218</v>
      </c>
      <c r="I3977" s="5">
        <v>74.563456113925781</v>
      </c>
    </row>
    <row r="3978" spans="1:9" x14ac:dyDescent="0.2">
      <c r="A3978" s="5" t="s">
        <v>117</v>
      </c>
      <c r="B3978" s="5" t="s">
        <v>64</v>
      </c>
      <c r="C3978" s="5" t="s">
        <v>61</v>
      </c>
      <c r="D3978" s="5">
        <v>183711</v>
      </c>
      <c r="E3978" s="5">
        <v>23945</v>
      </c>
      <c r="F3978" s="5">
        <v>14087087</v>
      </c>
      <c r="G3978" s="5">
        <v>13.034058929514291</v>
      </c>
      <c r="H3978" s="5">
        <v>588.31016913760698</v>
      </c>
      <c r="I3978" s="5">
        <v>76.680694133720905</v>
      </c>
    </row>
    <row r="3979" spans="1:9" x14ac:dyDescent="0.2">
      <c r="A3979" s="5" t="s">
        <v>117</v>
      </c>
      <c r="B3979" s="5" t="s">
        <v>64</v>
      </c>
      <c r="C3979" s="5" t="s">
        <v>62</v>
      </c>
      <c r="D3979" s="5">
        <v>184881</v>
      </c>
      <c r="E3979" s="5">
        <v>22796</v>
      </c>
      <c r="F3979" s="5">
        <v>13811311</v>
      </c>
      <c r="G3979" s="5">
        <v>12.330093411437627</v>
      </c>
      <c r="H3979" s="5">
        <v>605.86554658712055</v>
      </c>
      <c r="I3979" s="5">
        <v>74.703787841909119</v>
      </c>
    </row>
    <row r="3980" spans="1:9" x14ac:dyDescent="0.2">
      <c r="A3980" s="5" t="s">
        <v>117</v>
      </c>
      <c r="B3980" s="5" t="s">
        <v>65</v>
      </c>
      <c r="C3980" s="5" t="s">
        <v>45</v>
      </c>
      <c r="D3980" s="5">
        <v>173672</v>
      </c>
      <c r="E3980" s="5">
        <v>8712</v>
      </c>
      <c r="F3980" s="5">
        <v>21793629</v>
      </c>
      <c r="G3980" s="5">
        <v>5.0163526647934038</v>
      </c>
      <c r="H3980" s="5">
        <v>2501.564393939394</v>
      </c>
      <c r="I3980" s="5">
        <v>125.48729213690174</v>
      </c>
    </row>
    <row r="3981" spans="1:9" x14ac:dyDescent="0.2">
      <c r="A3981" s="5" t="s">
        <v>117</v>
      </c>
      <c r="B3981" s="5" t="s">
        <v>65</v>
      </c>
      <c r="C3981" s="5" t="s">
        <v>46</v>
      </c>
      <c r="D3981" s="5">
        <v>174825</v>
      </c>
      <c r="E3981" s="5">
        <v>8549</v>
      </c>
      <c r="F3981" s="5">
        <v>21067820</v>
      </c>
      <c r="G3981" s="5">
        <v>4.8900328900328898</v>
      </c>
      <c r="H3981" s="5">
        <v>2464.3607439466605</v>
      </c>
      <c r="I3981" s="5">
        <v>120.5080509080509</v>
      </c>
    </row>
    <row r="3982" spans="1:9" x14ac:dyDescent="0.2">
      <c r="A3982" s="5" t="s">
        <v>117</v>
      </c>
      <c r="B3982" s="5" t="s">
        <v>65</v>
      </c>
      <c r="C3982" s="5" t="s">
        <v>47</v>
      </c>
      <c r="D3982" s="5">
        <v>175469</v>
      </c>
      <c r="E3982" s="5">
        <v>8727</v>
      </c>
      <c r="F3982" s="5">
        <v>22104123</v>
      </c>
      <c r="G3982" s="5">
        <v>4.9735280875824222</v>
      </c>
      <c r="H3982" s="5">
        <v>2532.8432451014096</v>
      </c>
      <c r="I3982" s="5">
        <v>125.97167020955268</v>
      </c>
    </row>
    <row r="3983" spans="1:9" x14ac:dyDescent="0.2">
      <c r="A3983" s="5" t="s">
        <v>117</v>
      </c>
      <c r="B3983" s="5" t="s">
        <v>65</v>
      </c>
      <c r="C3983" s="5" t="s">
        <v>48</v>
      </c>
      <c r="D3983" s="5">
        <v>175612</v>
      </c>
      <c r="E3983" s="5">
        <v>8846</v>
      </c>
      <c r="F3983" s="5">
        <v>22683244</v>
      </c>
      <c r="G3983" s="5">
        <v>5.0372411908070065</v>
      </c>
      <c r="H3983" s="5">
        <v>2564.2373954329641</v>
      </c>
      <c r="I3983" s="5">
        <v>129.16682231282601</v>
      </c>
    </row>
    <row r="3984" spans="1:9" x14ac:dyDescent="0.2">
      <c r="A3984" s="5" t="s">
        <v>117</v>
      </c>
      <c r="B3984" s="5" t="s">
        <v>65</v>
      </c>
      <c r="C3984" s="5" t="s">
        <v>49</v>
      </c>
      <c r="D3984" s="5">
        <v>175299</v>
      </c>
      <c r="E3984" s="5">
        <v>8767</v>
      </c>
      <c r="F3984" s="5">
        <v>22832382</v>
      </c>
      <c r="G3984" s="5">
        <v>5.0011694305158612</v>
      </c>
      <c r="H3984" s="5">
        <v>2604.3551956199385</v>
      </c>
      <c r="I3984" s="5">
        <v>130.24821590539591</v>
      </c>
    </row>
    <row r="3985" spans="1:9" x14ac:dyDescent="0.2">
      <c r="A3985" s="5" t="s">
        <v>117</v>
      </c>
      <c r="B3985" s="5" t="s">
        <v>65</v>
      </c>
      <c r="C3985" s="5" t="s">
        <v>50</v>
      </c>
      <c r="D3985" s="5">
        <v>174544</v>
      </c>
      <c r="E3985" s="5">
        <v>8484</v>
      </c>
      <c r="F3985" s="5">
        <v>22464381</v>
      </c>
      <c r="G3985" s="5">
        <v>4.8606655055458798</v>
      </c>
      <c r="H3985" s="5">
        <v>2647.8525459688826</v>
      </c>
      <c r="I3985" s="5">
        <v>128.70325533962782</v>
      </c>
    </row>
    <row r="3986" spans="1:9" x14ac:dyDescent="0.2">
      <c r="A3986" s="5" t="s">
        <v>117</v>
      </c>
      <c r="B3986" s="5" t="s">
        <v>65</v>
      </c>
      <c r="C3986" s="5" t="s">
        <v>51</v>
      </c>
      <c r="D3986" s="5">
        <v>173750</v>
      </c>
      <c r="E3986" s="5">
        <v>8070</v>
      </c>
      <c r="F3986" s="5">
        <v>21382811</v>
      </c>
      <c r="G3986" s="5">
        <v>4.6446043165467623</v>
      </c>
      <c r="H3986" s="5">
        <v>2649.6667905824038</v>
      </c>
      <c r="I3986" s="5">
        <v>123.06653812949641</v>
      </c>
    </row>
    <row r="3987" spans="1:9" x14ac:dyDescent="0.2">
      <c r="A3987" s="5" t="s">
        <v>117</v>
      </c>
      <c r="B3987" s="5" t="s">
        <v>65</v>
      </c>
      <c r="C3987" s="5" t="s">
        <v>52</v>
      </c>
      <c r="D3987" s="5">
        <v>173112</v>
      </c>
      <c r="E3987" s="5">
        <v>7791</v>
      </c>
      <c r="F3987" s="5">
        <v>21115262</v>
      </c>
      <c r="G3987" s="5">
        <v>4.5005545542769996</v>
      </c>
      <c r="H3987" s="5">
        <v>2710.2120395327943</v>
      </c>
      <c r="I3987" s="5">
        <v>121.97457137575674</v>
      </c>
    </row>
    <row r="3988" spans="1:9" x14ac:dyDescent="0.2">
      <c r="A3988" s="5" t="s">
        <v>117</v>
      </c>
      <c r="B3988" s="5" t="s">
        <v>65</v>
      </c>
      <c r="C3988" s="5" t="s">
        <v>53</v>
      </c>
      <c r="D3988" s="5">
        <v>172686</v>
      </c>
      <c r="E3988" s="5">
        <v>7777</v>
      </c>
      <c r="F3988" s="5">
        <v>21543016</v>
      </c>
      <c r="G3988" s="5">
        <v>4.5035497955827344</v>
      </c>
      <c r="H3988" s="5">
        <v>2770.0933521923621</v>
      </c>
      <c r="I3988" s="5">
        <v>124.75253350011003</v>
      </c>
    </row>
    <row r="3989" spans="1:9" x14ac:dyDescent="0.2">
      <c r="A3989" s="5" t="s">
        <v>117</v>
      </c>
      <c r="B3989" s="5" t="s">
        <v>65</v>
      </c>
      <c r="C3989" s="5" t="s">
        <v>54</v>
      </c>
      <c r="D3989" s="5">
        <v>172577</v>
      </c>
      <c r="E3989" s="5">
        <v>7853</v>
      </c>
      <c r="F3989" s="5">
        <v>21961204</v>
      </c>
      <c r="G3989" s="5">
        <v>4.5504325605381943</v>
      </c>
      <c r="H3989" s="5">
        <v>2796.5368648923977</v>
      </c>
      <c r="I3989" s="5">
        <v>127.25452406751769</v>
      </c>
    </row>
    <row r="3990" spans="1:9" x14ac:dyDescent="0.2">
      <c r="A3990" s="5" t="s">
        <v>117</v>
      </c>
      <c r="B3990" s="5" t="s">
        <v>65</v>
      </c>
      <c r="C3990" s="5" t="s">
        <v>55</v>
      </c>
      <c r="D3990" s="5">
        <v>172601</v>
      </c>
      <c r="E3990" s="5">
        <v>7741</v>
      </c>
      <c r="F3990" s="5">
        <v>21600619</v>
      </c>
      <c r="G3990" s="5">
        <v>4.4849102844131838</v>
      </c>
      <c r="H3990" s="5">
        <v>2790.4171295698229</v>
      </c>
      <c r="I3990" s="5">
        <v>125.14770482210416</v>
      </c>
    </row>
    <row r="3991" spans="1:9" x14ac:dyDescent="0.2">
      <c r="A3991" s="5" t="s">
        <v>117</v>
      </c>
      <c r="B3991" s="5" t="s">
        <v>65</v>
      </c>
      <c r="C3991" s="5" t="s">
        <v>56</v>
      </c>
      <c r="D3991" s="5">
        <v>172789</v>
      </c>
      <c r="E3991" s="5">
        <v>7671</v>
      </c>
      <c r="F3991" s="5">
        <v>21712507</v>
      </c>
      <c r="G3991" s="5">
        <v>4.4395187193629226</v>
      </c>
      <c r="H3991" s="5">
        <v>2830.466301655586</v>
      </c>
      <c r="I3991" s="5">
        <v>125.65908130725914</v>
      </c>
    </row>
    <row r="3992" spans="1:9" x14ac:dyDescent="0.2">
      <c r="A3992" s="5" t="s">
        <v>117</v>
      </c>
      <c r="B3992" s="5" t="s">
        <v>65</v>
      </c>
      <c r="C3992" s="5" t="s">
        <v>57</v>
      </c>
      <c r="D3992" s="5">
        <v>173144</v>
      </c>
      <c r="E3992" s="5">
        <v>7366</v>
      </c>
      <c r="F3992" s="5">
        <v>20579066</v>
      </c>
      <c r="G3992" s="5">
        <v>4.2542623481033131</v>
      </c>
      <c r="H3992" s="5">
        <v>2793.7912028237852</v>
      </c>
      <c r="I3992" s="5">
        <v>118.85520722635493</v>
      </c>
    </row>
    <row r="3993" spans="1:9" x14ac:dyDescent="0.2">
      <c r="A3993" s="5" t="s">
        <v>117</v>
      </c>
      <c r="B3993" s="5" t="s">
        <v>65</v>
      </c>
      <c r="C3993" s="5" t="s">
        <v>58</v>
      </c>
      <c r="D3993" s="5">
        <v>173703</v>
      </c>
      <c r="E3993" s="5">
        <v>7209</v>
      </c>
      <c r="F3993" s="5">
        <v>20630225</v>
      </c>
      <c r="G3993" s="5">
        <v>4.1501873888188463</v>
      </c>
      <c r="H3993" s="5">
        <v>2861.7318629490915</v>
      </c>
      <c r="I3993" s="5">
        <v>118.76723487792381</v>
      </c>
    </row>
    <row r="3994" spans="1:9" x14ac:dyDescent="0.2">
      <c r="A3994" s="5" t="s">
        <v>117</v>
      </c>
      <c r="B3994" s="5" t="s">
        <v>65</v>
      </c>
      <c r="C3994" s="5" t="s">
        <v>59</v>
      </c>
      <c r="D3994" s="5">
        <v>174442</v>
      </c>
      <c r="E3994" s="5">
        <v>7190</v>
      </c>
      <c r="F3994" s="5">
        <v>21193313</v>
      </c>
      <c r="G3994" s="5">
        <v>4.1217138074546265</v>
      </c>
      <c r="H3994" s="5">
        <v>2947.6095966620305</v>
      </c>
      <c r="I3994" s="5">
        <v>121.49203173547654</v>
      </c>
    </row>
    <row r="3995" spans="1:9" x14ac:dyDescent="0.2">
      <c r="A3995" s="5" t="s">
        <v>117</v>
      </c>
      <c r="B3995" s="5" t="s">
        <v>65</v>
      </c>
      <c r="C3995" s="5" t="s">
        <v>60</v>
      </c>
      <c r="D3995" s="5">
        <v>175405</v>
      </c>
      <c r="E3995" s="5">
        <v>7253</v>
      </c>
      <c r="F3995" s="5">
        <v>21506518</v>
      </c>
      <c r="G3995" s="5">
        <v>4.1350018528548214</v>
      </c>
      <c r="H3995" s="5">
        <v>2965.1893009789051</v>
      </c>
      <c r="I3995" s="5">
        <v>122.61063253613067</v>
      </c>
    </row>
    <row r="3996" spans="1:9" x14ac:dyDescent="0.2">
      <c r="A3996" s="5" t="s">
        <v>117</v>
      </c>
      <c r="B3996" s="5" t="s">
        <v>65</v>
      </c>
      <c r="C3996" s="5" t="s">
        <v>61</v>
      </c>
      <c r="D3996" s="5">
        <v>176539</v>
      </c>
      <c r="E3996" s="5">
        <v>7295</v>
      </c>
      <c r="F3996" s="5">
        <v>22111830</v>
      </c>
      <c r="G3996" s="5">
        <v>4.1322314049586772</v>
      </c>
      <c r="H3996" s="5">
        <v>3031.0938999314599</v>
      </c>
      <c r="I3996" s="5">
        <v>125.25181404675455</v>
      </c>
    </row>
    <row r="3997" spans="1:9" x14ac:dyDescent="0.2">
      <c r="A3997" s="5" t="s">
        <v>117</v>
      </c>
      <c r="B3997" s="5" t="s">
        <v>65</v>
      </c>
      <c r="C3997" s="5" t="s">
        <v>62</v>
      </c>
      <c r="D3997" s="5">
        <v>177751</v>
      </c>
      <c r="E3997" s="5">
        <v>7372</v>
      </c>
      <c r="F3997" s="5">
        <v>22937812</v>
      </c>
      <c r="G3997" s="5">
        <v>4.1473746983139339</v>
      </c>
      <c r="H3997" s="5">
        <v>3111.4774823657081</v>
      </c>
      <c r="I3997" s="5">
        <v>129.04462984737077</v>
      </c>
    </row>
  </sheetData>
  <phoneticPr fontId="2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2"/>
  <sheetViews>
    <sheetView workbookViewId="0">
      <selection activeCell="A3" sqref="A3"/>
    </sheetView>
  </sheetViews>
  <sheetFormatPr defaultRowHeight="12.75" x14ac:dyDescent="0.2"/>
  <cols>
    <col min="2" max="2" width="7.28515625" customWidth="1"/>
    <col min="3" max="3" width="6.5703125" bestFit="1" customWidth="1"/>
    <col min="4" max="4" width="7.85546875" bestFit="1" customWidth="1"/>
    <col min="5" max="5" width="9.5703125" bestFit="1" customWidth="1"/>
    <col min="6" max="6" width="11.140625" bestFit="1" customWidth="1"/>
    <col min="7" max="7" width="11.85546875" bestFit="1" customWidth="1"/>
    <col min="8" max="9" width="12" bestFit="1" customWidth="1"/>
    <col min="10" max="10" width="13.140625" bestFit="1" customWidth="1"/>
    <col min="11" max="12" width="10.85546875" customWidth="1"/>
  </cols>
  <sheetData>
    <row r="1" spans="1:12" x14ac:dyDescent="0.2">
      <c r="A1" s="8" t="s">
        <v>118</v>
      </c>
      <c r="B1" s="5" t="s">
        <v>34</v>
      </c>
      <c r="C1" s="5" t="s">
        <v>35</v>
      </c>
      <c r="D1" s="5" t="s">
        <v>36</v>
      </c>
      <c r="E1" s="6" t="s">
        <v>37</v>
      </c>
      <c r="F1" s="6" t="s">
        <v>38</v>
      </c>
      <c r="G1" s="6" t="s">
        <v>39</v>
      </c>
      <c r="H1" s="6" t="s">
        <v>40</v>
      </c>
      <c r="I1" s="6" t="s">
        <v>41</v>
      </c>
      <c r="J1" s="6" t="s">
        <v>42</v>
      </c>
      <c r="K1" s="6" t="s">
        <v>122</v>
      </c>
      <c r="L1" s="6" t="s">
        <v>123</v>
      </c>
    </row>
    <row r="2" spans="1:12" x14ac:dyDescent="0.2">
      <c r="A2" s="8">
        <v>1</v>
      </c>
      <c r="B2" t="s">
        <v>92</v>
      </c>
      <c r="C2" t="s">
        <v>65</v>
      </c>
      <c r="D2" t="s">
        <v>45</v>
      </c>
      <c r="E2">
        <v>600215</v>
      </c>
      <c r="F2">
        <v>37703</v>
      </c>
      <c r="G2">
        <v>104085809</v>
      </c>
      <c r="H2">
        <v>6.281582432961522</v>
      </c>
      <c r="I2">
        <v>2760.6771079224463</v>
      </c>
      <c r="J2">
        <v>173.41420824204661</v>
      </c>
      <c r="K2" s="2">
        <f>H$21*$A2+H$22</f>
        <v>6.222810388033281</v>
      </c>
      <c r="L2" s="2">
        <f>I$21*$A2+I$22</f>
        <v>2749.2168396307611</v>
      </c>
    </row>
    <row r="3" spans="1:12" x14ac:dyDescent="0.2">
      <c r="A3" s="8">
        <v>2</v>
      </c>
      <c r="B3" t="s">
        <v>92</v>
      </c>
      <c r="C3" t="s">
        <v>65</v>
      </c>
      <c r="D3" t="s">
        <v>46</v>
      </c>
      <c r="E3">
        <v>611519</v>
      </c>
      <c r="F3">
        <v>37838</v>
      </c>
      <c r="G3">
        <v>104413132</v>
      </c>
      <c r="H3">
        <v>6.1875428236898609</v>
      </c>
      <c r="I3">
        <v>2759.4780908081821</v>
      </c>
      <c r="J3">
        <v>170.74388857909565</v>
      </c>
      <c r="K3" s="2">
        <f t="shared" ref="K3:L19" si="0">H$21*$A3+H$22</f>
        <v>6.1840914710820636</v>
      </c>
      <c r="L3" s="2">
        <f t="shared" si="0"/>
        <v>2769.6909405818346</v>
      </c>
    </row>
    <row r="4" spans="1:12" x14ac:dyDescent="0.2">
      <c r="A4" s="8">
        <v>3</v>
      </c>
      <c r="B4" t="s">
        <v>92</v>
      </c>
      <c r="C4" t="s">
        <v>65</v>
      </c>
      <c r="D4" t="s">
        <v>47</v>
      </c>
      <c r="E4">
        <v>622099</v>
      </c>
      <c r="F4">
        <v>38420</v>
      </c>
      <c r="G4">
        <v>107132766</v>
      </c>
      <c r="H4">
        <v>6.1758658991575297</v>
      </c>
      <c r="I4">
        <v>2788.4634565330557</v>
      </c>
      <c r="J4">
        <v>172.21176372249434</v>
      </c>
      <c r="K4" s="2">
        <f t="shared" si="0"/>
        <v>6.1453725541308462</v>
      </c>
      <c r="L4" s="2">
        <f t="shared" si="0"/>
        <v>2790.1650415329086</v>
      </c>
    </row>
    <row r="5" spans="1:12" x14ac:dyDescent="0.2">
      <c r="A5" s="8">
        <v>4</v>
      </c>
      <c r="B5" t="s">
        <v>92</v>
      </c>
      <c r="C5" t="s">
        <v>65</v>
      </c>
      <c r="D5" t="s">
        <v>48</v>
      </c>
      <c r="E5">
        <v>628307</v>
      </c>
      <c r="F5">
        <v>38965</v>
      </c>
      <c r="G5">
        <v>109139729</v>
      </c>
      <c r="H5">
        <v>6.2015861672717314</v>
      </c>
      <c r="I5">
        <v>2800.9682792249455</v>
      </c>
      <c r="J5">
        <v>173.70446135408326</v>
      </c>
      <c r="K5" s="2">
        <f t="shared" si="0"/>
        <v>6.1066536371796287</v>
      </c>
      <c r="L5" s="2">
        <f t="shared" si="0"/>
        <v>2810.6391424839826</v>
      </c>
    </row>
    <row r="6" spans="1:12" x14ac:dyDescent="0.2">
      <c r="A6" s="8">
        <v>5</v>
      </c>
      <c r="B6" t="s">
        <v>92</v>
      </c>
      <c r="C6" t="s">
        <v>65</v>
      </c>
      <c r="D6" t="s">
        <v>49</v>
      </c>
      <c r="E6">
        <v>630150</v>
      </c>
      <c r="F6">
        <v>38789</v>
      </c>
      <c r="G6">
        <v>111089408</v>
      </c>
      <c r="H6">
        <v>6.1555185273347615</v>
      </c>
      <c r="I6">
        <v>2863.9410142050583</v>
      </c>
      <c r="J6">
        <v>176.29041974133142</v>
      </c>
      <c r="K6" s="2">
        <f t="shared" si="0"/>
        <v>6.0679347202284113</v>
      </c>
      <c r="L6" s="2">
        <f t="shared" si="0"/>
        <v>2831.1132434350561</v>
      </c>
    </row>
    <row r="7" spans="1:12" x14ac:dyDescent="0.2">
      <c r="A7" s="8">
        <v>6</v>
      </c>
      <c r="B7" t="s">
        <v>92</v>
      </c>
      <c r="C7" t="s">
        <v>65</v>
      </c>
      <c r="D7" t="s">
        <v>50</v>
      </c>
      <c r="E7">
        <v>629406</v>
      </c>
      <c r="F7">
        <v>38185</v>
      </c>
      <c r="G7">
        <v>110028433</v>
      </c>
      <c r="H7">
        <v>6.0668312663050559</v>
      </c>
      <c r="I7">
        <v>2881.456933350792</v>
      </c>
      <c r="J7">
        <v>174.8131301576407</v>
      </c>
      <c r="K7" s="2">
        <f t="shared" si="0"/>
        <v>6.029215803277193</v>
      </c>
      <c r="L7" s="2">
        <f t="shared" si="0"/>
        <v>2851.5873443861301</v>
      </c>
    </row>
    <row r="8" spans="1:12" x14ac:dyDescent="0.2">
      <c r="A8" s="8">
        <v>7</v>
      </c>
      <c r="B8" t="s">
        <v>92</v>
      </c>
      <c r="C8" t="s">
        <v>65</v>
      </c>
      <c r="D8" t="s">
        <v>51</v>
      </c>
      <c r="E8">
        <v>627071</v>
      </c>
      <c r="F8">
        <v>37502</v>
      </c>
      <c r="G8">
        <v>108582136</v>
      </c>
      <c r="H8">
        <v>5.9805030052418306</v>
      </c>
      <c r="I8">
        <v>2895.369206975628</v>
      </c>
      <c r="J8">
        <v>173.15764243602399</v>
      </c>
      <c r="K8" s="2">
        <f t="shared" si="0"/>
        <v>5.9904968863259755</v>
      </c>
      <c r="L8" s="2">
        <f t="shared" si="0"/>
        <v>2872.0614453372041</v>
      </c>
    </row>
    <row r="9" spans="1:12" x14ac:dyDescent="0.2">
      <c r="A9" s="8">
        <v>8</v>
      </c>
      <c r="B9" t="s">
        <v>92</v>
      </c>
      <c r="C9" t="s">
        <v>65</v>
      </c>
      <c r="D9" t="s">
        <v>52</v>
      </c>
      <c r="E9">
        <v>624460</v>
      </c>
      <c r="F9">
        <v>36948</v>
      </c>
      <c r="G9">
        <v>108681366</v>
      </c>
      <c r="H9">
        <v>5.9167921083816415</v>
      </c>
      <c r="I9">
        <v>2941.4681714842482</v>
      </c>
      <c r="J9">
        <v>174.04055664093778</v>
      </c>
      <c r="K9" s="2">
        <f t="shared" si="0"/>
        <v>5.9517779693747581</v>
      </c>
      <c r="L9" s="2">
        <f t="shared" si="0"/>
        <v>2892.5355462882776</v>
      </c>
    </row>
    <row r="10" spans="1:12" x14ac:dyDescent="0.2">
      <c r="A10" s="8">
        <v>9</v>
      </c>
      <c r="B10" t="s">
        <v>92</v>
      </c>
      <c r="C10" t="s">
        <v>65</v>
      </c>
      <c r="D10" t="s">
        <v>53</v>
      </c>
      <c r="E10">
        <v>622216</v>
      </c>
      <c r="F10">
        <v>36330</v>
      </c>
      <c r="G10">
        <v>105407555</v>
      </c>
      <c r="H10">
        <v>5.8388083880838808</v>
      </c>
      <c r="I10">
        <v>2901.391549683457</v>
      </c>
      <c r="J10">
        <v>169.4066931740746</v>
      </c>
      <c r="K10" s="2">
        <f t="shared" si="0"/>
        <v>5.9130590524235407</v>
      </c>
      <c r="L10" s="2">
        <f t="shared" si="0"/>
        <v>2913.0096472393516</v>
      </c>
    </row>
    <row r="11" spans="1:12" x14ac:dyDescent="0.2">
      <c r="A11" s="8">
        <v>10</v>
      </c>
      <c r="B11" t="s">
        <v>92</v>
      </c>
      <c r="C11" t="s">
        <v>65</v>
      </c>
      <c r="D11" t="s">
        <v>54</v>
      </c>
      <c r="E11">
        <v>620449</v>
      </c>
      <c r="F11">
        <v>36152</v>
      </c>
      <c r="G11">
        <v>105461538</v>
      </c>
      <c r="H11">
        <v>5.8267480485906171</v>
      </c>
      <c r="I11">
        <v>2917.1702257136535</v>
      </c>
      <c r="J11">
        <v>169.9761592008368</v>
      </c>
      <c r="K11" s="2">
        <f t="shared" si="0"/>
        <v>5.8743401354723233</v>
      </c>
      <c r="L11" s="2">
        <f t="shared" si="0"/>
        <v>2933.4837481904251</v>
      </c>
    </row>
    <row r="12" spans="1:12" x14ac:dyDescent="0.2">
      <c r="A12" s="8">
        <v>11</v>
      </c>
      <c r="B12" t="s">
        <v>92</v>
      </c>
      <c r="C12" t="s">
        <v>65</v>
      </c>
      <c r="D12" t="s">
        <v>55</v>
      </c>
      <c r="E12">
        <v>619307</v>
      </c>
      <c r="F12">
        <v>35622</v>
      </c>
      <c r="G12">
        <v>105029111</v>
      </c>
      <c r="H12">
        <v>5.7519130253654485</v>
      </c>
      <c r="I12">
        <v>2948.4338610970749</v>
      </c>
      <c r="J12">
        <v>169.59135130072806</v>
      </c>
      <c r="K12" s="2">
        <f t="shared" si="0"/>
        <v>5.8356212185211058</v>
      </c>
      <c r="L12" s="2">
        <f t="shared" si="0"/>
        <v>2953.9578491414991</v>
      </c>
    </row>
    <row r="13" spans="1:12" x14ac:dyDescent="0.2">
      <c r="A13" s="8">
        <v>12</v>
      </c>
      <c r="B13" t="s">
        <v>92</v>
      </c>
      <c r="C13" t="s">
        <v>65</v>
      </c>
      <c r="D13" t="s">
        <v>56</v>
      </c>
      <c r="E13">
        <v>619354</v>
      </c>
      <c r="F13">
        <v>34933</v>
      </c>
      <c r="G13">
        <v>100971584</v>
      </c>
      <c r="H13">
        <v>5.6402315961469531</v>
      </c>
      <c r="I13">
        <v>2890.4355194228951</v>
      </c>
      <c r="J13">
        <v>163.02725743274445</v>
      </c>
      <c r="K13" s="2">
        <f t="shared" si="0"/>
        <v>5.7969023015698884</v>
      </c>
      <c r="L13" s="2">
        <f t="shared" si="0"/>
        <v>2974.4319500925731</v>
      </c>
    </row>
    <row r="14" spans="1:12" x14ac:dyDescent="0.2">
      <c r="A14" s="8">
        <v>13</v>
      </c>
      <c r="B14" t="s">
        <v>92</v>
      </c>
      <c r="C14" t="s">
        <v>65</v>
      </c>
      <c r="D14" t="s">
        <v>57</v>
      </c>
      <c r="E14">
        <v>620576</v>
      </c>
      <c r="F14">
        <v>34763</v>
      </c>
      <c r="G14">
        <v>102262969</v>
      </c>
      <c r="H14">
        <v>5.6017312947970916</v>
      </c>
      <c r="I14">
        <v>2941.7187526968328</v>
      </c>
      <c r="J14">
        <v>164.78717997473316</v>
      </c>
      <c r="K14" s="2">
        <f t="shared" si="0"/>
        <v>5.758183384618671</v>
      </c>
      <c r="L14" s="2">
        <f t="shared" si="0"/>
        <v>2994.9060510436466</v>
      </c>
    </row>
    <row r="15" spans="1:12" x14ac:dyDescent="0.2">
      <c r="A15" s="8">
        <v>14</v>
      </c>
      <c r="B15" t="s">
        <v>92</v>
      </c>
      <c r="C15" t="s">
        <v>65</v>
      </c>
      <c r="D15" t="s">
        <v>58</v>
      </c>
      <c r="E15">
        <v>623413</v>
      </c>
      <c r="F15">
        <v>34771</v>
      </c>
      <c r="G15">
        <v>102589193</v>
      </c>
      <c r="H15">
        <v>5.5775224449923249</v>
      </c>
      <c r="I15">
        <v>2950.4240027609217</v>
      </c>
      <c r="J15">
        <v>164.56056097643136</v>
      </c>
      <c r="K15" s="2">
        <f t="shared" si="0"/>
        <v>5.7194644676674535</v>
      </c>
      <c r="L15" s="2">
        <f t="shared" si="0"/>
        <v>3015.3801519947206</v>
      </c>
    </row>
    <row r="16" spans="1:12" x14ac:dyDescent="0.2">
      <c r="A16" s="8">
        <v>15</v>
      </c>
      <c r="B16" t="s">
        <v>92</v>
      </c>
      <c r="C16" t="s">
        <v>65</v>
      </c>
      <c r="D16" t="s">
        <v>59</v>
      </c>
      <c r="E16">
        <v>627656</v>
      </c>
      <c r="F16">
        <v>35339</v>
      </c>
      <c r="G16">
        <v>105758008</v>
      </c>
      <c r="H16">
        <v>5.630313420089986</v>
      </c>
      <c r="I16">
        <v>2992.6712131073318</v>
      </c>
      <c r="J16">
        <v>168.49676893075187</v>
      </c>
      <c r="K16" s="2">
        <f t="shared" si="0"/>
        <v>5.6807455507162352</v>
      </c>
      <c r="L16" s="2">
        <f t="shared" si="0"/>
        <v>3035.8542529457945</v>
      </c>
    </row>
    <row r="17" spans="1:12" x14ac:dyDescent="0.2">
      <c r="A17" s="8">
        <v>16</v>
      </c>
      <c r="B17" t="s">
        <v>92</v>
      </c>
      <c r="C17" t="s">
        <v>65</v>
      </c>
      <c r="D17" t="s">
        <v>60</v>
      </c>
      <c r="E17">
        <v>632868</v>
      </c>
      <c r="F17">
        <v>35602</v>
      </c>
      <c r="G17">
        <v>108582914</v>
      </c>
      <c r="H17">
        <v>5.6255016843954824</v>
      </c>
      <c r="I17">
        <v>3049.9105106454695</v>
      </c>
      <c r="J17">
        <v>171.57276714891572</v>
      </c>
      <c r="K17" s="2">
        <f t="shared" si="0"/>
        <v>5.6420266337650178</v>
      </c>
      <c r="L17" s="2">
        <f t="shared" si="0"/>
        <v>3056.3283538968681</v>
      </c>
    </row>
    <row r="18" spans="1:12" x14ac:dyDescent="0.2">
      <c r="A18" s="8">
        <v>17</v>
      </c>
      <c r="B18" t="s">
        <v>92</v>
      </c>
      <c r="C18" t="s">
        <v>65</v>
      </c>
      <c r="D18" t="s">
        <v>61</v>
      </c>
      <c r="E18">
        <v>637776</v>
      </c>
      <c r="F18">
        <v>36619</v>
      </c>
      <c r="G18">
        <v>114297240</v>
      </c>
      <c r="H18">
        <v>5.7416710569228071</v>
      </c>
      <c r="I18">
        <v>3121.2550861574591</v>
      </c>
      <c r="J18">
        <v>179.21219989463384</v>
      </c>
      <c r="K18" s="2">
        <f t="shared" si="0"/>
        <v>5.6033077168138004</v>
      </c>
      <c r="L18" s="2">
        <f t="shared" si="0"/>
        <v>3076.802454847942</v>
      </c>
    </row>
    <row r="19" spans="1:12" x14ac:dyDescent="0.2">
      <c r="A19" s="8">
        <v>18</v>
      </c>
      <c r="B19" t="s">
        <v>92</v>
      </c>
      <c r="C19" t="s">
        <v>65</v>
      </c>
      <c r="D19" t="s">
        <v>62</v>
      </c>
      <c r="E19">
        <v>643076</v>
      </c>
      <c r="F19">
        <v>37851</v>
      </c>
      <c r="G19">
        <v>121623120</v>
      </c>
      <c r="H19">
        <v>5.8859295013342123</v>
      </c>
      <c r="I19">
        <v>3213.207577078545</v>
      </c>
      <c r="J19">
        <v>189.12713271837234</v>
      </c>
      <c r="K19" s="2">
        <f t="shared" si="0"/>
        <v>5.5645887998625829</v>
      </c>
      <c r="L19" s="2">
        <f t="shared" si="0"/>
        <v>3097.276555799016</v>
      </c>
    </row>
    <row r="20" spans="1:12" ht="13.5" thickBot="1" x14ac:dyDescent="0.25"/>
    <row r="21" spans="1:12" x14ac:dyDescent="0.2">
      <c r="G21" t="s">
        <v>124</v>
      </c>
      <c r="H21" s="11">
        <f>LINEST(H$2:H$19,$A$2:$A$19)</f>
        <v>-3.871891695121752E-2</v>
      </c>
      <c r="I21" s="12">
        <f>LINEST(I$2:I$19,$A$2:$A$19)</f>
        <v>20.474100951073819</v>
      </c>
    </row>
    <row r="22" spans="1:12" ht="13.5" thickBot="1" x14ac:dyDescent="0.25">
      <c r="G22" t="s">
        <v>125</v>
      </c>
      <c r="H22" s="13">
        <f>INTERCEPT(H$2:H$19,$A$2:$A$19)</f>
        <v>6.2615293049844984</v>
      </c>
      <c r="I22" s="14">
        <f>INTERCEPT(I$2:I$19,$A$2:$A$19)</f>
        <v>2728.7427386796871</v>
      </c>
    </row>
  </sheetData>
  <phoneticPr fontId="6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11"/>
  <sheetViews>
    <sheetView workbookViewId="0"/>
  </sheetViews>
  <sheetFormatPr defaultRowHeight="12.75" x14ac:dyDescent="0.2"/>
  <cols>
    <col min="4" max="4" width="12.5703125" bestFit="1" customWidth="1"/>
    <col min="5" max="5" width="14.7109375" bestFit="1" customWidth="1"/>
    <col min="7" max="7" width="13.5703125" customWidth="1"/>
    <col min="8" max="8" width="10.140625" bestFit="1" customWidth="1"/>
    <col min="9" max="9" width="11.28515625" customWidth="1"/>
    <col min="11" max="14" width="10.140625" bestFit="1" customWidth="1"/>
  </cols>
  <sheetData>
    <row r="1" spans="1:14" ht="13.5" customHeight="1" x14ac:dyDescent="0.2">
      <c r="A1" t="s">
        <v>147</v>
      </c>
    </row>
    <row r="2" spans="1:14" x14ac:dyDescent="0.2">
      <c r="A2" t="s">
        <v>148</v>
      </c>
      <c r="H2" s="15"/>
    </row>
    <row r="3" spans="1:14" x14ac:dyDescent="0.2">
      <c r="A3" t="s">
        <v>149</v>
      </c>
      <c r="H3" s="15"/>
    </row>
    <row r="4" spans="1:14" x14ac:dyDescent="0.2">
      <c r="H4" s="15"/>
      <c r="I4" s="2"/>
      <c r="K4" s="4"/>
      <c r="L4" s="4"/>
      <c r="M4" s="4"/>
      <c r="N4" s="4"/>
    </row>
    <row r="5" spans="1:14" x14ac:dyDescent="0.2">
      <c r="H5" s="15"/>
      <c r="I5" s="2"/>
      <c r="K5" s="4"/>
      <c r="L5" s="4"/>
      <c r="M5" s="4"/>
      <c r="N5" s="4"/>
    </row>
    <row r="6" spans="1:14" x14ac:dyDescent="0.2">
      <c r="H6" s="15"/>
      <c r="I6" s="2"/>
      <c r="K6" s="4"/>
      <c r="L6" s="4"/>
      <c r="M6" s="4"/>
      <c r="N6" s="4"/>
    </row>
    <row r="7" spans="1:14" x14ac:dyDescent="0.2">
      <c r="A7" s="16" t="s">
        <v>150</v>
      </c>
      <c r="B7" s="16" t="s">
        <v>151</v>
      </c>
      <c r="C7" s="16" t="s">
        <v>152</v>
      </c>
      <c r="D7" s="16" t="s">
        <v>153</v>
      </c>
      <c r="E7" s="16" t="s">
        <v>154</v>
      </c>
      <c r="I7" s="2"/>
      <c r="K7" s="4"/>
      <c r="L7" s="4"/>
      <c r="M7" s="4"/>
      <c r="N7" s="4"/>
    </row>
    <row r="8" spans="1:14" x14ac:dyDescent="0.2">
      <c r="A8">
        <v>30</v>
      </c>
      <c r="B8" s="17" t="s">
        <v>155</v>
      </c>
      <c r="C8" s="17" t="s">
        <v>146</v>
      </c>
      <c r="D8" s="18">
        <v>100000</v>
      </c>
      <c r="E8" s="2"/>
      <c r="I8" s="2"/>
      <c r="K8" s="4"/>
      <c r="L8" s="4"/>
      <c r="M8" s="4"/>
      <c r="N8" s="4"/>
    </row>
    <row r="9" spans="1:14" x14ac:dyDescent="0.2">
      <c r="A9">
        <v>28</v>
      </c>
      <c r="B9" s="17" t="s">
        <v>155</v>
      </c>
      <c r="C9" s="17" t="s">
        <v>146</v>
      </c>
      <c r="D9" s="18">
        <v>500000</v>
      </c>
      <c r="E9" s="2"/>
      <c r="G9" s="19"/>
      <c r="I9" s="2"/>
      <c r="K9" s="4"/>
      <c r="L9" s="4"/>
      <c r="M9" s="4"/>
      <c r="N9" s="4"/>
    </row>
    <row r="10" spans="1:14" x14ac:dyDescent="0.2">
      <c r="A10">
        <v>59</v>
      </c>
      <c r="B10" s="17" t="s">
        <v>155</v>
      </c>
      <c r="C10" s="17" t="s">
        <v>146</v>
      </c>
      <c r="D10" s="18">
        <v>100000</v>
      </c>
      <c r="E10" s="2"/>
      <c r="G10" s="19"/>
      <c r="I10" s="2"/>
      <c r="K10" s="4"/>
      <c r="L10" s="4"/>
      <c r="M10" s="4"/>
      <c r="N10" s="4"/>
    </row>
    <row r="11" spans="1:14" x14ac:dyDescent="0.2">
      <c r="A11">
        <v>33</v>
      </c>
      <c r="B11" s="17" t="s">
        <v>156</v>
      </c>
      <c r="C11" s="17" t="s">
        <v>146</v>
      </c>
      <c r="D11" s="18">
        <v>50000</v>
      </c>
      <c r="E11" s="2"/>
      <c r="G11" s="19"/>
      <c r="I11" s="2"/>
      <c r="K11" s="4"/>
      <c r="L11" s="4"/>
      <c r="M11" s="4"/>
      <c r="N11" s="4"/>
    </row>
    <row r="12" spans="1:14" x14ac:dyDescent="0.2">
      <c r="A12">
        <v>23</v>
      </c>
      <c r="B12" s="17" t="s">
        <v>156</v>
      </c>
      <c r="C12" s="17" t="s">
        <v>157</v>
      </c>
      <c r="D12" s="18">
        <v>100000</v>
      </c>
      <c r="E12" s="2"/>
      <c r="I12" s="2"/>
      <c r="K12" s="4"/>
      <c r="L12" s="4"/>
      <c r="M12" s="4"/>
      <c r="N12" s="4"/>
    </row>
    <row r="13" spans="1:14" x14ac:dyDescent="0.2">
      <c r="A13">
        <v>42</v>
      </c>
      <c r="B13" s="17" t="s">
        <v>155</v>
      </c>
      <c r="C13" s="17" t="s">
        <v>146</v>
      </c>
      <c r="D13" s="18">
        <v>50000</v>
      </c>
      <c r="E13" s="2"/>
      <c r="I13" s="2"/>
      <c r="K13" s="4"/>
      <c r="L13" s="4"/>
      <c r="M13" s="4"/>
      <c r="N13" s="4"/>
    </row>
    <row r="14" spans="1:14" x14ac:dyDescent="0.2">
      <c r="A14">
        <v>48</v>
      </c>
      <c r="B14" s="17" t="s">
        <v>156</v>
      </c>
      <c r="C14" s="17" t="s">
        <v>146</v>
      </c>
      <c r="D14" s="18">
        <v>50000</v>
      </c>
      <c r="E14" s="2"/>
      <c r="I14" s="2"/>
      <c r="K14" s="4"/>
      <c r="L14" s="4"/>
      <c r="M14" s="4"/>
      <c r="N14" s="4"/>
    </row>
    <row r="15" spans="1:14" x14ac:dyDescent="0.2">
      <c r="A15">
        <v>27</v>
      </c>
      <c r="B15" s="17" t="s">
        <v>155</v>
      </c>
      <c r="C15" s="17" t="s">
        <v>157</v>
      </c>
      <c r="D15" s="18">
        <v>50000</v>
      </c>
      <c r="E15" s="2"/>
      <c r="I15" s="2"/>
      <c r="K15" s="4"/>
      <c r="L15" s="4"/>
      <c r="M15" s="4"/>
      <c r="N15" s="4"/>
    </row>
    <row r="16" spans="1:14" x14ac:dyDescent="0.2">
      <c r="A16">
        <v>21</v>
      </c>
      <c r="B16" s="17" t="s">
        <v>155</v>
      </c>
      <c r="C16" s="17" t="s">
        <v>146</v>
      </c>
      <c r="D16" s="18">
        <v>500000</v>
      </c>
      <c r="E16" s="2"/>
      <c r="I16" s="2"/>
      <c r="K16" s="4"/>
      <c r="L16" s="4"/>
      <c r="M16" s="4"/>
      <c r="N16" s="4"/>
    </row>
    <row r="17" spans="1:14" x14ac:dyDescent="0.2">
      <c r="A17">
        <v>52</v>
      </c>
      <c r="B17" s="17" t="s">
        <v>156</v>
      </c>
      <c r="C17" s="17" t="s">
        <v>146</v>
      </c>
      <c r="D17" s="18">
        <v>100000</v>
      </c>
      <c r="E17" s="2"/>
      <c r="I17" s="2"/>
      <c r="K17" s="4"/>
      <c r="L17" s="4"/>
      <c r="M17" s="4"/>
      <c r="N17" s="4"/>
    </row>
    <row r="18" spans="1:14" x14ac:dyDescent="0.2">
      <c r="A18">
        <v>41</v>
      </c>
      <c r="B18" s="17" t="s">
        <v>155</v>
      </c>
      <c r="C18" s="17" t="s">
        <v>146</v>
      </c>
      <c r="D18" s="18">
        <v>500000</v>
      </c>
      <c r="E18" s="2"/>
      <c r="I18" s="2"/>
      <c r="K18" s="4"/>
      <c r="L18" s="4"/>
      <c r="M18" s="4"/>
      <c r="N18" s="4"/>
    </row>
    <row r="19" spans="1:14" x14ac:dyDescent="0.2">
      <c r="A19">
        <v>38</v>
      </c>
      <c r="B19" s="17" t="s">
        <v>156</v>
      </c>
      <c r="C19" s="17" t="s">
        <v>146</v>
      </c>
      <c r="D19" s="18">
        <v>50000</v>
      </c>
      <c r="E19" s="2"/>
      <c r="I19" s="2"/>
      <c r="K19" s="4"/>
      <c r="L19" s="4"/>
      <c r="M19" s="4"/>
      <c r="N19" s="4"/>
    </row>
    <row r="20" spans="1:14" x14ac:dyDescent="0.2">
      <c r="A20">
        <v>28</v>
      </c>
      <c r="B20" s="17" t="s">
        <v>155</v>
      </c>
      <c r="C20" s="17" t="s">
        <v>157</v>
      </c>
      <c r="D20" s="18">
        <v>50000</v>
      </c>
      <c r="E20" s="2"/>
      <c r="I20" s="2"/>
      <c r="K20" s="4"/>
      <c r="L20" s="4"/>
      <c r="M20" s="4"/>
      <c r="N20" s="4"/>
    </row>
    <row r="21" spans="1:14" x14ac:dyDescent="0.2">
      <c r="A21">
        <v>59</v>
      </c>
      <c r="B21" s="17" t="s">
        <v>156</v>
      </c>
      <c r="C21" s="17" t="s">
        <v>146</v>
      </c>
      <c r="D21" s="18">
        <v>50000</v>
      </c>
      <c r="E21" s="2"/>
      <c r="I21" s="2"/>
      <c r="K21" s="4"/>
      <c r="L21" s="4"/>
      <c r="M21" s="4"/>
      <c r="N21" s="4"/>
    </row>
    <row r="22" spans="1:14" x14ac:dyDescent="0.2">
      <c r="A22">
        <v>55</v>
      </c>
      <c r="B22" s="17" t="s">
        <v>155</v>
      </c>
      <c r="C22" s="17" t="s">
        <v>146</v>
      </c>
      <c r="D22" s="18">
        <v>100000</v>
      </c>
      <c r="E22" s="2"/>
      <c r="I22" s="2"/>
      <c r="K22" s="4"/>
      <c r="L22" s="4"/>
      <c r="M22" s="4"/>
      <c r="N22" s="4"/>
    </row>
    <row r="23" spans="1:14" x14ac:dyDescent="0.2">
      <c r="A23">
        <v>42</v>
      </c>
      <c r="B23" s="17" t="s">
        <v>156</v>
      </c>
      <c r="C23" s="17" t="s">
        <v>146</v>
      </c>
      <c r="D23" s="18">
        <v>250000</v>
      </c>
      <c r="E23" s="2"/>
      <c r="I23" s="2"/>
      <c r="K23" s="4"/>
      <c r="L23" s="4"/>
      <c r="M23" s="4"/>
      <c r="N23" s="4"/>
    </row>
    <row r="24" spans="1:14" x14ac:dyDescent="0.2">
      <c r="A24">
        <v>44</v>
      </c>
      <c r="B24" s="17" t="s">
        <v>156</v>
      </c>
      <c r="C24" s="17" t="s">
        <v>146</v>
      </c>
      <c r="D24" s="18">
        <v>1000000</v>
      </c>
      <c r="E24" s="2"/>
      <c r="I24" s="2"/>
      <c r="K24" s="4"/>
      <c r="L24" s="4"/>
      <c r="M24" s="4"/>
      <c r="N24" s="4"/>
    </row>
    <row r="25" spans="1:14" x14ac:dyDescent="0.2">
      <c r="A25">
        <v>23</v>
      </c>
      <c r="B25" s="17" t="s">
        <v>156</v>
      </c>
      <c r="C25" s="17" t="s">
        <v>146</v>
      </c>
      <c r="D25" s="18">
        <v>100000</v>
      </c>
      <c r="E25" s="2"/>
      <c r="I25" s="2"/>
      <c r="K25" s="4"/>
      <c r="L25" s="4"/>
      <c r="M25" s="4"/>
      <c r="N25" s="4"/>
    </row>
    <row r="26" spans="1:14" x14ac:dyDescent="0.2">
      <c r="A26">
        <v>27</v>
      </c>
      <c r="B26" s="17" t="s">
        <v>156</v>
      </c>
      <c r="C26" s="17" t="s">
        <v>146</v>
      </c>
      <c r="D26" s="18">
        <v>100000</v>
      </c>
      <c r="E26" s="2"/>
      <c r="I26" s="2"/>
      <c r="K26" s="4"/>
      <c r="L26" s="4"/>
      <c r="M26" s="4"/>
      <c r="N26" s="4"/>
    </row>
    <row r="27" spans="1:14" x14ac:dyDescent="0.2">
      <c r="A27">
        <v>24</v>
      </c>
      <c r="B27" s="17" t="s">
        <v>156</v>
      </c>
      <c r="C27" s="17" t="s">
        <v>146</v>
      </c>
      <c r="D27" s="18">
        <v>250000</v>
      </c>
      <c r="E27" s="2"/>
      <c r="I27" s="2"/>
      <c r="K27" s="4"/>
      <c r="L27" s="4"/>
      <c r="M27" s="4"/>
      <c r="N27" s="4"/>
    </row>
    <row r="28" spans="1:14" x14ac:dyDescent="0.2">
      <c r="A28">
        <v>41</v>
      </c>
      <c r="B28" s="17" t="s">
        <v>155</v>
      </c>
      <c r="C28" s="17" t="s">
        <v>146</v>
      </c>
      <c r="D28" s="18">
        <v>50000</v>
      </c>
      <c r="E28" s="2"/>
      <c r="I28" s="2"/>
      <c r="K28" s="4"/>
      <c r="L28" s="4"/>
      <c r="M28" s="4"/>
      <c r="N28" s="4"/>
    </row>
    <row r="29" spans="1:14" x14ac:dyDescent="0.2">
      <c r="A29">
        <v>33</v>
      </c>
      <c r="B29" s="17" t="s">
        <v>155</v>
      </c>
      <c r="C29" s="17" t="s">
        <v>146</v>
      </c>
      <c r="D29" s="18">
        <v>100000</v>
      </c>
      <c r="E29" s="2"/>
      <c r="I29" s="2"/>
      <c r="K29" s="4"/>
      <c r="L29" s="4"/>
      <c r="M29" s="4"/>
      <c r="N29" s="4"/>
    </row>
    <row r="30" spans="1:14" x14ac:dyDescent="0.2">
      <c r="A30">
        <v>26</v>
      </c>
      <c r="B30" s="17" t="s">
        <v>155</v>
      </c>
      <c r="C30" s="17" t="s">
        <v>146</v>
      </c>
      <c r="D30" s="18">
        <v>50000</v>
      </c>
      <c r="E30" s="2"/>
      <c r="I30" s="2"/>
      <c r="K30" s="4"/>
      <c r="L30" s="4"/>
      <c r="M30" s="4"/>
      <c r="N30" s="4"/>
    </row>
    <row r="31" spans="1:14" x14ac:dyDescent="0.2">
      <c r="A31">
        <v>56</v>
      </c>
      <c r="B31" s="17" t="s">
        <v>155</v>
      </c>
      <c r="C31" s="17" t="s">
        <v>146</v>
      </c>
      <c r="D31" s="18">
        <v>250000</v>
      </c>
      <c r="E31" s="2"/>
      <c r="I31" s="2"/>
      <c r="K31" s="4"/>
      <c r="L31" s="4"/>
      <c r="M31" s="4"/>
      <c r="N31" s="4"/>
    </row>
    <row r="32" spans="1:14" x14ac:dyDescent="0.2">
      <c r="A32">
        <v>21</v>
      </c>
      <c r="B32" s="17" t="s">
        <v>156</v>
      </c>
      <c r="C32" s="17" t="s">
        <v>146</v>
      </c>
      <c r="D32" s="18">
        <v>50000</v>
      </c>
      <c r="E32" s="2"/>
      <c r="I32" s="2"/>
      <c r="K32" s="4"/>
      <c r="L32" s="4"/>
      <c r="M32" s="4"/>
      <c r="N32" s="4"/>
    </row>
    <row r="33" spans="1:14" x14ac:dyDescent="0.2">
      <c r="A33">
        <v>46</v>
      </c>
      <c r="B33" s="17" t="s">
        <v>155</v>
      </c>
      <c r="C33" s="17" t="s">
        <v>146</v>
      </c>
      <c r="D33" s="18">
        <v>500000</v>
      </c>
      <c r="E33" s="2"/>
      <c r="I33" s="2"/>
      <c r="K33" s="4"/>
      <c r="L33" s="4"/>
      <c r="M33" s="4"/>
      <c r="N33" s="4"/>
    </row>
    <row r="34" spans="1:14" x14ac:dyDescent="0.2">
      <c r="A34">
        <v>55</v>
      </c>
      <c r="B34" s="17" t="s">
        <v>155</v>
      </c>
      <c r="C34" s="17" t="s">
        <v>146</v>
      </c>
      <c r="D34" s="18">
        <v>100000</v>
      </c>
      <c r="E34" s="2"/>
      <c r="I34" s="2"/>
      <c r="K34" s="4"/>
      <c r="L34" s="4"/>
      <c r="M34" s="4"/>
      <c r="N34" s="4"/>
    </row>
    <row r="35" spans="1:14" x14ac:dyDescent="0.2">
      <c r="A35">
        <v>32</v>
      </c>
      <c r="B35" s="17" t="s">
        <v>155</v>
      </c>
      <c r="C35" s="17" t="s">
        <v>146</v>
      </c>
      <c r="D35" s="18">
        <v>50000</v>
      </c>
      <c r="E35" s="2"/>
      <c r="I35" s="2"/>
      <c r="K35" s="4"/>
      <c r="L35" s="4"/>
      <c r="M35" s="4"/>
      <c r="N35" s="4"/>
    </row>
    <row r="36" spans="1:14" x14ac:dyDescent="0.2">
      <c r="A36">
        <v>46</v>
      </c>
      <c r="B36" s="17" t="s">
        <v>156</v>
      </c>
      <c r="C36" s="17" t="s">
        <v>146</v>
      </c>
      <c r="D36" s="18">
        <v>250000</v>
      </c>
      <c r="E36" s="2"/>
      <c r="I36" s="2"/>
      <c r="K36" s="4"/>
      <c r="L36" s="4"/>
      <c r="M36" s="4"/>
      <c r="N36" s="4"/>
    </row>
    <row r="37" spans="1:14" x14ac:dyDescent="0.2">
      <c r="A37">
        <v>22</v>
      </c>
      <c r="B37" s="17" t="s">
        <v>155</v>
      </c>
      <c r="C37" s="17" t="s">
        <v>146</v>
      </c>
      <c r="D37" s="18">
        <v>50000</v>
      </c>
      <c r="E37" s="2"/>
      <c r="I37" s="2"/>
      <c r="K37" s="4"/>
      <c r="L37" s="4"/>
      <c r="M37" s="4"/>
      <c r="N37" s="4"/>
    </row>
    <row r="38" spans="1:14" x14ac:dyDescent="0.2">
      <c r="A38">
        <v>43</v>
      </c>
      <c r="B38" s="17" t="s">
        <v>155</v>
      </c>
      <c r="C38" s="17" t="s">
        <v>157</v>
      </c>
      <c r="D38" s="18">
        <v>100000</v>
      </c>
      <c r="E38" s="2"/>
      <c r="I38" s="2"/>
      <c r="K38" s="4"/>
      <c r="L38" s="4"/>
      <c r="M38" s="4"/>
      <c r="N38" s="4"/>
    </row>
    <row r="39" spans="1:14" x14ac:dyDescent="0.2">
      <c r="A39">
        <v>54</v>
      </c>
      <c r="B39" s="17" t="s">
        <v>156</v>
      </c>
      <c r="C39" s="17" t="s">
        <v>146</v>
      </c>
      <c r="D39" s="18">
        <v>50000</v>
      </c>
      <c r="E39" s="2"/>
      <c r="I39" s="2"/>
      <c r="K39" s="4"/>
      <c r="L39" s="4"/>
      <c r="M39" s="4"/>
      <c r="N39" s="4"/>
    </row>
    <row r="40" spans="1:14" x14ac:dyDescent="0.2">
      <c r="A40">
        <v>43</v>
      </c>
      <c r="B40" s="17" t="s">
        <v>156</v>
      </c>
      <c r="C40" s="17" t="s">
        <v>146</v>
      </c>
      <c r="D40" s="18">
        <v>100000</v>
      </c>
      <c r="E40" s="2"/>
      <c r="I40" s="2"/>
      <c r="K40" s="4"/>
      <c r="L40" s="4"/>
      <c r="M40" s="4"/>
      <c r="N40" s="4"/>
    </row>
    <row r="41" spans="1:14" x14ac:dyDescent="0.2">
      <c r="A41">
        <v>30</v>
      </c>
      <c r="B41" s="17" t="s">
        <v>155</v>
      </c>
      <c r="C41" s="17" t="s">
        <v>157</v>
      </c>
      <c r="D41" s="18">
        <v>100000</v>
      </c>
      <c r="E41" s="2"/>
      <c r="I41" s="2"/>
      <c r="K41" s="4"/>
      <c r="L41" s="4"/>
      <c r="M41" s="4"/>
      <c r="N41" s="4"/>
    </row>
    <row r="42" spans="1:14" x14ac:dyDescent="0.2">
      <c r="A42">
        <v>29</v>
      </c>
      <c r="B42" s="17" t="s">
        <v>155</v>
      </c>
      <c r="C42" s="17" t="s">
        <v>146</v>
      </c>
      <c r="D42" s="18">
        <v>250000</v>
      </c>
      <c r="E42" s="2"/>
      <c r="I42" s="2"/>
      <c r="K42" s="4"/>
      <c r="L42" s="4"/>
      <c r="M42" s="4"/>
      <c r="N42" s="4"/>
    </row>
    <row r="43" spans="1:14" x14ac:dyDescent="0.2">
      <c r="B43" s="17"/>
      <c r="C43" s="17"/>
      <c r="D43" s="17"/>
      <c r="E43" s="17"/>
      <c r="I43" s="2"/>
      <c r="K43" s="4"/>
      <c r="L43" s="4"/>
      <c r="M43" s="4"/>
      <c r="N43" s="4"/>
    </row>
    <row r="44" spans="1:14" x14ac:dyDescent="0.2">
      <c r="B44" s="17"/>
      <c r="C44" s="17"/>
      <c r="D44" s="17"/>
      <c r="E44" s="17"/>
      <c r="I44" s="2"/>
      <c r="K44" s="4"/>
      <c r="L44" s="4"/>
      <c r="M44" s="4"/>
      <c r="N44" s="4"/>
    </row>
    <row r="45" spans="1:14" x14ac:dyDescent="0.2">
      <c r="B45" s="17"/>
      <c r="C45" s="17"/>
      <c r="D45" s="17"/>
      <c r="E45" s="17"/>
      <c r="I45" s="2"/>
      <c r="K45" s="4"/>
      <c r="L45" s="4"/>
      <c r="M45" s="4"/>
      <c r="N45" s="4"/>
    </row>
    <row r="46" spans="1:14" x14ac:dyDescent="0.2">
      <c r="B46" s="17"/>
      <c r="C46" s="17"/>
      <c r="D46" s="17"/>
      <c r="E46" s="17"/>
      <c r="I46" s="2"/>
      <c r="K46" s="4"/>
      <c r="L46" s="4"/>
      <c r="M46" s="4"/>
      <c r="N46" s="4"/>
    </row>
    <row r="47" spans="1:14" x14ac:dyDescent="0.2">
      <c r="B47" s="17"/>
      <c r="C47" s="17"/>
      <c r="D47" s="17"/>
      <c r="E47" s="17"/>
      <c r="I47" s="2"/>
      <c r="K47" s="4"/>
      <c r="L47" s="4"/>
      <c r="M47" s="4"/>
      <c r="N47" s="4"/>
    </row>
    <row r="48" spans="1:14" x14ac:dyDescent="0.2">
      <c r="B48" s="17"/>
      <c r="C48" s="17"/>
      <c r="D48" s="17"/>
      <c r="E48" s="17"/>
      <c r="I48" s="2"/>
      <c r="K48" s="4"/>
      <c r="L48" s="4"/>
      <c r="M48" s="4"/>
      <c r="N48" s="4"/>
    </row>
    <row r="49" spans="2:14" x14ac:dyDescent="0.2">
      <c r="B49" s="17"/>
      <c r="C49" s="17"/>
      <c r="D49" s="17"/>
      <c r="E49" s="17"/>
      <c r="I49" s="2"/>
      <c r="K49" s="4"/>
      <c r="L49" s="4"/>
      <c r="M49" s="4"/>
      <c r="N49" s="4"/>
    </row>
    <row r="50" spans="2:14" x14ac:dyDescent="0.2">
      <c r="B50" s="17"/>
      <c r="C50" s="17"/>
      <c r="D50" s="17"/>
      <c r="E50" s="17"/>
      <c r="I50" s="2"/>
      <c r="K50" s="4"/>
      <c r="L50" s="4"/>
      <c r="M50" s="4"/>
      <c r="N50" s="4"/>
    </row>
    <row r="51" spans="2:14" x14ac:dyDescent="0.2">
      <c r="B51" s="17"/>
      <c r="C51" s="17"/>
      <c r="D51" s="17"/>
      <c r="E51" s="17"/>
      <c r="I51" s="2"/>
      <c r="K51" s="4"/>
      <c r="L51" s="4"/>
      <c r="M51" s="4"/>
      <c r="N51" s="4"/>
    </row>
    <row r="52" spans="2:14" x14ac:dyDescent="0.2">
      <c r="B52" s="17"/>
      <c r="C52" s="17"/>
      <c r="D52" s="17"/>
      <c r="E52" s="17"/>
      <c r="I52" s="2"/>
      <c r="K52" s="4"/>
      <c r="L52" s="4"/>
      <c r="M52" s="4"/>
      <c r="N52" s="4"/>
    </row>
    <row r="53" spans="2:14" x14ac:dyDescent="0.2">
      <c r="B53" s="17"/>
      <c r="C53" s="17"/>
      <c r="D53" s="17"/>
      <c r="E53" s="17"/>
      <c r="I53" s="2"/>
      <c r="K53" s="4"/>
      <c r="L53" s="4"/>
      <c r="M53" s="4"/>
      <c r="N53" s="4"/>
    </row>
    <row r="54" spans="2:14" x14ac:dyDescent="0.2">
      <c r="B54" s="17"/>
      <c r="C54" s="17"/>
      <c r="D54" s="17"/>
      <c r="E54" s="17"/>
      <c r="I54" s="2"/>
      <c r="K54" s="4"/>
      <c r="L54" s="4"/>
      <c r="M54" s="4"/>
      <c r="N54" s="4"/>
    </row>
    <row r="55" spans="2:14" x14ac:dyDescent="0.2">
      <c r="B55" s="17"/>
      <c r="C55" s="17"/>
      <c r="D55" s="17"/>
      <c r="E55" s="17"/>
      <c r="I55" s="2"/>
      <c r="K55" s="4"/>
      <c r="L55" s="4"/>
      <c r="M55" s="4"/>
      <c r="N55" s="4"/>
    </row>
    <row r="56" spans="2:14" x14ac:dyDescent="0.2">
      <c r="B56" s="17"/>
      <c r="C56" s="17"/>
      <c r="D56" s="17"/>
      <c r="E56" s="17"/>
      <c r="I56" s="2"/>
      <c r="K56" s="4"/>
      <c r="L56" s="4"/>
      <c r="M56" s="4"/>
      <c r="N56" s="4"/>
    </row>
    <row r="57" spans="2:14" x14ac:dyDescent="0.2">
      <c r="B57" s="17"/>
      <c r="C57" s="17"/>
      <c r="D57" s="17"/>
      <c r="E57" s="17"/>
      <c r="I57" s="2"/>
      <c r="K57" s="4"/>
      <c r="L57" s="4"/>
      <c r="M57" s="4"/>
      <c r="N57" s="4"/>
    </row>
    <row r="58" spans="2:14" x14ac:dyDescent="0.2">
      <c r="B58" s="17"/>
      <c r="C58" s="17"/>
      <c r="D58" s="17"/>
      <c r="E58" s="17"/>
      <c r="I58" s="2"/>
      <c r="K58" s="4"/>
      <c r="L58" s="4"/>
      <c r="M58" s="4"/>
      <c r="N58" s="4"/>
    </row>
    <row r="59" spans="2:14" x14ac:dyDescent="0.2">
      <c r="B59" s="17"/>
      <c r="C59" s="17"/>
      <c r="D59" s="17"/>
      <c r="E59" s="17"/>
      <c r="I59" s="2"/>
      <c r="K59" s="4"/>
      <c r="L59" s="4"/>
      <c r="M59" s="4"/>
      <c r="N59" s="4"/>
    </row>
    <row r="60" spans="2:14" x14ac:dyDescent="0.2">
      <c r="B60" s="17"/>
      <c r="C60" s="17"/>
      <c r="D60" s="17"/>
      <c r="E60" s="17"/>
      <c r="I60" s="2"/>
      <c r="K60" s="4"/>
      <c r="L60" s="4"/>
      <c r="M60" s="4"/>
      <c r="N60" s="4"/>
    </row>
    <row r="61" spans="2:14" x14ac:dyDescent="0.2">
      <c r="B61" s="17"/>
      <c r="C61" s="17"/>
      <c r="D61" s="17"/>
      <c r="E61" s="17"/>
      <c r="I61" s="2"/>
      <c r="K61" s="4"/>
      <c r="L61" s="4"/>
      <c r="M61" s="4"/>
      <c r="N61" s="4"/>
    </row>
    <row r="62" spans="2:14" x14ac:dyDescent="0.2">
      <c r="B62" s="17"/>
      <c r="C62" s="17"/>
      <c r="D62" s="17"/>
      <c r="E62" s="17"/>
      <c r="I62" s="2"/>
      <c r="K62" s="4"/>
      <c r="L62" s="4"/>
      <c r="M62" s="4"/>
      <c r="N62" s="4"/>
    </row>
    <row r="63" spans="2:14" x14ac:dyDescent="0.2">
      <c r="B63" s="17"/>
      <c r="C63" s="17"/>
      <c r="D63" s="17"/>
      <c r="E63" s="17"/>
      <c r="I63" s="2"/>
      <c r="K63" s="4"/>
      <c r="L63" s="4"/>
      <c r="M63" s="4"/>
      <c r="N63" s="4"/>
    </row>
    <row r="64" spans="2:14" x14ac:dyDescent="0.2">
      <c r="B64" s="17"/>
      <c r="C64" s="17"/>
      <c r="D64" s="17"/>
      <c r="E64" s="17"/>
      <c r="I64" s="2"/>
      <c r="K64" s="4"/>
      <c r="L64" s="4"/>
      <c r="M64" s="4"/>
      <c r="N64" s="4"/>
    </row>
    <row r="65" spans="2:14" x14ac:dyDescent="0.2">
      <c r="B65" s="17"/>
      <c r="C65" s="17"/>
      <c r="D65" s="17"/>
      <c r="E65" s="17"/>
      <c r="I65" s="2"/>
      <c r="K65" s="4"/>
      <c r="L65" s="4"/>
      <c r="M65" s="4"/>
      <c r="N65" s="4"/>
    </row>
    <row r="66" spans="2:14" x14ac:dyDescent="0.2">
      <c r="B66" s="17"/>
      <c r="C66" s="17"/>
      <c r="D66" s="17"/>
      <c r="E66" s="17"/>
      <c r="I66" s="2"/>
      <c r="K66" s="4"/>
      <c r="L66" s="4"/>
      <c r="M66" s="4"/>
      <c r="N66" s="4"/>
    </row>
    <row r="67" spans="2:14" x14ac:dyDescent="0.2">
      <c r="B67" s="17"/>
      <c r="C67" s="17"/>
      <c r="D67" s="17"/>
      <c r="E67" s="17"/>
      <c r="I67" s="2"/>
      <c r="K67" s="4"/>
      <c r="L67" s="4"/>
      <c r="M67" s="4"/>
      <c r="N67" s="4"/>
    </row>
    <row r="68" spans="2:14" x14ac:dyDescent="0.2">
      <c r="B68" s="17"/>
      <c r="C68" s="17"/>
      <c r="D68" s="17"/>
      <c r="E68" s="17"/>
      <c r="I68" s="2"/>
      <c r="K68" s="4"/>
      <c r="L68" s="4"/>
      <c r="M68" s="4"/>
      <c r="N68" s="4"/>
    </row>
    <row r="69" spans="2:14" x14ac:dyDescent="0.2">
      <c r="B69" s="17"/>
      <c r="C69" s="17"/>
      <c r="D69" s="17"/>
      <c r="E69" s="17"/>
      <c r="I69" s="2"/>
      <c r="K69" s="4"/>
      <c r="L69" s="4"/>
      <c r="M69" s="4"/>
      <c r="N69" s="4"/>
    </row>
    <row r="70" spans="2:14" x14ac:dyDescent="0.2">
      <c r="B70" s="17"/>
      <c r="C70" s="17"/>
      <c r="D70" s="17"/>
      <c r="E70" s="17"/>
      <c r="I70" s="2"/>
      <c r="K70" s="4"/>
      <c r="L70" s="4"/>
      <c r="M70" s="4"/>
      <c r="N70" s="4"/>
    </row>
    <row r="71" spans="2:14" x14ac:dyDescent="0.2">
      <c r="B71" s="17"/>
      <c r="C71" s="17"/>
      <c r="D71" s="17"/>
      <c r="E71" s="17"/>
      <c r="I71" s="2"/>
      <c r="K71" s="4"/>
      <c r="L71" s="4"/>
      <c r="M71" s="4"/>
      <c r="N71" s="4"/>
    </row>
    <row r="72" spans="2:14" x14ac:dyDescent="0.2">
      <c r="B72" s="17"/>
      <c r="C72" s="17"/>
      <c r="D72" s="17"/>
      <c r="E72" s="17"/>
      <c r="I72" s="2"/>
      <c r="K72" s="4"/>
      <c r="L72" s="4"/>
      <c r="M72" s="4"/>
      <c r="N72" s="4"/>
    </row>
    <row r="73" spans="2:14" x14ac:dyDescent="0.2">
      <c r="B73" s="17"/>
      <c r="C73" s="17"/>
      <c r="D73" s="17"/>
      <c r="E73" s="17"/>
      <c r="I73" s="2"/>
      <c r="K73" s="4"/>
      <c r="L73" s="4"/>
      <c r="M73" s="4"/>
      <c r="N73" s="4"/>
    </row>
    <row r="74" spans="2:14" x14ac:dyDescent="0.2">
      <c r="B74" s="17"/>
      <c r="C74" s="17"/>
      <c r="D74" s="17"/>
      <c r="E74" s="17"/>
      <c r="I74" s="2"/>
      <c r="K74" s="4"/>
      <c r="L74" s="4"/>
      <c r="M74" s="4"/>
      <c r="N74" s="4"/>
    </row>
    <row r="75" spans="2:14" x14ac:dyDescent="0.2">
      <c r="B75" s="17"/>
      <c r="C75" s="17"/>
      <c r="D75" s="17"/>
      <c r="E75" s="17"/>
      <c r="I75" s="2"/>
      <c r="K75" s="4"/>
      <c r="L75" s="4"/>
      <c r="M75" s="4"/>
      <c r="N75" s="4"/>
    </row>
    <row r="76" spans="2:14" x14ac:dyDescent="0.2">
      <c r="B76" s="17"/>
      <c r="C76" s="17"/>
      <c r="D76" s="17"/>
      <c r="E76" s="17"/>
      <c r="I76" s="2"/>
      <c r="K76" s="4"/>
      <c r="L76" s="4"/>
      <c r="M76" s="4"/>
      <c r="N76" s="4"/>
    </row>
    <row r="77" spans="2:14" x14ac:dyDescent="0.2">
      <c r="B77" s="17"/>
      <c r="C77" s="17"/>
      <c r="D77" s="17"/>
      <c r="E77" s="17"/>
      <c r="I77" s="2"/>
      <c r="K77" s="4"/>
      <c r="L77" s="4"/>
      <c r="M77" s="4"/>
      <c r="N77" s="4"/>
    </row>
    <row r="78" spans="2:14" x14ac:dyDescent="0.2">
      <c r="B78" s="17"/>
      <c r="C78" s="17"/>
      <c r="D78" s="17"/>
      <c r="E78" s="17"/>
      <c r="I78" s="2"/>
      <c r="K78" s="4"/>
      <c r="L78" s="4"/>
      <c r="M78" s="4"/>
      <c r="N78" s="4"/>
    </row>
    <row r="79" spans="2:14" x14ac:dyDescent="0.2">
      <c r="B79" s="17"/>
      <c r="C79" s="17"/>
      <c r="D79" s="17"/>
      <c r="E79" s="17"/>
      <c r="I79" s="2"/>
      <c r="K79" s="4"/>
      <c r="L79" s="4"/>
      <c r="M79" s="4"/>
      <c r="N79" s="4"/>
    </row>
    <row r="80" spans="2:14" x14ac:dyDescent="0.2">
      <c r="B80" s="17"/>
      <c r="C80" s="17"/>
      <c r="D80" s="17"/>
      <c r="E80" s="17"/>
      <c r="I80" s="2"/>
      <c r="K80" s="4"/>
      <c r="L80" s="4"/>
      <c r="M80" s="4"/>
      <c r="N80" s="4"/>
    </row>
    <row r="81" spans="2:14" x14ac:dyDescent="0.2">
      <c r="B81" s="17"/>
      <c r="C81" s="17"/>
      <c r="D81" s="17"/>
      <c r="E81" s="17"/>
      <c r="I81" s="2"/>
      <c r="K81" s="4"/>
      <c r="L81" s="4"/>
      <c r="M81" s="4"/>
      <c r="N81" s="4"/>
    </row>
    <row r="82" spans="2:14" x14ac:dyDescent="0.2">
      <c r="B82" s="17"/>
      <c r="C82" s="17"/>
      <c r="D82" s="17"/>
      <c r="E82" s="17"/>
      <c r="I82" s="2"/>
      <c r="K82" s="4"/>
      <c r="L82" s="4"/>
      <c r="M82" s="4"/>
      <c r="N82" s="4"/>
    </row>
    <row r="83" spans="2:14" x14ac:dyDescent="0.2">
      <c r="B83" s="17"/>
      <c r="C83" s="17"/>
      <c r="D83" s="17"/>
      <c r="E83" s="17"/>
      <c r="I83" s="2"/>
      <c r="K83" s="4"/>
      <c r="L83" s="4"/>
      <c r="M83" s="4"/>
      <c r="N83" s="4"/>
    </row>
    <row r="84" spans="2:14" x14ac:dyDescent="0.2">
      <c r="B84" s="17"/>
      <c r="C84" s="17"/>
      <c r="D84" s="17"/>
      <c r="E84" s="17"/>
      <c r="I84" s="2"/>
      <c r="K84" s="4"/>
      <c r="L84" s="4"/>
      <c r="M84" s="4"/>
      <c r="N84" s="4"/>
    </row>
    <row r="85" spans="2:14" x14ac:dyDescent="0.2">
      <c r="B85" s="17"/>
      <c r="C85" s="17"/>
      <c r="D85" s="17"/>
      <c r="E85" s="17"/>
      <c r="I85" s="2"/>
      <c r="K85" s="4"/>
      <c r="L85" s="4"/>
      <c r="M85" s="4"/>
      <c r="N85" s="4"/>
    </row>
    <row r="86" spans="2:14" x14ac:dyDescent="0.2">
      <c r="B86" s="17"/>
      <c r="C86" s="17"/>
      <c r="D86" s="17"/>
      <c r="E86" s="17"/>
      <c r="I86" s="2"/>
      <c r="K86" s="4"/>
      <c r="L86" s="4"/>
      <c r="M86" s="4"/>
      <c r="N86" s="4"/>
    </row>
    <row r="87" spans="2:14" x14ac:dyDescent="0.2">
      <c r="B87" s="17"/>
      <c r="C87" s="17"/>
      <c r="D87" s="17"/>
      <c r="E87" s="17"/>
      <c r="I87" s="2"/>
      <c r="K87" s="4"/>
      <c r="L87" s="4"/>
      <c r="M87" s="4"/>
      <c r="N87" s="4"/>
    </row>
    <row r="88" spans="2:14" x14ac:dyDescent="0.2">
      <c r="B88" s="17"/>
      <c r="C88" s="17"/>
      <c r="D88" s="17"/>
      <c r="E88" s="17"/>
      <c r="I88" s="2"/>
      <c r="K88" s="4"/>
      <c r="L88" s="4"/>
      <c r="M88" s="4"/>
      <c r="N88" s="4"/>
    </row>
    <row r="89" spans="2:14" x14ac:dyDescent="0.2">
      <c r="B89" s="17"/>
      <c r="C89" s="17"/>
      <c r="D89" s="17"/>
      <c r="E89" s="17"/>
      <c r="I89" s="2"/>
      <c r="K89" s="4"/>
      <c r="L89" s="4"/>
      <c r="M89" s="4"/>
      <c r="N89" s="4"/>
    </row>
    <row r="90" spans="2:14" x14ac:dyDescent="0.2">
      <c r="B90" s="17"/>
      <c r="C90" s="17"/>
      <c r="D90" s="17"/>
      <c r="E90" s="17"/>
      <c r="I90" s="2"/>
      <c r="K90" s="4"/>
      <c r="L90" s="4"/>
      <c r="M90" s="4"/>
      <c r="N90" s="4"/>
    </row>
    <row r="91" spans="2:14" x14ac:dyDescent="0.2">
      <c r="B91" s="17"/>
      <c r="C91" s="17"/>
      <c r="D91" s="17"/>
      <c r="E91" s="17"/>
      <c r="I91" s="2"/>
      <c r="K91" s="4"/>
      <c r="L91" s="4"/>
      <c r="M91" s="4"/>
      <c r="N91" s="4"/>
    </row>
    <row r="92" spans="2:14" x14ac:dyDescent="0.2">
      <c r="B92" s="17"/>
      <c r="C92" s="17"/>
      <c r="D92" s="17"/>
      <c r="E92" s="17"/>
      <c r="I92" s="2"/>
      <c r="K92" s="4"/>
      <c r="L92" s="4"/>
      <c r="M92" s="4"/>
      <c r="N92" s="4"/>
    </row>
    <row r="93" spans="2:14" x14ac:dyDescent="0.2">
      <c r="B93" s="17"/>
      <c r="C93" s="17"/>
      <c r="D93" s="17"/>
      <c r="E93" s="17"/>
      <c r="I93" s="2"/>
      <c r="K93" s="4"/>
      <c r="L93" s="4"/>
      <c r="M93" s="4"/>
      <c r="N93" s="4"/>
    </row>
    <row r="94" spans="2:14" x14ac:dyDescent="0.2">
      <c r="B94" s="17"/>
      <c r="C94" s="17"/>
      <c r="D94" s="17"/>
      <c r="E94" s="17"/>
      <c r="I94" s="2"/>
      <c r="K94" s="4"/>
      <c r="L94" s="4"/>
      <c r="M94" s="4"/>
      <c r="N94" s="4"/>
    </row>
    <row r="95" spans="2:14" x14ac:dyDescent="0.2">
      <c r="B95" s="17"/>
      <c r="C95" s="17"/>
      <c r="D95" s="17"/>
      <c r="E95" s="17"/>
      <c r="I95" s="2"/>
      <c r="K95" s="4"/>
      <c r="L95" s="4"/>
      <c r="M95" s="4"/>
      <c r="N95" s="4"/>
    </row>
    <row r="96" spans="2:14" x14ac:dyDescent="0.2">
      <c r="B96" s="17"/>
      <c r="C96" s="17"/>
      <c r="D96" s="17"/>
      <c r="E96" s="17"/>
      <c r="I96" s="2"/>
      <c r="K96" s="4"/>
      <c r="L96" s="4"/>
      <c r="M96" s="4"/>
      <c r="N96" s="4"/>
    </row>
    <row r="97" spans="2:14" x14ac:dyDescent="0.2">
      <c r="B97" s="17"/>
      <c r="C97" s="17"/>
      <c r="D97" s="17"/>
      <c r="E97" s="17"/>
      <c r="I97" s="2"/>
      <c r="K97" s="4"/>
      <c r="L97" s="4"/>
      <c r="M97" s="4"/>
      <c r="N97" s="4"/>
    </row>
    <row r="98" spans="2:14" x14ac:dyDescent="0.2">
      <c r="B98" s="17"/>
      <c r="C98" s="17"/>
      <c r="D98" s="17"/>
      <c r="E98" s="17"/>
      <c r="I98" s="2"/>
      <c r="K98" s="4"/>
      <c r="L98" s="4"/>
      <c r="M98" s="4"/>
      <c r="N98" s="4"/>
    </row>
    <row r="99" spans="2:14" x14ac:dyDescent="0.2">
      <c r="B99" s="17"/>
      <c r="C99" s="17"/>
      <c r="D99" s="17"/>
      <c r="E99" s="17"/>
      <c r="I99" s="2"/>
      <c r="K99" s="4"/>
      <c r="L99" s="4"/>
      <c r="M99" s="4"/>
      <c r="N99" s="4"/>
    </row>
    <row r="100" spans="2:14" x14ac:dyDescent="0.2">
      <c r="B100" s="17"/>
      <c r="C100" s="17"/>
      <c r="D100" s="17"/>
      <c r="E100" s="17"/>
      <c r="I100" s="2"/>
      <c r="K100" s="4"/>
      <c r="L100" s="4"/>
      <c r="M100" s="4"/>
      <c r="N100" s="4"/>
    </row>
    <row r="101" spans="2:14" x14ac:dyDescent="0.2">
      <c r="B101" s="17"/>
      <c r="C101" s="17"/>
      <c r="D101" s="17"/>
      <c r="E101" s="17"/>
      <c r="I101" s="2"/>
      <c r="K101" s="4"/>
      <c r="L101" s="4"/>
      <c r="M101" s="4"/>
      <c r="N101" s="4"/>
    </row>
    <row r="102" spans="2:14" x14ac:dyDescent="0.2">
      <c r="B102" s="17"/>
      <c r="C102" s="17"/>
      <c r="D102" s="17"/>
      <c r="E102" s="17"/>
      <c r="I102" s="2"/>
      <c r="K102" s="4"/>
      <c r="L102" s="4"/>
      <c r="M102" s="4"/>
      <c r="N102" s="4"/>
    </row>
    <row r="103" spans="2:14" x14ac:dyDescent="0.2">
      <c r="B103" s="17"/>
      <c r="C103" s="17"/>
      <c r="D103" s="17"/>
      <c r="E103" s="17"/>
      <c r="I103" s="2"/>
      <c r="K103" s="4"/>
      <c r="L103" s="4"/>
      <c r="M103" s="4"/>
      <c r="N103" s="4"/>
    </row>
    <row r="104" spans="2:14" x14ac:dyDescent="0.2">
      <c r="B104" s="17"/>
      <c r="C104" s="17"/>
      <c r="D104" s="17"/>
      <c r="E104" s="17"/>
      <c r="I104" s="2"/>
      <c r="K104" s="4"/>
      <c r="L104" s="4"/>
      <c r="M104" s="4"/>
      <c r="N104" s="4"/>
    </row>
    <row r="105" spans="2:14" x14ac:dyDescent="0.2">
      <c r="B105" s="17"/>
      <c r="C105" s="17"/>
      <c r="D105" s="17"/>
      <c r="E105" s="17"/>
      <c r="I105" s="2"/>
      <c r="K105" s="4"/>
      <c r="L105" s="4"/>
      <c r="M105" s="4"/>
      <c r="N105" s="4"/>
    </row>
    <row r="106" spans="2:14" x14ac:dyDescent="0.2">
      <c r="B106" s="17"/>
      <c r="C106" s="17"/>
      <c r="D106" s="17"/>
      <c r="E106" s="17"/>
      <c r="I106" s="2"/>
      <c r="K106" s="4"/>
      <c r="L106" s="4"/>
      <c r="M106" s="4"/>
      <c r="N106" s="4"/>
    </row>
    <row r="107" spans="2:14" x14ac:dyDescent="0.2">
      <c r="B107" s="17"/>
      <c r="C107" s="17"/>
      <c r="D107" s="17"/>
      <c r="E107" s="17"/>
      <c r="I107" s="2"/>
      <c r="K107" s="4"/>
      <c r="L107" s="4"/>
      <c r="M107" s="4"/>
      <c r="N107" s="4"/>
    </row>
    <row r="108" spans="2:14" x14ac:dyDescent="0.2">
      <c r="B108" s="17"/>
      <c r="C108" s="17"/>
      <c r="D108" s="17"/>
      <c r="E108" s="17"/>
      <c r="I108" s="2"/>
      <c r="K108" s="4"/>
      <c r="L108" s="4"/>
      <c r="M108" s="4"/>
      <c r="N108" s="4"/>
    </row>
    <row r="109" spans="2:14" x14ac:dyDescent="0.2">
      <c r="B109" s="17"/>
      <c r="C109" s="17"/>
      <c r="D109" s="17"/>
      <c r="E109" s="17"/>
      <c r="I109" s="2"/>
      <c r="K109" s="4"/>
      <c r="L109" s="4"/>
      <c r="M109" s="4"/>
      <c r="N109" s="4"/>
    </row>
    <row r="110" spans="2:14" x14ac:dyDescent="0.2">
      <c r="B110" s="17"/>
      <c r="C110" s="17"/>
      <c r="D110" s="17"/>
      <c r="E110" s="17"/>
      <c r="I110" s="2"/>
      <c r="K110" s="4"/>
      <c r="L110" s="4"/>
      <c r="M110" s="4"/>
      <c r="N110" s="4"/>
    </row>
    <row r="111" spans="2:14" x14ac:dyDescent="0.2">
      <c r="B111" s="17"/>
      <c r="C111" s="17"/>
      <c r="D111" s="17"/>
      <c r="E111" s="17"/>
      <c r="I111" s="2"/>
      <c r="K111" s="4"/>
      <c r="L111" s="4"/>
      <c r="M111" s="4"/>
      <c r="N111" s="4"/>
    </row>
  </sheetData>
  <pageMargins left="0.75" right="0.75" top="1" bottom="1" header="0.5" footer="0.5"/>
  <pageSetup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10"/>
  <sheetViews>
    <sheetView workbookViewId="0"/>
  </sheetViews>
  <sheetFormatPr defaultRowHeight="12.75" x14ac:dyDescent="0.2"/>
  <cols>
    <col min="2" max="2" width="13.7109375" customWidth="1"/>
    <col min="3" max="3" width="14" customWidth="1"/>
    <col min="4" max="4" width="18.42578125" customWidth="1"/>
  </cols>
  <sheetData>
    <row r="1" spans="1:5" x14ac:dyDescent="0.2">
      <c r="A1" t="s">
        <v>150</v>
      </c>
      <c r="B1" s="8" t="s">
        <v>158</v>
      </c>
      <c r="C1" s="8" t="s">
        <v>159</v>
      </c>
      <c r="D1" t="s">
        <v>160</v>
      </c>
      <c r="E1" s="8" t="s">
        <v>161</v>
      </c>
    </row>
    <row r="2" spans="1:5" x14ac:dyDescent="0.2">
      <c r="A2">
        <v>0</v>
      </c>
      <c r="B2" s="17">
        <v>5.3982491612014627E-4</v>
      </c>
      <c r="C2" s="17">
        <v>1</v>
      </c>
      <c r="D2">
        <f t="shared" ref="D2:D65" si="0">B2*C2/(1.05^A2)+D3</f>
        <v>3.6231653522584117E-2</v>
      </c>
      <c r="E2">
        <f>D2/(C2/(1.05^A2))</f>
        <v>3.6231653522584117E-2</v>
      </c>
    </row>
    <row r="3" spans="1:5" x14ac:dyDescent="0.2">
      <c r="A3">
        <v>1</v>
      </c>
      <c r="B3" s="17">
        <v>3.5802186485578424E-4</v>
      </c>
      <c r="C3" s="17">
        <f>(1-B2)*C2</f>
        <v>0.99946017508387985</v>
      </c>
      <c r="D3">
        <f t="shared" si="0"/>
        <v>3.5691828606463971E-2</v>
      </c>
      <c r="E3">
        <f t="shared" ref="E3:E66" si="1">D3/(C3/(1.05^A3))</f>
        <v>3.7496661669027438E-2</v>
      </c>
    </row>
    <row r="4" spans="1:5" x14ac:dyDescent="0.2">
      <c r="A4">
        <v>2</v>
      </c>
      <c r="B4" s="17">
        <v>2.8351556768679842E-4</v>
      </c>
      <c r="C4" s="17">
        <f t="shared" ref="C4:C67" si="2">(1-B3)*C3</f>
        <v>0.99910234648814722</v>
      </c>
      <c r="D4">
        <f t="shared" si="0"/>
        <v>3.5351039467671E-2</v>
      </c>
      <c r="E4">
        <f t="shared" si="1"/>
        <v>3.9009538061944335E-2</v>
      </c>
    </row>
    <row r="5" spans="1:5" x14ac:dyDescent="0.2">
      <c r="A5">
        <v>3</v>
      </c>
      <c r="B5" s="17">
        <v>2.1733771869003604E-4</v>
      </c>
      <c r="C5" s="17">
        <f t="shared" si="2"/>
        <v>0.99881908541920539</v>
      </c>
      <c r="D5">
        <f t="shared" si="0"/>
        <v>3.509411332804125E-2</v>
      </c>
      <c r="E5">
        <f t="shared" si="1"/>
        <v>4.0673855290143023E-2</v>
      </c>
    </row>
    <row r="6" spans="1:5" x14ac:dyDescent="0.2">
      <c r="A6">
        <v>4</v>
      </c>
      <c r="B6" s="17">
        <v>1.9740473463403241E-4</v>
      </c>
      <c r="C6" s="17">
        <f t="shared" si="2"/>
        <v>0.99860200435779634</v>
      </c>
      <c r="D6">
        <f t="shared" si="0"/>
        <v>3.4906590545266965E-2</v>
      </c>
      <c r="E6">
        <f t="shared" si="1"/>
        <v>4.2488577820599532E-2</v>
      </c>
    </row>
    <row r="7" spans="1:5" x14ac:dyDescent="0.2">
      <c r="A7">
        <v>5</v>
      </c>
      <c r="B7" s="17">
        <v>1.8795405136828869E-4</v>
      </c>
      <c r="C7" s="17">
        <f t="shared" si="2"/>
        <v>0.99840487559412106</v>
      </c>
      <c r="D7">
        <f t="shared" si="0"/>
        <v>3.4744412223538662E-2</v>
      </c>
      <c r="E7">
        <f t="shared" si="1"/>
        <v>4.441449937272636E-2</v>
      </c>
    </row>
    <row r="8" spans="1:5" x14ac:dyDescent="0.2">
      <c r="A8">
        <v>6</v>
      </c>
      <c r="B8" s="17">
        <v>1.7852118728267641E-4</v>
      </c>
      <c r="C8" s="17">
        <f t="shared" si="2"/>
        <v>0.99821722135284729</v>
      </c>
      <c r="D8">
        <f t="shared" si="0"/>
        <v>3.4597380215251883E-2</v>
      </c>
      <c r="E8">
        <f t="shared" si="1"/>
        <v>4.6446602414522066E-2</v>
      </c>
    </row>
    <row r="9" spans="1:5" x14ac:dyDescent="0.2">
      <c r="A9">
        <v>7</v>
      </c>
      <c r="B9" s="17">
        <v>1.6169872476634595E-4</v>
      </c>
      <c r="C9" s="17">
        <f t="shared" si="2"/>
        <v>0.99803901842932541</v>
      </c>
      <c r="D9">
        <f t="shared" si="0"/>
        <v>3.4464402449994165E-2</v>
      </c>
      <c r="E9">
        <f t="shared" si="1"/>
        <v>4.8590159661594419E-2</v>
      </c>
    </row>
    <row r="10" spans="1:5" x14ac:dyDescent="0.2">
      <c r="A10">
        <v>8</v>
      </c>
      <c r="B10" s="17">
        <v>1.5539738731329411E-4</v>
      </c>
      <c r="C10" s="17">
        <f t="shared" si="2"/>
        <v>0.9978776367927783</v>
      </c>
      <c r="D10">
        <f t="shared" si="0"/>
        <v>3.4349711533874311E-2</v>
      </c>
      <c r="E10">
        <f t="shared" si="1"/>
        <v>5.0858107674824515E-2</v>
      </c>
    </row>
    <row r="11" spans="1:5" x14ac:dyDescent="0.2">
      <c r="A11">
        <v>9</v>
      </c>
      <c r="B11" s="17">
        <v>1.7249911769279258E-4</v>
      </c>
      <c r="C11" s="17">
        <f t="shared" si="2"/>
        <v>0.99772256921516234</v>
      </c>
      <c r="D11">
        <f t="shared" si="0"/>
        <v>3.4244755693569391E-2</v>
      </c>
      <c r="E11">
        <f t="shared" si="1"/>
        <v>5.3246120109836433E-2</v>
      </c>
    </row>
    <row r="12" spans="1:5" x14ac:dyDescent="0.2">
      <c r="A12">
        <v>10</v>
      </c>
      <c r="B12" s="17">
        <v>1.8169251736932512E-4</v>
      </c>
      <c r="C12" s="17">
        <f t="shared" si="2"/>
        <v>0.99755046295227057</v>
      </c>
      <c r="D12">
        <f t="shared" si="0"/>
        <v>3.413381446197241E-2</v>
      </c>
      <c r="E12">
        <f t="shared" si="1"/>
        <v>5.5736916610689073E-2</v>
      </c>
    </row>
    <row r="13" spans="1:5" x14ac:dyDescent="0.2">
      <c r="A13">
        <v>11</v>
      </c>
      <c r="B13" s="17">
        <v>2.1342319725892178E-4</v>
      </c>
      <c r="C13" s="17">
        <f t="shared" si="2"/>
        <v>0.99736921549745383</v>
      </c>
      <c r="D13">
        <f t="shared" si="0"/>
        <v>3.4022544247289885E-2</v>
      </c>
      <c r="E13">
        <f t="shared" si="1"/>
        <v>5.8343585890978628E-2</v>
      </c>
    </row>
    <row r="14" spans="1:5" x14ac:dyDescent="0.2">
      <c r="A14">
        <v>12</v>
      </c>
      <c r="B14" s="17">
        <v>2.3990294867348716E-4</v>
      </c>
      <c r="C14" s="17">
        <f t="shared" si="2"/>
        <v>0.99715635377063472</v>
      </c>
      <c r="D14">
        <f t="shared" si="0"/>
        <v>3.3898088404179585E-2</v>
      </c>
      <c r="E14">
        <f t="shared" si="1"/>
        <v>6.1049700250624853E-2</v>
      </c>
    </row>
    <row r="15" spans="1:5" x14ac:dyDescent="0.2">
      <c r="A15">
        <v>13</v>
      </c>
      <c r="B15" s="17">
        <v>2.9237278373694942E-4</v>
      </c>
      <c r="C15" s="17">
        <f t="shared" si="2"/>
        <v>0.99691713302107665</v>
      </c>
      <c r="D15">
        <f t="shared" si="0"/>
        <v>3.3764881339621168E-2</v>
      </c>
      <c r="E15">
        <f t="shared" si="1"/>
        <v>6.3865608714898492E-2</v>
      </c>
    </row>
    <row r="16" spans="1:5" x14ac:dyDescent="0.2">
      <c r="A16">
        <v>14</v>
      </c>
      <c r="B16" s="17">
        <v>3.4038972238725762E-4</v>
      </c>
      <c r="C16" s="17">
        <f t="shared" si="2"/>
        <v>0.99662566158374022</v>
      </c>
      <c r="D16">
        <f t="shared" si="0"/>
        <v>3.3610307813298386E-2</v>
      </c>
      <c r="E16">
        <f t="shared" si="1"/>
        <v>6.6771419873622118E-2</v>
      </c>
    </row>
    <row r="17" spans="1:5" x14ac:dyDescent="0.2">
      <c r="A17">
        <v>15</v>
      </c>
      <c r="B17" s="17">
        <v>3.8479785357725671E-4</v>
      </c>
      <c r="C17" s="17">
        <f t="shared" si="2"/>
        <v>0.99628642045146976</v>
      </c>
      <c r="D17">
        <f t="shared" si="0"/>
        <v>3.343896798905064E-2</v>
      </c>
      <c r="E17">
        <f t="shared" si="1"/>
        <v>6.977633280534945E-2</v>
      </c>
    </row>
    <row r="18" spans="1:5" x14ac:dyDescent="0.2">
      <c r="A18">
        <v>16</v>
      </c>
      <c r="B18" s="17">
        <v>4.3682176825143859E-4</v>
      </c>
      <c r="C18" s="17">
        <f t="shared" si="2"/>
        <v>0.99590305157533188</v>
      </c>
      <c r="D18">
        <f t="shared" si="0"/>
        <v>3.3254561004752395E-2</v>
      </c>
      <c r="E18">
        <f t="shared" si="1"/>
        <v>7.2889159291405173E-2</v>
      </c>
    </row>
    <row r="19" spans="1:5" x14ac:dyDescent="0.2">
      <c r="A19">
        <v>17</v>
      </c>
      <c r="B19" s="17">
        <v>4.631531351771967E-4</v>
      </c>
      <c r="C19" s="17">
        <f t="shared" si="2"/>
        <v>0.99546801944333574</v>
      </c>
      <c r="D19">
        <f t="shared" si="0"/>
        <v>3.3055267772648479E-2</v>
      </c>
      <c r="E19">
        <f t="shared" si="1"/>
        <v>7.6108200117865343E-2</v>
      </c>
    </row>
    <row r="20" spans="1:5" x14ac:dyDescent="0.2">
      <c r="A20">
        <v>18</v>
      </c>
      <c r="B20" s="17">
        <v>4.813240519776496E-4</v>
      </c>
      <c r="C20" s="17">
        <f t="shared" si="2"/>
        <v>0.99500696530916188</v>
      </c>
      <c r="D20">
        <f t="shared" si="0"/>
        <v>3.2854111381099151E-2</v>
      </c>
      <c r="E20">
        <f t="shared" si="1"/>
        <v>7.9464103380437259E-2</v>
      </c>
    </row>
    <row r="21" spans="1:5" x14ac:dyDescent="0.2">
      <c r="A21">
        <v>19</v>
      </c>
      <c r="B21" s="17">
        <v>5.3388604517279337E-4</v>
      </c>
      <c r="C21" s="17">
        <f t="shared" si="2"/>
        <v>0.99452804452487331</v>
      </c>
      <c r="D21">
        <f t="shared" si="0"/>
        <v>3.2655109903181906E-2</v>
      </c>
      <c r="E21">
        <f t="shared" si="1"/>
        <v>8.2971854644160001E-2</v>
      </c>
    </row>
    <row r="22" spans="1:5" x14ac:dyDescent="0.2">
      <c r="A22">
        <v>20</v>
      </c>
      <c r="B22" s="17">
        <v>5.5246567626388021E-4</v>
      </c>
      <c r="C22" s="17">
        <f t="shared" si="2"/>
        <v>0.99399707988036845</v>
      </c>
      <c r="D22">
        <f t="shared" si="0"/>
        <v>3.2444989163376077E-2</v>
      </c>
      <c r="E22">
        <f t="shared" si="1"/>
        <v>8.6606104819726609E-2</v>
      </c>
    </row>
    <row r="23" spans="1:5" x14ac:dyDescent="0.2">
      <c r="A23">
        <v>21</v>
      </c>
      <c r="B23" s="17">
        <v>5.73672960221705E-4</v>
      </c>
      <c r="C23" s="17">
        <f t="shared" si="2"/>
        <v>0.993447930611428</v>
      </c>
      <c r="D23">
        <f t="shared" si="0"/>
        <v>3.2238020579385032E-2</v>
      </c>
      <c r="E23">
        <f t="shared" si="1"/>
        <v>9.0406267460326817E-2</v>
      </c>
    </row>
    <row r="24" spans="1:5" x14ac:dyDescent="0.2">
      <c r="A24">
        <v>22</v>
      </c>
      <c r="B24" s="17">
        <v>6.0724548023272096E-4</v>
      </c>
      <c r="C24" s="17">
        <f t="shared" si="2"/>
        <v>0.99287801639624806</v>
      </c>
      <c r="D24">
        <f t="shared" si="0"/>
        <v>3.2033454223345838E-2</v>
      </c>
      <c r="E24">
        <f t="shared" si="1"/>
        <v>9.437836654202543E-2</v>
      </c>
    </row>
    <row r="25" spans="1:5" x14ac:dyDescent="0.2">
      <c r="A25">
        <v>23</v>
      </c>
      <c r="B25" s="17">
        <v>6.4016764437635487E-4</v>
      </c>
      <c r="C25" s="17">
        <f t="shared" si="2"/>
        <v>0.99227509570836903</v>
      </c>
      <c r="D25">
        <f t="shared" si="0"/>
        <v>3.1827345863918929E-2</v>
      </c>
      <c r="E25">
        <f t="shared" si="1"/>
        <v>9.8519502637573808E-2</v>
      </c>
    </row>
    <row r="26" spans="1:5" x14ac:dyDescent="0.2">
      <c r="A26">
        <v>24</v>
      </c>
      <c r="B26" s="17">
        <v>6.7794344001137485E-4</v>
      </c>
      <c r="C26" s="17">
        <f t="shared" si="2"/>
        <v>0.99163987329777603</v>
      </c>
      <c r="D26">
        <f t="shared" si="0"/>
        <v>3.1620535674230801E-2</v>
      </c>
      <c r="E26">
        <f t="shared" si="1"/>
        <v>0.10283913603031954</v>
      </c>
    </row>
    <row r="27" spans="1:5" x14ac:dyDescent="0.2">
      <c r="A27">
        <v>25</v>
      </c>
      <c r="B27" s="17">
        <v>7.2449007306352176E-4</v>
      </c>
      <c r="C27" s="17">
        <f t="shared" si="2"/>
        <v>0.99096759755082009</v>
      </c>
      <c r="D27">
        <f t="shared" si="0"/>
        <v>3.1412084538238468E-2</v>
      </c>
      <c r="E27">
        <f t="shared" si="1"/>
        <v>0.10734202404085964</v>
      </c>
    </row>
    <row r="28" spans="1:5" x14ac:dyDescent="0.2">
      <c r="A28">
        <v>26</v>
      </c>
      <c r="B28" s="17">
        <v>7.5760099593880081E-4</v>
      </c>
      <c r="C28" s="17">
        <f t="shared" si="2"/>
        <v>0.99024965136366694</v>
      </c>
      <c r="D28">
        <f t="shared" si="0"/>
        <v>3.1200073039242295E-2</v>
      </c>
      <c r="E28">
        <f t="shared" si="1"/>
        <v>0.11202957498114927</v>
      </c>
    </row>
    <row r="29" spans="1:5" x14ac:dyDescent="0.2">
      <c r="A29">
        <v>27</v>
      </c>
      <c r="B29" s="17">
        <v>7.8690929987268454E-4</v>
      </c>
      <c r="C29" s="17">
        <f t="shared" si="2"/>
        <v>0.98949943724156575</v>
      </c>
      <c r="D29">
        <f t="shared" si="0"/>
        <v>3.0989082268172506E-2</v>
      </c>
      <c r="E29">
        <f t="shared" si="1"/>
        <v>0.11692415454040013</v>
      </c>
    </row>
    <row r="30" spans="1:5" x14ac:dyDescent="0.2">
      <c r="A30">
        <v>28</v>
      </c>
      <c r="B30" s="17">
        <v>8.1817374671833143E-4</v>
      </c>
      <c r="C30" s="17">
        <f t="shared" si="2"/>
        <v>0.98872079093218157</v>
      </c>
      <c r="D30">
        <f t="shared" si="0"/>
        <v>3.0780523163108215E-2</v>
      </c>
      <c r="E30">
        <f t="shared" si="1"/>
        <v>0.12204014202527126</v>
      </c>
    </row>
    <row r="31" spans="1:5" x14ac:dyDescent="0.2">
      <c r="A31">
        <v>29</v>
      </c>
      <c r="B31" s="17">
        <v>8.8165426968844773E-4</v>
      </c>
      <c r="C31" s="17">
        <f t="shared" si="2"/>
        <v>0.98791184553820632</v>
      </c>
      <c r="D31">
        <f t="shared" si="0"/>
        <v>3.0574166340308913E-2</v>
      </c>
      <c r="E31">
        <f t="shared" si="1"/>
        <v>0.12738729163015794</v>
      </c>
    </row>
    <row r="32" spans="1:5" x14ac:dyDescent="0.2">
      <c r="A32">
        <v>30</v>
      </c>
      <c r="B32" s="17">
        <v>9.1752890265373033E-4</v>
      </c>
      <c r="C32" s="17">
        <f t="shared" si="2"/>
        <v>0.98704084884151178</v>
      </c>
      <c r="D32">
        <f t="shared" si="0"/>
        <v>3.0362560897166605E-2</v>
      </c>
      <c r="E32">
        <f t="shared" si="1"/>
        <v>0.13294813351805623</v>
      </c>
    </row>
    <row r="33" spans="1:5" x14ac:dyDescent="0.2">
      <c r="A33">
        <v>31</v>
      </c>
      <c r="B33" s="17">
        <v>9.4959862948307272E-4</v>
      </c>
      <c r="C33" s="17">
        <f t="shared" si="2"/>
        <v>0.98613521033459983</v>
      </c>
      <c r="D33">
        <f t="shared" si="0"/>
        <v>3.0153016570032814E-2</v>
      </c>
      <c r="E33">
        <f t="shared" si="1"/>
        <v>0.13875945065266285</v>
      </c>
    </row>
    <row r="34" spans="1:5" x14ac:dyDescent="0.2">
      <c r="A34">
        <v>32</v>
      </c>
      <c r="B34" s="17">
        <v>9.7279453827670004E-4</v>
      </c>
      <c r="C34" s="17">
        <f t="shared" si="2"/>
        <v>0.98519877769038111</v>
      </c>
      <c r="D34">
        <f t="shared" si="0"/>
        <v>2.9946664764263872E-2</v>
      </c>
      <c r="E34">
        <f t="shared" si="1"/>
        <v>0.14483788247903809</v>
      </c>
    </row>
    <row r="35" spans="1:5" x14ac:dyDescent="0.2">
      <c r="A35">
        <v>33</v>
      </c>
      <c r="B35" s="17">
        <v>9.9095015474415238E-4</v>
      </c>
      <c r="C35" s="17">
        <f t="shared" si="2"/>
        <v>0.98424038170032702</v>
      </c>
      <c r="D35">
        <f t="shared" si="0"/>
        <v>2.9745529871764355E-2</v>
      </c>
      <c r="E35">
        <f t="shared" si="1"/>
        <v>0.15120543415830642</v>
      </c>
    </row>
    <row r="36" spans="1:5" x14ac:dyDescent="0.2">
      <c r="A36">
        <v>34</v>
      </c>
      <c r="B36" s="17">
        <v>1.0123789153249074E-3</v>
      </c>
      <c r="C36" s="17">
        <f t="shared" si="2"/>
        <v>0.98326504854177565</v>
      </c>
      <c r="D36">
        <f t="shared" si="0"/>
        <v>2.9550587556407413E-2</v>
      </c>
      <c r="E36">
        <f t="shared" si="1"/>
        <v>0.15788166106019924</v>
      </c>
    </row>
    <row r="37" spans="1:5" x14ac:dyDescent="0.2">
      <c r="A37">
        <v>35</v>
      </c>
      <c r="B37" s="17">
        <v>1.0415267672474471E-3</v>
      </c>
      <c r="C37" s="17">
        <f t="shared" si="2"/>
        <v>0.98226961173845606</v>
      </c>
      <c r="D37">
        <f t="shared" si="0"/>
        <v>2.9361101383176928E-2</v>
      </c>
      <c r="E37">
        <f t="shared" si="1"/>
        <v>0.16487966695050454</v>
      </c>
    </row>
    <row r="38" spans="1:5" x14ac:dyDescent="0.2">
      <c r="A38">
        <v>36</v>
      </c>
      <c r="B38" s="17">
        <v>1.0896151281881705E-3</v>
      </c>
      <c r="C38" s="17">
        <f t="shared" si="2"/>
        <v>0.98124655164517671</v>
      </c>
      <c r="D38">
        <f t="shared" si="0"/>
        <v>2.917563052693348E-2</v>
      </c>
      <c r="E38">
        <f t="shared" si="1"/>
        <v>0.17220940790031994</v>
      </c>
    </row>
    <row r="39" spans="1:5" x14ac:dyDescent="0.2">
      <c r="A39">
        <v>37</v>
      </c>
      <c r="B39" s="17">
        <v>1.1525219202100923E-3</v>
      </c>
      <c r="C39" s="17">
        <f t="shared" si="2"/>
        <v>0.98017737055802168</v>
      </c>
      <c r="D39">
        <f t="shared" si="0"/>
        <v>2.8991028484663083E-2</v>
      </c>
      <c r="E39">
        <f t="shared" si="1"/>
        <v>0.17987177341618671</v>
      </c>
    </row>
    <row r="40" spans="1:5" x14ac:dyDescent="0.2">
      <c r="A40">
        <v>38</v>
      </c>
      <c r="B40" s="17">
        <v>1.2276603993985891E-3</v>
      </c>
      <c r="C40" s="17">
        <f t="shared" si="2"/>
        <v>0.97904769465275965</v>
      </c>
      <c r="D40">
        <f t="shared" si="0"/>
        <v>2.8805269512127137E-2</v>
      </c>
      <c r="E40">
        <f t="shared" si="1"/>
        <v>0.18787174036973955</v>
      </c>
    </row>
    <row r="41" spans="1:5" x14ac:dyDescent="0.2">
      <c r="A41">
        <v>39</v>
      </c>
      <c r="B41" s="17">
        <v>1.3634571533976958E-3</v>
      </c>
      <c r="C41" s="17">
        <f t="shared" si="2"/>
        <v>0.97784575656891193</v>
      </c>
      <c r="D41">
        <f t="shared" si="0"/>
        <v>2.8617039560116016E-2</v>
      </c>
      <c r="E41">
        <f t="shared" si="1"/>
        <v>0.1962171720206298</v>
      </c>
    </row>
    <row r="42" spans="1:5" x14ac:dyDescent="0.2">
      <c r="A42">
        <v>40</v>
      </c>
      <c r="B42" s="17">
        <v>1.4636616112291279E-3</v>
      </c>
      <c r="C42" s="17">
        <f t="shared" si="2"/>
        <v>0.9765125057771985</v>
      </c>
      <c r="D42">
        <f t="shared" si="0"/>
        <v>2.8418187915810376E-2</v>
      </c>
      <c r="E42">
        <f t="shared" si="1"/>
        <v>0.20487573990372304</v>
      </c>
    </row>
    <row r="43" spans="1:5" x14ac:dyDescent="0.2">
      <c r="A43">
        <v>41</v>
      </c>
      <c r="B43" s="17">
        <v>1.5721552531172689E-3</v>
      </c>
      <c r="C43" s="17">
        <f t="shared" si="2"/>
        <v>0.97508322190960728</v>
      </c>
      <c r="D43">
        <f t="shared" si="0"/>
        <v>2.8215164313637599E-2</v>
      </c>
      <c r="E43">
        <f t="shared" si="1"/>
        <v>0.2138957532098969</v>
      </c>
    </row>
    <row r="44" spans="1:5" x14ac:dyDescent="0.2">
      <c r="A44">
        <v>42</v>
      </c>
      <c r="B44" s="17">
        <v>1.6787845132535395E-3</v>
      </c>
      <c r="C44" s="17">
        <f t="shared" si="2"/>
        <v>0.97355023970005561</v>
      </c>
      <c r="D44">
        <f t="shared" si="0"/>
        <v>2.8007780024199545E-2</v>
      </c>
      <c r="E44">
        <f t="shared" si="1"/>
        <v>0.22329082569921452</v>
      </c>
    </row>
    <row r="45" spans="1:5" x14ac:dyDescent="0.2">
      <c r="A45">
        <v>43</v>
      </c>
      <c r="B45" s="17">
        <v>1.7846421867510065E-3</v>
      </c>
      <c r="C45" s="17">
        <f t="shared" si="2"/>
        <v>0.97191585863477292</v>
      </c>
      <c r="D45">
        <f t="shared" si="0"/>
        <v>2.7797206986959873E-2</v>
      </c>
      <c r="E45">
        <f t="shared" si="1"/>
        <v>0.23308394095562346</v>
      </c>
    </row>
    <row r="46" spans="1:5" x14ac:dyDescent="0.2">
      <c r="A46">
        <v>44</v>
      </c>
      <c r="B46" s="17">
        <v>1.9562355580331481E-3</v>
      </c>
      <c r="C46" s="17">
        <f t="shared" si="2"/>
        <v>0.97018133659148098</v>
      </c>
      <c r="D46">
        <f t="shared" si="0"/>
        <v>2.7584373498477612E-2</v>
      </c>
      <c r="E46">
        <f t="shared" si="1"/>
        <v>0.24329846441087544</v>
      </c>
    </row>
    <row r="47" spans="1:5" x14ac:dyDescent="0.2">
      <c r="A47">
        <v>45</v>
      </c>
      <c r="B47" s="17">
        <v>2.0316672040490147E-3</v>
      </c>
      <c r="C47" s="17">
        <f t="shared" si="2"/>
        <v>0.96828343336310063</v>
      </c>
      <c r="D47">
        <f t="shared" si="0"/>
        <v>2.7362581994719248E-2</v>
      </c>
      <c r="E47">
        <f t="shared" si="1"/>
        <v>0.25390604031995773</v>
      </c>
    </row>
    <row r="48" spans="1:5" x14ac:dyDescent="0.2">
      <c r="A48">
        <v>46</v>
      </c>
      <c r="B48" s="17">
        <v>2.2011087110828109E-3</v>
      </c>
      <c r="C48" s="17">
        <f t="shared" si="2"/>
        <v>0.96631620366731286</v>
      </c>
      <c r="D48">
        <f t="shared" si="0"/>
        <v>2.7143636197341919E-2</v>
      </c>
      <c r="E48">
        <f t="shared" si="1"/>
        <v>0.2650064967800721</v>
      </c>
    </row>
    <row r="49" spans="1:5" x14ac:dyDescent="0.2">
      <c r="A49">
        <v>47</v>
      </c>
      <c r="B49" s="17">
        <v>2.4089256301851325E-3</v>
      </c>
      <c r="C49" s="17">
        <f t="shared" si="2"/>
        <v>0.96418923665376022</v>
      </c>
      <c r="D49">
        <f t="shared" si="0"/>
        <v>2.691818476573413E-2</v>
      </c>
      <c r="E49">
        <f t="shared" si="1"/>
        <v>0.27655438373556734</v>
      </c>
    </row>
    <row r="50" spans="1:5" x14ac:dyDescent="0.2">
      <c r="A50">
        <v>48</v>
      </c>
      <c r="B50" s="17">
        <v>2.6360641868143908E-3</v>
      </c>
      <c r="C50" s="17">
        <f t="shared" si="2"/>
        <v>0.96186657648923635</v>
      </c>
      <c r="D50">
        <f t="shared" si="0"/>
        <v>2.668371404672272E-2</v>
      </c>
      <c r="E50">
        <f t="shared" si="1"/>
        <v>0.28854782125280126</v>
      </c>
    </row>
    <row r="51" spans="1:5" x14ac:dyDescent="0.2">
      <c r="A51">
        <v>49</v>
      </c>
      <c r="B51" s="17">
        <v>2.9932199680439142E-3</v>
      </c>
      <c r="C51" s="17">
        <f t="shared" si="2"/>
        <v>0.95933103445445933</v>
      </c>
      <c r="D51">
        <f t="shared" si="0"/>
        <v>2.643994168807394E-2</v>
      </c>
      <c r="E51">
        <f t="shared" si="1"/>
        <v>0.30100080235457549</v>
      </c>
    </row>
    <row r="52" spans="1:5" x14ac:dyDescent="0.2">
      <c r="A52">
        <v>50</v>
      </c>
      <c r="B52" s="17">
        <v>3.3057743432399755E-3</v>
      </c>
      <c r="C52" s="17">
        <f t="shared" si="2"/>
        <v>0.95645954564616598</v>
      </c>
      <c r="D52">
        <f t="shared" si="0"/>
        <v>2.6177016935729151E-2</v>
      </c>
      <c r="E52">
        <f t="shared" si="1"/>
        <v>0.31384737573783483</v>
      </c>
    </row>
    <row r="53" spans="1:5" x14ac:dyDescent="0.2">
      <c r="A53">
        <v>51</v>
      </c>
      <c r="B53" s="17">
        <v>3.6807233449592802E-3</v>
      </c>
      <c r="C53" s="17">
        <f t="shared" si="2"/>
        <v>0.95329770621982191</v>
      </c>
      <c r="D53">
        <f t="shared" si="0"/>
        <v>2.5901292753663735E-2</v>
      </c>
      <c r="E53">
        <f t="shared" si="1"/>
        <v>0.32715016608977082</v>
      </c>
    </row>
    <row r="54" spans="1:5" x14ac:dyDescent="0.2">
      <c r="A54">
        <v>52</v>
      </c>
      <c r="B54" s="17">
        <v>4.1076304374750849E-3</v>
      </c>
      <c r="C54" s="17">
        <f t="shared" si="2"/>
        <v>0.94978888109784243</v>
      </c>
      <c r="D54">
        <f t="shared" si="0"/>
        <v>2.5609880727062856E-2</v>
      </c>
      <c r="E54">
        <f t="shared" si="1"/>
        <v>0.34089766487540119</v>
      </c>
    </row>
    <row r="55" spans="1:5" x14ac:dyDescent="0.2">
      <c r="A55">
        <v>53</v>
      </c>
      <c r="B55" s="17">
        <v>4.5674100841808229E-3</v>
      </c>
      <c r="C55" s="17">
        <f t="shared" si="2"/>
        <v>0.94588749938066952</v>
      </c>
      <c r="D55">
        <f t="shared" si="0"/>
        <v>2.5301295669394482E-2</v>
      </c>
      <c r="E55">
        <f t="shared" si="1"/>
        <v>0.35508810687561004</v>
      </c>
    </row>
    <row r="56" spans="1:5" x14ac:dyDescent="0.2">
      <c r="A56">
        <v>54</v>
      </c>
      <c r="B56" s="17">
        <v>5.2746265313226015E-3</v>
      </c>
      <c r="C56" s="17">
        <f t="shared" si="2"/>
        <v>0.94156724327749763</v>
      </c>
      <c r="D56">
        <f t="shared" si="0"/>
        <v>2.4975851390226567E-2</v>
      </c>
      <c r="E56">
        <f t="shared" si="1"/>
        <v>0.3697354651228823</v>
      </c>
    </row>
    <row r="57" spans="1:5" x14ac:dyDescent="0.2">
      <c r="A57">
        <v>55</v>
      </c>
      <c r="B57" s="17">
        <v>5.9618981285473049E-3</v>
      </c>
      <c r="C57" s="17">
        <f t="shared" si="2"/>
        <v>0.93660082771508191</v>
      </c>
      <c r="D57">
        <f t="shared" si="0"/>
        <v>2.4619547219239139E-2</v>
      </c>
      <c r="E57">
        <f t="shared" si="1"/>
        <v>0.38471309843710133</v>
      </c>
    </row>
    <row r="58" spans="1:5" x14ac:dyDescent="0.2">
      <c r="A58">
        <v>56</v>
      </c>
      <c r="B58" s="17">
        <v>6.8024953671210753E-3</v>
      </c>
      <c r="C58" s="17">
        <f t="shared" si="2"/>
        <v>0.9310169089931315</v>
      </c>
      <c r="D58">
        <f t="shared" si="0"/>
        <v>2.4238018144486149E-2</v>
      </c>
      <c r="E58">
        <f t="shared" si="1"/>
        <v>0.40007396052048932</v>
      </c>
    </row>
    <row r="59" spans="1:5" x14ac:dyDescent="0.2">
      <c r="A59">
        <v>57</v>
      </c>
      <c r="B59" s="17">
        <v>7.7734158158465627E-3</v>
      </c>
      <c r="C59" s="17">
        <f t="shared" si="2"/>
        <v>0.92468367078299429</v>
      </c>
      <c r="D59">
        <f t="shared" si="0"/>
        <v>2.3825896830913133E-2</v>
      </c>
      <c r="E59">
        <f t="shared" si="1"/>
        <v>0.41576326610251829</v>
      </c>
    </row>
    <row r="60" spans="1:5" x14ac:dyDescent="0.2">
      <c r="A60">
        <v>58</v>
      </c>
      <c r="B60" s="17">
        <v>8.8208238153785201E-3</v>
      </c>
      <c r="C60" s="17">
        <f t="shared" si="2"/>
        <v>0.91749572011187475</v>
      </c>
      <c r="D60">
        <f t="shared" si="0"/>
        <v>2.338043033987763E-2</v>
      </c>
      <c r="E60">
        <f t="shared" si="1"/>
        <v>0.4317454799432161</v>
      </c>
    </row>
    <row r="61" spans="1:5" x14ac:dyDescent="0.2">
      <c r="A61">
        <v>59</v>
      </c>
      <c r="B61" s="17">
        <v>1.0305990639196128E-2</v>
      </c>
      <c r="C61" s="17">
        <f t="shared" si="2"/>
        <v>0.90940265201340409</v>
      </c>
      <c r="D61">
        <f t="shared" si="0"/>
        <v>2.2902753869974771E-2</v>
      </c>
      <c r="E61">
        <f t="shared" si="1"/>
        <v>0.44802281928844206</v>
      </c>
    </row>
    <row r="62" spans="1:5" x14ac:dyDescent="0.2">
      <c r="A62">
        <v>60</v>
      </c>
      <c r="B62" s="17">
        <v>1.1747980615159692E-2</v>
      </c>
      <c r="C62" s="17">
        <f t="shared" si="2"/>
        <v>0.90003035679449384</v>
      </c>
      <c r="D62">
        <f t="shared" si="0"/>
        <v>2.2375915600061087E-2</v>
      </c>
      <c r="E62">
        <f t="shared" si="1"/>
        <v>0.46438865521530587</v>
      </c>
    </row>
    <row r="63" spans="1:5" x14ac:dyDescent="0.2">
      <c r="A63">
        <v>61</v>
      </c>
      <c r="B63" s="17">
        <v>1.3317943383044817E-2</v>
      </c>
      <c r="C63" s="17">
        <f t="shared" si="2"/>
        <v>0.88945681760981687</v>
      </c>
      <c r="D63">
        <f t="shared" si="0"/>
        <v>2.1809855641955325E-2</v>
      </c>
      <c r="E63">
        <f t="shared" si="1"/>
        <v>0.48092257744739825</v>
      </c>
    </row>
    <row r="64" spans="1:5" x14ac:dyDescent="0.2">
      <c r="A64">
        <v>62</v>
      </c>
      <c r="B64" s="17">
        <v>1.5226637785250352E-2</v>
      </c>
      <c r="C64" s="17">
        <f t="shared" si="2"/>
        <v>0.87761108207122607</v>
      </c>
      <c r="D64">
        <f t="shared" si="0"/>
        <v>2.1205886445554451E-2</v>
      </c>
      <c r="E64">
        <f t="shared" si="1"/>
        <v>0.49761203467205511</v>
      </c>
    </row>
    <row r="65" spans="1:5" x14ac:dyDescent="0.2">
      <c r="A65">
        <v>63</v>
      </c>
      <c r="B65" s="17">
        <v>1.7241610564990073E-2</v>
      </c>
      <c r="C65" s="17">
        <f t="shared" si="2"/>
        <v>0.86424801600820589</v>
      </c>
      <c r="D65">
        <f t="shared" si="0"/>
        <v>2.0556998699030379E-2</v>
      </c>
      <c r="E65">
        <f t="shared" si="1"/>
        <v>0.51433627895053846</v>
      </c>
    </row>
    <row r="66" spans="1:5" x14ac:dyDescent="0.2">
      <c r="A66">
        <v>64</v>
      </c>
      <c r="B66" s="17">
        <v>2.0038332660600178E-2</v>
      </c>
      <c r="C66" s="17">
        <f t="shared" si="2"/>
        <v>0.84934698828462707</v>
      </c>
      <c r="D66">
        <f t="shared" ref="D66:D104" si="3">B66*C66/(1.05^A66)+D67</f>
        <v>1.9867885796715015E-2</v>
      </c>
      <c r="E66">
        <f t="shared" si="1"/>
        <v>0.53110653382963813</v>
      </c>
    </row>
    <row r="67" spans="1:5" x14ac:dyDescent="0.2">
      <c r="A67">
        <v>65</v>
      </c>
      <c r="B67" s="17">
        <v>2.2488849520581389E-2</v>
      </c>
      <c r="C67" s="17">
        <f t="shared" si="2"/>
        <v>0.83232749078910084</v>
      </c>
      <c r="D67">
        <f t="shared" si="3"/>
        <v>1.9118282318884159E-2</v>
      </c>
      <c r="E67">
        <f t="shared" ref="E67:E110" si="4">D67/(C67/(1.05^A67))</f>
        <v>0.54759449181764419</v>
      </c>
    </row>
    <row r="68" spans="1:5" x14ac:dyDescent="0.2">
      <c r="A68">
        <v>66</v>
      </c>
      <c r="B68" s="17">
        <v>2.4963686578019839E-2</v>
      </c>
      <c r="C68" s="17">
        <f t="shared" ref="C68:C110" si="5">(1-B67)*C67</f>
        <v>0.81360940309690166</v>
      </c>
      <c r="D68">
        <f t="shared" si="3"/>
        <v>1.8333124358777146E-2</v>
      </c>
      <c r="E68">
        <f t="shared" si="4"/>
        <v>0.56404566243720289</v>
      </c>
    </row>
    <row r="69" spans="1:5" x14ac:dyDescent="0.2">
      <c r="A69">
        <v>67</v>
      </c>
      <c r="B69" s="17">
        <v>2.7312869884715041E-2</v>
      </c>
      <c r="C69" s="17">
        <f t="shared" si="5"/>
        <v>0.7932987129610608</v>
      </c>
      <c r="D69">
        <f t="shared" si="3"/>
        <v>1.7521731946838641E-2</v>
      </c>
      <c r="E69">
        <f t="shared" si="4"/>
        <v>0.58052819865301852</v>
      </c>
    </row>
    <row r="70" spans="1:5" x14ac:dyDescent="0.2">
      <c r="A70">
        <v>68</v>
      </c>
      <c r="B70" s="17">
        <v>2.9717037509091937E-2</v>
      </c>
      <c r="C70" s="17">
        <f t="shared" si="5"/>
        <v>0.77163144843424347</v>
      </c>
      <c r="D70">
        <f t="shared" si="3"/>
        <v>1.6697364093684795E-2</v>
      </c>
      <c r="E70">
        <f t="shared" si="4"/>
        <v>0.59718698564241512</v>
      </c>
    </row>
    <row r="71" spans="1:5" x14ac:dyDescent="0.2">
      <c r="A71">
        <v>69</v>
      </c>
      <c r="B71" s="17">
        <v>3.3070587988806577E-2</v>
      </c>
      <c r="C71" s="17">
        <f t="shared" si="5"/>
        <v>0.74870084773792811</v>
      </c>
      <c r="D71">
        <f t="shared" si="3"/>
        <v>1.5866474929981368E-2</v>
      </c>
      <c r="E71">
        <f t="shared" si="4"/>
        <v>0.61409245403046286</v>
      </c>
    </row>
    <row r="72" spans="1:5" x14ac:dyDescent="0.2">
      <c r="A72">
        <v>70</v>
      </c>
      <c r="B72" s="17">
        <v>3.6043176533674393E-2</v>
      </c>
      <c r="C72" s="17">
        <f t="shared" si="5"/>
        <v>0.72394087047551692</v>
      </c>
      <c r="D72">
        <f t="shared" si="3"/>
        <v>1.5012021090335077E-2</v>
      </c>
      <c r="E72">
        <f t="shared" si="4"/>
        <v>0.63093846537856335</v>
      </c>
    </row>
    <row r="73" spans="1:5" x14ac:dyDescent="0.2">
      <c r="A73">
        <v>71</v>
      </c>
      <c r="B73" s="17">
        <v>3.9594536958694193E-2</v>
      </c>
      <c r="C73" s="17">
        <f t="shared" si="5"/>
        <v>0.69784774188102594</v>
      </c>
      <c r="D73">
        <f t="shared" si="3"/>
        <v>1.4154439953699919E-2</v>
      </c>
      <c r="E73">
        <f t="shared" si="4"/>
        <v>0.6479958833020848</v>
      </c>
    </row>
    <row r="74" spans="1:5" x14ac:dyDescent="0.2">
      <c r="A74">
        <v>72</v>
      </c>
      <c r="B74" s="17">
        <v>4.3449258808664348E-2</v>
      </c>
      <c r="C74" s="17">
        <f t="shared" si="5"/>
        <v>0.6702167836735764</v>
      </c>
      <c r="D74">
        <f t="shared" si="3"/>
        <v>1.3289560237149124E-2</v>
      </c>
      <c r="E74">
        <f t="shared" si="4"/>
        <v>0.66515803818692487</v>
      </c>
    </row>
    <row r="75" spans="1:5" x14ac:dyDescent="0.2">
      <c r="A75">
        <v>73</v>
      </c>
      <c r="B75" s="17">
        <v>4.7815413527649953E-2</v>
      </c>
      <c r="C75" s="17">
        <f t="shared" si="5"/>
        <v>0.64109636118183255</v>
      </c>
      <c r="D75">
        <f t="shared" si="3"/>
        <v>1.2421463470595492E-2</v>
      </c>
      <c r="E75">
        <f t="shared" si="4"/>
        <v>0.68244599082548552</v>
      </c>
    </row>
    <row r="76" spans="1:5" x14ac:dyDescent="0.2">
      <c r="A76">
        <v>74</v>
      </c>
      <c r="B76" s="17">
        <v>5.4086645795274668E-2</v>
      </c>
      <c r="C76" s="17">
        <f t="shared" si="5"/>
        <v>0.61044207356085156</v>
      </c>
      <c r="D76">
        <f t="shared" si="3"/>
        <v>1.1551156632472382E-2</v>
      </c>
      <c r="E76">
        <f t="shared" si="4"/>
        <v>0.69982450422923059</v>
      </c>
    </row>
    <row r="77" spans="1:5" x14ac:dyDescent="0.2">
      <c r="A77">
        <v>75</v>
      </c>
      <c r="B77" s="17">
        <v>5.9798468086232903E-2</v>
      </c>
      <c r="C77" s="17">
        <f t="shared" si="5"/>
        <v>0.57742530934963276</v>
      </c>
      <c r="D77">
        <f t="shared" si="3"/>
        <v>1.0658413789758736E-2</v>
      </c>
      <c r="E77">
        <f t="shared" si="4"/>
        <v>0.71679371936312464</v>
      </c>
    </row>
    <row r="78" spans="1:5" x14ac:dyDescent="0.2">
      <c r="A78">
        <v>76</v>
      </c>
      <c r="B78" s="17">
        <v>6.695848799525761E-2</v>
      </c>
      <c r="C78" s="17">
        <f t="shared" si="5"/>
        <v>0.54289616041630562</v>
      </c>
      <c r="D78">
        <f t="shared" si="3"/>
        <v>9.7692363323682776E-3</v>
      </c>
      <c r="E78">
        <f t="shared" si="4"/>
        <v>0.733720367841314</v>
      </c>
    </row>
    <row r="79" spans="1:5" x14ac:dyDescent="0.2">
      <c r="A79">
        <v>77</v>
      </c>
      <c r="B79" s="17">
        <v>7.4967566372006078E-2</v>
      </c>
      <c r="C79" s="17">
        <f t="shared" si="5"/>
        <v>0.50654465437639895</v>
      </c>
      <c r="D79">
        <f t="shared" si="3"/>
        <v>8.8777069127772036E-3</v>
      </c>
      <c r="E79">
        <f t="shared" si="4"/>
        <v>0.75034172095314122</v>
      </c>
    </row>
    <row r="80" spans="1:5" x14ac:dyDescent="0.2">
      <c r="A80">
        <v>78</v>
      </c>
      <c r="B80" s="17">
        <v>8.3923610373106139E-2</v>
      </c>
      <c r="C80" s="17">
        <f t="shared" si="5"/>
        <v>0.46857023437905138</v>
      </c>
      <c r="D80">
        <f t="shared" si="3"/>
        <v>7.9907242705626377E-3</v>
      </c>
      <c r="E80">
        <f t="shared" si="4"/>
        <v>0.7666140521461724</v>
      </c>
    </row>
    <row r="81" spans="1:5" x14ac:dyDescent="0.2">
      <c r="A81">
        <v>79</v>
      </c>
      <c r="B81" s="17">
        <v>9.6175600850337717E-2</v>
      </c>
      <c r="C81" s="17">
        <f t="shared" si="5"/>
        <v>0.42924612859658884</v>
      </c>
      <c r="D81">
        <f t="shared" si="3"/>
        <v>7.115954980325633E-3</v>
      </c>
      <c r="E81">
        <f t="shared" si="4"/>
        <v>0.78249474823128407</v>
      </c>
    </row>
    <row r="82" spans="1:5" x14ac:dyDescent="0.2">
      <c r="A82">
        <v>80</v>
      </c>
      <c r="B82" s="17">
        <v>0.10728595330574953</v>
      </c>
      <c r="C82" s="17">
        <f t="shared" si="5"/>
        <v>0.38796312426613055</v>
      </c>
      <c r="D82">
        <f t="shared" si="3"/>
        <v>6.2413404894249395E-3</v>
      </c>
      <c r="E82">
        <f t="shared" si="4"/>
        <v>0.79731760442402622</v>
      </c>
    </row>
    <row r="83" spans="1:5" x14ac:dyDescent="0.2">
      <c r="A83">
        <v>81</v>
      </c>
      <c r="B83" s="17">
        <v>0.1193262470251929</v>
      </c>
      <c r="C83" s="17">
        <f t="shared" si="5"/>
        <v>0.34634013063176178</v>
      </c>
      <c r="D83">
        <f t="shared" si="3"/>
        <v>5.4015143516370429E-3</v>
      </c>
      <c r="E83">
        <f t="shared" si="4"/>
        <v>0.81160729615173088</v>
      </c>
    </row>
    <row r="84" spans="1:5" x14ac:dyDescent="0.2">
      <c r="A84">
        <v>82</v>
      </c>
      <c r="B84" s="17">
        <v>0.1314044224870009</v>
      </c>
      <c r="C84" s="17">
        <f t="shared" si="5"/>
        <v>0.30501266264925858</v>
      </c>
      <c r="D84">
        <f t="shared" si="3"/>
        <v>4.6073588051188056E-3</v>
      </c>
      <c r="E84">
        <f t="shared" si="4"/>
        <v>0.82538522253842928</v>
      </c>
    </row>
    <row r="85" spans="1:5" x14ac:dyDescent="0.2">
      <c r="A85">
        <v>83</v>
      </c>
      <c r="B85" s="17">
        <v>0.1447460838314466</v>
      </c>
      <c r="C85" s="17">
        <f t="shared" si="5"/>
        <v>0.26493264986261034</v>
      </c>
      <c r="D85">
        <f t="shared" si="3"/>
        <v>3.8738500065058686E-3</v>
      </c>
      <c r="E85">
        <f t="shared" si="4"/>
        <v>0.83891728085973882</v>
      </c>
    </row>
    <row r="86" spans="1:5" x14ac:dyDescent="0.2">
      <c r="A86">
        <v>84</v>
      </c>
      <c r="B86" s="17">
        <v>0.16315276230697695</v>
      </c>
      <c r="C86" s="17">
        <f t="shared" si="5"/>
        <v>0.22658468631590964</v>
      </c>
      <c r="D86">
        <f t="shared" si="3"/>
        <v>3.2054591763426054E-3</v>
      </c>
      <c r="E86">
        <f t="shared" si="4"/>
        <v>0.85223784784875445</v>
      </c>
    </row>
    <row r="87" spans="1:5" x14ac:dyDescent="0.2">
      <c r="A87">
        <v>85</v>
      </c>
      <c r="B87" s="17">
        <v>0.17946261230865856</v>
      </c>
      <c r="C87" s="17">
        <f t="shared" si="5"/>
        <v>0.18961676884700909</v>
      </c>
      <c r="D87">
        <f t="shared" si="3"/>
        <v>2.5918047600283515E-3</v>
      </c>
      <c r="E87">
        <f t="shared" si="4"/>
        <v>0.86460145559359425</v>
      </c>
    </row>
    <row r="88" spans="1:5" x14ac:dyDescent="0.2">
      <c r="A88">
        <v>86</v>
      </c>
      <c r="B88" s="17">
        <v>0.19952183313688998</v>
      </c>
      <c r="C88" s="17">
        <f t="shared" si="5"/>
        <v>0.15558764817219778</v>
      </c>
      <c r="D88">
        <f t="shared" si="3"/>
        <v>2.0538319752041964E-3</v>
      </c>
      <c r="E88">
        <f t="shared" si="4"/>
        <v>0.87673736290465631</v>
      </c>
    </row>
    <row r="89" spans="1:5" x14ac:dyDescent="0.2">
      <c r="A89">
        <v>87</v>
      </c>
      <c r="B89" s="17">
        <v>0.22136245258377396</v>
      </c>
      <c r="C89" s="17">
        <f t="shared" si="5"/>
        <v>0.12454451539542338</v>
      </c>
      <c r="D89">
        <f t="shared" si="3"/>
        <v>1.5864350807793103E-3</v>
      </c>
      <c r="E89">
        <f t="shared" si="4"/>
        <v>0.88831442966483354</v>
      </c>
    </row>
    <row r="90" spans="1:5" x14ac:dyDescent="0.2">
      <c r="A90">
        <v>88</v>
      </c>
      <c r="B90" s="17">
        <v>0.24507428699872158</v>
      </c>
      <c r="C90" s="17">
        <f t="shared" si="5"/>
        <v>9.6975036011634874E-2</v>
      </c>
      <c r="D90">
        <f t="shared" si="3"/>
        <v>1.1911052869373405E-3</v>
      </c>
      <c r="E90">
        <f t="shared" si="4"/>
        <v>0.89939096600072177</v>
      </c>
    </row>
    <row r="91" spans="1:5" x14ac:dyDescent="0.2">
      <c r="A91">
        <v>89</v>
      </c>
      <c r="B91" s="17">
        <v>0.27834596747720319</v>
      </c>
      <c r="C91" s="17">
        <f t="shared" si="5"/>
        <v>7.3208948204408111E-2</v>
      </c>
      <c r="D91">
        <f t="shared" si="3"/>
        <v>8.66542010262909E-4</v>
      </c>
      <c r="E91">
        <f t="shared" si="4"/>
        <v>0.91006638285075447</v>
      </c>
    </row>
    <row r="92" spans="1:5" x14ac:dyDescent="0.2">
      <c r="A92">
        <v>90</v>
      </c>
      <c r="B92" s="17">
        <v>0.30559942700762677</v>
      </c>
      <c r="C92" s="17">
        <f t="shared" si="5"/>
        <v>5.2831532688463675E-2</v>
      </c>
      <c r="D92">
        <f t="shared" si="3"/>
        <v>6.0150807564956436E-4</v>
      </c>
      <c r="E92">
        <f t="shared" si="4"/>
        <v>0.91914741170835934</v>
      </c>
    </row>
    <row r="93" spans="1:5" x14ac:dyDescent="0.2">
      <c r="A93">
        <v>91</v>
      </c>
      <c r="B93" s="17">
        <v>0.33585584770699084</v>
      </c>
      <c r="C93" s="17">
        <f t="shared" si="5"/>
        <v>3.6686246570934472E-2</v>
      </c>
      <c r="D93">
        <f t="shared" si="3"/>
        <v>4.0151782281589549E-4</v>
      </c>
      <c r="E93">
        <f t="shared" si="4"/>
        <v>0.92774316294068637</v>
      </c>
    </row>
    <row r="94" spans="1:5" x14ac:dyDescent="0.2">
      <c r="A94">
        <v>92</v>
      </c>
      <c r="B94" s="17">
        <v>0.3675694840867294</v>
      </c>
      <c r="C94" s="17">
        <f t="shared" si="5"/>
        <v>2.4364956129665587E-2</v>
      </c>
      <c r="D94">
        <f t="shared" si="3"/>
        <v>2.5616282141243112E-4</v>
      </c>
      <c r="E94">
        <f t="shared" si="4"/>
        <v>0.93576323581208465</v>
      </c>
    </row>
    <row r="95" spans="1:5" x14ac:dyDescent="0.2">
      <c r="A95">
        <v>93</v>
      </c>
      <c r="B95" s="17">
        <v>0.40050582254393441</v>
      </c>
      <c r="C95" s="17">
        <f t="shared" si="5"/>
        <v>1.5409141775288612E-2</v>
      </c>
      <c r="D95">
        <f t="shared" si="3"/>
        <v>1.555416038807813E-4</v>
      </c>
      <c r="E95">
        <f t="shared" si="4"/>
        <v>0.94335017729194981</v>
      </c>
    </row>
    <row r="96" spans="1:5" x14ac:dyDescent="0.2">
      <c r="A96">
        <v>94</v>
      </c>
      <c r="B96" s="17">
        <v>0.44665459257626938</v>
      </c>
      <c r="C96" s="17">
        <f t="shared" si="5"/>
        <v>9.2376907738805445E-3</v>
      </c>
      <c r="D96">
        <f t="shared" si="3"/>
        <v>8.9505343431978878E-5</v>
      </c>
      <c r="E96">
        <f t="shared" si="4"/>
        <v>0.95077916336758406</v>
      </c>
    </row>
    <row r="97" spans="1:5" x14ac:dyDescent="0.2">
      <c r="A97">
        <v>95</v>
      </c>
      <c r="B97" s="17">
        <v>0.48215421535421144</v>
      </c>
      <c r="C97" s="17">
        <f t="shared" si="5"/>
        <v>5.1116337649273671E-3</v>
      </c>
      <c r="D97">
        <f t="shared" si="3"/>
        <v>4.745775315621936E-5</v>
      </c>
      <c r="E97">
        <f t="shared" si="4"/>
        <v>0.95660105284932717</v>
      </c>
    </row>
    <row r="98" spans="1:5" x14ac:dyDescent="0.2">
      <c r="A98">
        <v>96</v>
      </c>
      <c r="B98" s="17">
        <v>0.52009635275435639</v>
      </c>
      <c r="C98" s="17">
        <f t="shared" si="5"/>
        <v>2.6470379978207189E-3</v>
      </c>
      <c r="D98">
        <f t="shared" si="3"/>
        <v>2.353769194851452E-5</v>
      </c>
      <c r="E98">
        <f t="shared" si="4"/>
        <v>0.96200296331585256</v>
      </c>
    </row>
    <row r="99" spans="1:5" x14ac:dyDescent="0.2">
      <c r="A99">
        <v>97</v>
      </c>
      <c r="B99" s="17">
        <v>0.55723681538058667</v>
      </c>
      <c r="C99" s="17">
        <f t="shared" si="5"/>
        <v>1.270323189551969E-3</v>
      </c>
      <c r="D99">
        <f t="shared" si="3"/>
        <v>1.0812296911806472E-5</v>
      </c>
      <c r="E99">
        <f t="shared" si="4"/>
        <v>0.96686479411577941</v>
      </c>
    </row>
    <row r="100" spans="1:5" x14ac:dyDescent="0.2">
      <c r="A100">
        <v>98</v>
      </c>
      <c r="B100" s="17">
        <v>0.59287102876008002</v>
      </c>
      <c r="C100" s="17">
        <f t="shared" si="5"/>
        <v>5.6245234090192048E-4</v>
      </c>
      <c r="D100">
        <f t="shared" si="3"/>
        <v>4.5808052546979899E-6</v>
      </c>
      <c r="E100">
        <f t="shared" si="4"/>
        <v>0.97142082407249442</v>
      </c>
    </row>
    <row r="101" spans="1:5" x14ac:dyDescent="0.2">
      <c r="A101">
        <v>99</v>
      </c>
      <c r="B101" s="17">
        <v>0.64380726914280673</v>
      </c>
      <c r="C101" s="17">
        <f t="shared" si="5"/>
        <v>2.2899064292288365E-4</v>
      </c>
      <c r="D101">
        <f t="shared" si="3"/>
        <v>1.7850789776795516E-6</v>
      </c>
      <c r="E101">
        <f t="shared" si="4"/>
        <v>0.97629329562941569</v>
      </c>
    </row>
    <row r="102" spans="1:5" x14ac:dyDescent="0.2">
      <c r="A102">
        <v>100</v>
      </c>
      <c r="B102" s="17">
        <v>0.68660357507077396</v>
      </c>
      <c r="C102" s="17">
        <f t="shared" si="5"/>
        <v>8.1564802443446347E-5</v>
      </c>
      <c r="D102">
        <f t="shared" si="3"/>
        <v>6.0792573185787792E-7</v>
      </c>
      <c r="E102">
        <f t="shared" si="4"/>
        <v>0.98011637399446661</v>
      </c>
    </row>
    <row r="103" spans="1:5" x14ac:dyDescent="0.2">
      <c r="A103">
        <v>101</v>
      </c>
      <c r="B103" s="17">
        <v>0.72484304609435402</v>
      </c>
      <c r="C103" s="17">
        <f t="shared" si="5"/>
        <v>2.5562117485834687E-5</v>
      </c>
      <c r="D103">
        <f t="shared" si="3"/>
        <v>1.8205387424365926E-7</v>
      </c>
      <c r="E103">
        <f t="shared" si="4"/>
        <v>0.98338211400935727</v>
      </c>
    </row>
    <row r="104" spans="1:5" x14ac:dyDescent="0.2">
      <c r="A104">
        <v>102</v>
      </c>
      <c r="B104" s="17">
        <v>0.7661562041275628</v>
      </c>
      <c r="C104" s="17">
        <f t="shared" si="5"/>
        <v>7.0335943827805223E-6</v>
      </c>
      <c r="D104">
        <f t="shared" si="3"/>
        <v>4.7863427945998851E-8</v>
      </c>
      <c r="E104">
        <f t="shared" si="4"/>
        <v>0.98658608280654914</v>
      </c>
    </row>
    <row r="105" spans="1:5" x14ac:dyDescent="0.2">
      <c r="A105">
        <v>103</v>
      </c>
      <c r="B105" s="17">
        <v>0.81051987838274353</v>
      </c>
      <c r="C105" s="17">
        <f t="shared" si="5"/>
        <v>1.6447624090964493E-6</v>
      </c>
      <c r="D105">
        <f>B105*C105/(1.05^A105)+D106</f>
        <v>1.0693977747267379E-8</v>
      </c>
      <c r="E105">
        <f t="shared" si="4"/>
        <v>0.98976913947801881</v>
      </c>
    </row>
    <row r="106" spans="1:5" x14ac:dyDescent="0.2">
      <c r="A106">
        <v>104</v>
      </c>
      <c r="B106" s="17">
        <v>0.87113649761929657</v>
      </c>
      <c r="C106" s="17">
        <f t="shared" si="5"/>
        <v>3.1164978130708694E-7</v>
      </c>
      <c r="D106">
        <f>B106*C106/(1.05^A106)+D107</f>
        <v>1.9367017346872588E-9</v>
      </c>
      <c r="E106">
        <f t="shared" si="4"/>
        <v>0.99330590746727743</v>
      </c>
    </row>
    <row r="107" spans="1:5" x14ac:dyDescent="0.2">
      <c r="A107">
        <v>105</v>
      </c>
      <c r="B107" s="17">
        <v>0.90989507286704052</v>
      </c>
      <c r="C107" s="17">
        <f t="shared" si="5"/>
        <v>4.0160282335411502E-8</v>
      </c>
      <c r="D107">
        <f>B107*C107/(1.05^A107)+D108</f>
        <v>2.3820024244253086E-10</v>
      </c>
      <c r="E107">
        <f t="shared" si="4"/>
        <v>0.99545548561459107</v>
      </c>
    </row>
    <row r="108" spans="1:5" x14ac:dyDescent="0.2">
      <c r="A108">
        <v>106</v>
      </c>
      <c r="B108" s="17">
        <v>0.94079737614391501</v>
      </c>
      <c r="C108" s="17">
        <f t="shared" si="5"/>
        <v>3.6186393134713332E-9</v>
      </c>
      <c r="D108">
        <f>B108*C108/(1.05^A108)+D109</f>
        <v>2.047355341797797E-11</v>
      </c>
      <c r="E108">
        <f t="shared" si="4"/>
        <v>0.99704240648640396</v>
      </c>
    </row>
    <row r="109" spans="1:5" x14ac:dyDescent="0.2">
      <c r="A109">
        <v>107</v>
      </c>
      <c r="B109" s="17">
        <v>0.96312521707280663</v>
      </c>
      <c r="C109" s="17">
        <f t="shared" si="5"/>
        <v>2.1423294214628495E-10</v>
      </c>
      <c r="D109">
        <f>B109*C109/(1.05^A109)+D110</f>
        <v>1.1549515103081462E-12</v>
      </c>
      <c r="E109">
        <f t="shared" si="4"/>
        <v>0.99754500751816655</v>
      </c>
    </row>
    <row r="110" spans="1:5" x14ac:dyDescent="0.2">
      <c r="A110">
        <v>108</v>
      </c>
      <c r="B110" s="17">
        <v>0.98009471781800805</v>
      </c>
      <c r="C110" s="17">
        <f t="shared" si="5"/>
        <v>7.899793237498233E-12</v>
      </c>
      <c r="D110">
        <f>B110*C110/(1.05^A110)</f>
        <v>3.9851022921022794E-14</v>
      </c>
      <c r="E110">
        <f t="shared" si="4"/>
        <v>0.98009471781800805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0"/>
  <sheetViews>
    <sheetView workbookViewId="0"/>
  </sheetViews>
  <sheetFormatPr defaultRowHeight="12.75" x14ac:dyDescent="0.2"/>
  <cols>
    <col min="2" max="2" width="13.7109375" customWidth="1"/>
    <col min="3" max="3" width="14" customWidth="1"/>
    <col min="4" max="4" width="18.42578125" customWidth="1"/>
  </cols>
  <sheetData>
    <row r="1" spans="1:5" x14ac:dyDescent="0.2">
      <c r="A1" t="s">
        <v>150</v>
      </c>
      <c r="B1" s="8" t="s">
        <v>158</v>
      </c>
      <c r="C1" s="8" t="s">
        <v>159</v>
      </c>
      <c r="D1" t="s">
        <v>160</v>
      </c>
      <c r="E1" s="8" t="s">
        <v>161</v>
      </c>
    </row>
    <row r="2" spans="1:5" x14ac:dyDescent="0.2">
      <c r="A2">
        <v>0</v>
      </c>
      <c r="B2" s="17">
        <v>5.1400000000001445E-4</v>
      </c>
      <c r="C2" s="17">
        <v>1</v>
      </c>
      <c r="D2">
        <f t="shared" ref="D2:D65" si="0">B2*C2/(1.05^A2)+D3</f>
        <v>3.4261561264008006E-2</v>
      </c>
      <c r="E2">
        <f>D2/(C2/(1.05^A2))</f>
        <v>3.4261561264008006E-2</v>
      </c>
    </row>
    <row r="3" spans="1:5" x14ac:dyDescent="0.2">
      <c r="A3">
        <v>1</v>
      </c>
      <c r="B3" s="17">
        <v>3.4099527156949971E-4</v>
      </c>
      <c r="C3" s="17">
        <f>(1-B2)*C2</f>
        <v>0.99948599999999999</v>
      </c>
      <c r="D3">
        <f t="shared" si="0"/>
        <v>3.3747561264007991E-2</v>
      </c>
      <c r="E3">
        <f t="shared" ref="E3:E66" si="1">D3/(C3/(1.05^A3))</f>
        <v>3.5453162252606231E-2</v>
      </c>
    </row>
    <row r="4" spans="1:5" x14ac:dyDescent="0.2">
      <c r="A4">
        <v>2</v>
      </c>
      <c r="B4" s="17">
        <v>2.7000080208572363E-4</v>
      </c>
      <c r="C4" s="17">
        <f t="shared" ref="C4:C67" si="2">(1-B3)*C3</f>
        <v>0.99914518000000008</v>
      </c>
      <c r="D4">
        <f t="shared" si="0"/>
        <v>3.3422970787817599E-2</v>
      </c>
      <c r="E4">
        <f t="shared" si="1"/>
        <v>3.6880351355514623E-2</v>
      </c>
    </row>
    <row r="5" spans="1:5" x14ac:dyDescent="0.2">
      <c r="A5">
        <v>3</v>
      </c>
      <c r="B5" s="17">
        <v>2.0700279327134918E-4</v>
      </c>
      <c r="C5" s="17">
        <f t="shared" si="2"/>
        <v>0.99887541000000002</v>
      </c>
      <c r="D5">
        <f t="shared" si="0"/>
        <v>3.3178281445413897E-2</v>
      </c>
      <c r="E5">
        <f t="shared" si="1"/>
        <v>3.8451249949427897E-2</v>
      </c>
    </row>
    <row r="6" spans="1:5" x14ac:dyDescent="0.2">
      <c r="A6">
        <v>4</v>
      </c>
      <c r="B6" s="17">
        <v>1.8800029607413116E-4</v>
      </c>
      <c r="C6" s="17">
        <f t="shared" si="2"/>
        <v>0.99866864</v>
      </c>
      <c r="D6">
        <f t="shared" si="0"/>
        <v>3.2999665745165489E-2</v>
      </c>
      <c r="E6">
        <f t="shared" si="1"/>
        <v>4.0164773734318482E-2</v>
      </c>
    </row>
    <row r="7" spans="1:5" x14ac:dyDescent="0.2">
      <c r="A7">
        <v>5</v>
      </c>
      <c r="B7" s="17">
        <v>1.7900192361219869E-4</v>
      </c>
      <c r="C7" s="17">
        <f t="shared" si="2"/>
        <v>0.99848089000000007</v>
      </c>
      <c r="D7">
        <f t="shared" si="0"/>
        <v>3.2845203355523357E-2</v>
      </c>
      <c r="E7">
        <f t="shared" si="1"/>
        <v>4.1983505021530851E-2</v>
      </c>
    </row>
    <row r="8" spans="1:5" x14ac:dyDescent="0.2">
      <c r="A8">
        <v>6</v>
      </c>
      <c r="B8" s="17">
        <v>1.6999863047484354E-4</v>
      </c>
      <c r="C8" s="17">
        <f t="shared" si="2"/>
        <v>0.99830216000000005</v>
      </c>
      <c r="D8">
        <f t="shared" si="0"/>
        <v>3.2705163723790433E-2</v>
      </c>
      <c r="E8">
        <f t="shared" si="1"/>
        <v>4.390258690032129E-2</v>
      </c>
    </row>
    <row r="9" spans="1:5" x14ac:dyDescent="0.2">
      <c r="A9">
        <v>7</v>
      </c>
      <c r="B9" s="17">
        <v>1.5399759821455028E-4</v>
      </c>
      <c r="C9" s="17">
        <f t="shared" si="2"/>
        <v>0.99813244999999995</v>
      </c>
      <c r="D9">
        <f t="shared" si="0"/>
        <v>3.2578523508827173E-2</v>
      </c>
      <c r="E9">
        <f t="shared" si="1"/>
        <v>4.5927025214727066E-2</v>
      </c>
    </row>
    <row r="10" spans="1:5" x14ac:dyDescent="0.2">
      <c r="A10">
        <v>8</v>
      </c>
      <c r="B10" s="17">
        <v>1.4799914475127629E-4</v>
      </c>
      <c r="C10" s="17">
        <f t="shared" si="2"/>
        <v>0.99797873999999998</v>
      </c>
      <c r="D10">
        <f t="shared" si="0"/>
        <v>3.2469284681572869E-2</v>
      </c>
      <c r="E10">
        <f t="shared" si="1"/>
        <v>4.8069081520440655E-2</v>
      </c>
    </row>
    <row r="11" spans="1:5" x14ac:dyDescent="0.2">
      <c r="A11">
        <v>9</v>
      </c>
      <c r="B11" s="17">
        <v>1.4999533387938246E-4</v>
      </c>
      <c r="C11" s="17">
        <f t="shared" si="2"/>
        <v>0.99783104</v>
      </c>
      <c r="D11">
        <f t="shared" si="0"/>
        <v>3.2369315507801262E-2</v>
      </c>
      <c r="E11">
        <f t="shared" si="1"/>
        <v>5.0324584489938332E-2</v>
      </c>
    </row>
    <row r="12" spans="1:5" x14ac:dyDescent="0.2">
      <c r="A12">
        <v>10</v>
      </c>
      <c r="B12" s="17">
        <v>1.579963350423208E-4</v>
      </c>
      <c r="C12" s="17">
        <f t="shared" si="2"/>
        <v>0.99768137000000001</v>
      </c>
      <c r="D12">
        <f t="shared" si="0"/>
        <v>3.2272836891310934E-2</v>
      </c>
      <c r="E12">
        <f t="shared" si="1"/>
        <v>5.269122205130599E-2</v>
      </c>
    </row>
    <row r="13" spans="1:5" x14ac:dyDescent="0.2">
      <c r="A13">
        <v>11</v>
      </c>
      <c r="B13" s="17">
        <v>1.8790313918259915E-4</v>
      </c>
      <c r="C13" s="17">
        <f t="shared" si="2"/>
        <v>0.99752373999999999</v>
      </c>
      <c r="D13">
        <f t="shared" si="0"/>
        <v>3.2176065745155302E-2</v>
      </c>
      <c r="E13">
        <f t="shared" si="1"/>
        <v>5.5168603439229656E-2</v>
      </c>
    </row>
    <row r="14" spans="1:5" x14ac:dyDescent="0.2">
      <c r="A14">
        <v>12</v>
      </c>
      <c r="B14" s="17">
        <v>2.1119932227586791E-4</v>
      </c>
      <c r="C14" s="17">
        <f t="shared" si="2"/>
        <v>0.99733630215784486</v>
      </c>
      <c r="D14">
        <f t="shared" si="0"/>
        <v>3.2066474720856122E-2</v>
      </c>
      <c r="E14">
        <f t="shared" si="1"/>
        <v>5.7740584952220168E-2</v>
      </c>
    </row>
    <row r="15" spans="1:5" x14ac:dyDescent="0.2">
      <c r="A15">
        <v>13</v>
      </c>
      <c r="B15" s="17">
        <v>2.4755722459368634E-4</v>
      </c>
      <c r="C15" s="17">
        <f t="shared" si="2"/>
        <v>0.99712566540674796</v>
      </c>
      <c r="D15">
        <f t="shared" si="0"/>
        <v>3.1949184296202041E-2</v>
      </c>
      <c r="E15">
        <f t="shared" si="1"/>
        <v>6.0418615282041933E-2</v>
      </c>
    </row>
    <row r="16" spans="1:5" x14ac:dyDescent="0.2">
      <c r="A16">
        <v>14</v>
      </c>
      <c r="B16" s="17">
        <v>2.8815621168098993E-4</v>
      </c>
      <c r="C16" s="17">
        <f t="shared" si="2"/>
        <v>0.9968788197444487</v>
      </c>
      <c r="D16">
        <f t="shared" si="0"/>
        <v>3.1818276771170585E-2</v>
      </c>
      <c r="E16">
        <f t="shared" si="1"/>
        <v>6.3195255402355557E-2</v>
      </c>
    </row>
    <row r="17" spans="1:5" x14ac:dyDescent="0.2">
      <c r="A17">
        <v>15</v>
      </c>
      <c r="B17" s="17">
        <v>3.2587065867606402E-4</v>
      </c>
      <c r="C17" s="17">
        <f t="shared" si="2"/>
        <v>0.99659156292024609</v>
      </c>
      <c r="D17">
        <f t="shared" si="0"/>
        <v>3.1673192554986594E-2</v>
      </c>
      <c r="E17">
        <f t="shared" si="1"/>
        <v>6.6071493061348976E-2</v>
      </c>
    </row>
    <row r="18" spans="1:5" x14ac:dyDescent="0.2">
      <c r="A18">
        <v>16</v>
      </c>
      <c r="B18" s="17">
        <v>3.5681884395188934E-4</v>
      </c>
      <c r="C18" s="17">
        <f t="shared" si="2"/>
        <v>0.99626680297120629</v>
      </c>
      <c r="D18">
        <f t="shared" si="0"/>
        <v>3.1516977466723287E-2</v>
      </c>
      <c r="E18">
        <f t="shared" si="1"/>
        <v>6.9055406653657919E-2</v>
      </c>
    </row>
    <row r="19" spans="1:5" x14ac:dyDescent="0.2">
      <c r="A19">
        <v>17</v>
      </c>
      <c r="B19" s="17">
        <v>3.7706230820311326E-4</v>
      </c>
      <c r="C19" s="17">
        <f t="shared" si="2"/>
        <v>0.99591131620230244</v>
      </c>
      <c r="D19">
        <f t="shared" si="0"/>
        <v>3.135412488197295E-2</v>
      </c>
      <c r="E19">
        <f t="shared" si="1"/>
        <v>7.2159264985703964E-2</v>
      </c>
    </row>
    <row r="20" spans="1:5" x14ac:dyDescent="0.2">
      <c r="A20">
        <v>18</v>
      </c>
      <c r="B20" s="17">
        <v>3.9264875254108045E-4</v>
      </c>
      <c r="C20" s="17">
        <f t="shared" si="2"/>
        <v>0.9955357955826496</v>
      </c>
      <c r="D20">
        <f t="shared" si="0"/>
        <v>3.1190286479488842E-2</v>
      </c>
      <c r="E20">
        <f t="shared" si="1"/>
        <v>7.5399743212589562E-2</v>
      </c>
    </row>
    <row r="21" spans="1:5" x14ac:dyDescent="0.2">
      <c r="A21">
        <v>19</v>
      </c>
      <c r="B21" s="17">
        <v>4.2348376124701215E-4</v>
      </c>
      <c r="C21" s="17">
        <f t="shared" si="2"/>
        <v>0.99514489969440412</v>
      </c>
      <c r="D21">
        <f t="shared" si="0"/>
        <v>3.1027861164020058E-2</v>
      </c>
      <c r="E21">
        <f t="shared" si="1"/>
        <v>7.8788385344271072E-2</v>
      </c>
    </row>
    <row r="22" spans="1:5" x14ac:dyDescent="0.2">
      <c r="A22">
        <v>20</v>
      </c>
      <c r="B22" s="17">
        <v>4.3913991267408026E-4</v>
      </c>
      <c r="C22" s="17">
        <f t="shared" si="2"/>
        <v>0.99472347198929578</v>
      </c>
      <c r="D22">
        <f t="shared" si="0"/>
        <v>3.0861087910681078E-2</v>
      </c>
      <c r="E22">
        <f t="shared" si="1"/>
        <v>8.231800700139856E-2</v>
      </c>
    </row>
    <row r="23" spans="1:5" x14ac:dyDescent="0.2">
      <c r="A23">
        <v>21</v>
      </c>
      <c r="B23" s="17">
        <v>4.5592704146857344E-4</v>
      </c>
      <c r="C23" s="17">
        <f t="shared" si="2"/>
        <v>0.99428664921067156</v>
      </c>
      <c r="D23">
        <f t="shared" si="0"/>
        <v>3.0696453999538242E-2</v>
      </c>
      <c r="E23">
        <f t="shared" si="1"/>
        <v>8.6010581122243759E-2</v>
      </c>
    </row>
    <row r="24" spans="1:5" x14ac:dyDescent="0.2">
      <c r="A24">
        <v>22</v>
      </c>
      <c r="B24" s="17">
        <v>4.8100455270627673E-4</v>
      </c>
      <c r="C24" s="17">
        <f t="shared" si="2"/>
        <v>0.99383332704032523</v>
      </c>
      <c r="D24">
        <f t="shared" si="0"/>
        <v>3.0533737467769963E-2</v>
      </c>
      <c r="E24">
        <f t="shared" si="1"/>
        <v>8.9873362481076774E-2</v>
      </c>
    </row>
    <row r="25" spans="1:5" x14ac:dyDescent="0.2">
      <c r="A25">
        <v>23</v>
      </c>
      <c r="B25" s="17">
        <v>5.0752803873865826E-4</v>
      </c>
      <c r="C25" s="17">
        <f t="shared" si="2"/>
        <v>0.99335528868538758</v>
      </c>
      <c r="D25">
        <f t="shared" si="0"/>
        <v>3.0370320117760075E-2</v>
      </c>
      <c r="E25">
        <f t="shared" si="1"/>
        <v>9.3907145589349164E-2</v>
      </c>
    </row>
    <row r="26" spans="1:5" x14ac:dyDescent="0.2">
      <c r="A26">
        <v>24</v>
      </c>
      <c r="B26" s="17">
        <v>5.6145511816108051E-4</v>
      </c>
      <c r="C26" s="17">
        <f t="shared" si="2"/>
        <v>0.99285113302395045</v>
      </c>
      <c r="D26">
        <f t="shared" si="0"/>
        <v>3.0206181500741135E-2</v>
      </c>
      <c r="E26">
        <f t="shared" si="1"/>
        <v>9.8119396773147516E-2</v>
      </c>
    </row>
    <row r="27" spans="1:5" x14ac:dyDescent="0.2">
      <c r="A27">
        <v>25</v>
      </c>
      <c r="B27" s="17">
        <v>6.0035419961035341E-4</v>
      </c>
      <c r="C27" s="17">
        <f t="shared" si="2"/>
        <v>0.99229369167374215</v>
      </c>
      <c r="D27">
        <f t="shared" si="0"/>
        <v>3.0033336826176902E-2</v>
      </c>
      <c r="E27">
        <f t="shared" si="1"/>
        <v>0.10249338417285726</v>
      </c>
    </row>
    <row r="28" spans="1:5" x14ac:dyDescent="0.2">
      <c r="A28">
        <v>26</v>
      </c>
      <c r="B28" s="17">
        <v>6.2604591165948964E-4</v>
      </c>
      <c r="C28" s="17">
        <f t="shared" si="2"/>
        <v>0.99169796398869892</v>
      </c>
      <c r="D28">
        <f t="shared" si="0"/>
        <v>2.9857416789606555E-2</v>
      </c>
      <c r="E28">
        <f t="shared" si="1"/>
        <v>0.10705195056000444</v>
      </c>
    </row>
    <row r="29" spans="1:5" x14ac:dyDescent="0.2">
      <c r="A29">
        <v>27</v>
      </c>
      <c r="B29" s="17">
        <v>6.5200226007755546E-4</v>
      </c>
      <c r="C29" s="17">
        <f t="shared" si="2"/>
        <v>0.9910771155327428</v>
      </c>
      <c r="D29">
        <f t="shared" si="0"/>
        <v>2.9682808913560715E-2</v>
      </c>
      <c r="E29">
        <f t="shared" si="1"/>
        <v>0.11181720258329267</v>
      </c>
    </row>
    <row r="30" spans="1:5" x14ac:dyDescent="0.2">
      <c r="A30">
        <v>28</v>
      </c>
      <c r="B30" s="17">
        <v>6.7651763708109769E-4</v>
      </c>
      <c r="C30" s="17">
        <f t="shared" si="2"/>
        <v>0.99043093101350432</v>
      </c>
      <c r="D30">
        <f t="shared" si="0"/>
        <v>2.9509729476318709E-2</v>
      </c>
      <c r="E30">
        <f t="shared" si="1"/>
        <v>0.11679961395164851</v>
      </c>
    </row>
    <row r="31" spans="1:5" x14ac:dyDescent="0.2">
      <c r="A31">
        <v>29</v>
      </c>
      <c r="B31" s="17">
        <v>7.3586094088917697E-4</v>
      </c>
      <c r="C31" s="17">
        <f t="shared" si="2"/>
        <v>0.98976088702036302</v>
      </c>
      <c r="D31">
        <f t="shared" si="0"/>
        <v>2.9338805517062423E-2</v>
      </c>
      <c r="E31">
        <f t="shared" si="1"/>
        <v>0.12201179426104532</v>
      </c>
    </row>
    <row r="32" spans="1:5" x14ac:dyDescent="0.2">
      <c r="A32">
        <v>30</v>
      </c>
      <c r="B32" s="17">
        <v>7.6570945553788849E-4</v>
      </c>
      <c r="C32" s="17">
        <f t="shared" si="2"/>
        <v>0.98903256064278489</v>
      </c>
      <c r="D32">
        <f t="shared" si="0"/>
        <v>2.9161861303077997E-2</v>
      </c>
      <c r="E32">
        <f t="shared" si="1"/>
        <v>0.12743350332382058</v>
      </c>
    </row>
    <row r="33" spans="1:5" x14ac:dyDescent="0.2">
      <c r="A33">
        <v>31</v>
      </c>
      <c r="B33" s="17">
        <v>7.909051138733636E-4</v>
      </c>
      <c r="C33" s="17">
        <f t="shared" si="2"/>
        <v>0.98827524905926589</v>
      </c>
      <c r="D33">
        <f t="shared" si="0"/>
        <v>2.8986636481045835E-2</v>
      </c>
      <c r="E33">
        <f t="shared" si="1"/>
        <v>0.13310310186535659</v>
      </c>
    </row>
    <row r="34" spans="1:5" x14ac:dyDescent="0.2">
      <c r="A34">
        <v>32</v>
      </c>
      <c r="B34" s="17">
        <v>8.1095499649430636E-4</v>
      </c>
      <c r="C34" s="17">
        <f t="shared" si="2"/>
        <v>0.98749361711087047</v>
      </c>
      <c r="D34">
        <f t="shared" si="0"/>
        <v>2.8814396475324269E-2</v>
      </c>
      <c r="E34">
        <f t="shared" si="1"/>
        <v>0.13903777227417058</v>
      </c>
    </row>
    <row r="35" spans="1:5" x14ac:dyDescent="0.2">
      <c r="A35">
        <v>33</v>
      </c>
      <c r="B35" s="17">
        <v>8.2584089891413193E-4</v>
      </c>
      <c r="C35" s="17">
        <f t="shared" si="2"/>
        <v>0.98669280422806815</v>
      </c>
      <c r="D35">
        <f t="shared" si="0"/>
        <v>2.864633294546165E-2</v>
      </c>
      <c r="E35">
        <f t="shared" si="1"/>
        <v>0.14525595418337567</v>
      </c>
    </row>
    <row r="36" spans="1:5" x14ac:dyDescent="0.2">
      <c r="A36">
        <v>34</v>
      </c>
      <c r="B36" s="17">
        <v>8.7691866284378417E-4</v>
      </c>
      <c r="C36" s="17">
        <f t="shared" si="2"/>
        <v>0.98587795295567238</v>
      </c>
      <c r="D36">
        <f t="shared" si="0"/>
        <v>2.8483466552250616E-2</v>
      </c>
      <c r="E36">
        <f t="shared" si="1"/>
        <v>0.15177696257188944</v>
      </c>
    </row>
    <row r="37" spans="1:5" x14ac:dyDescent="0.2">
      <c r="A37">
        <v>35</v>
      </c>
      <c r="B37" s="17">
        <v>9.0259959410743384E-4</v>
      </c>
      <c r="C37" s="17">
        <f t="shared" si="2"/>
        <v>0.98501341817943933</v>
      </c>
      <c r="D37">
        <f t="shared" si="0"/>
        <v>2.8318898208156074E-2</v>
      </c>
      <c r="E37">
        <f t="shared" si="1"/>
        <v>0.1585841114714778</v>
      </c>
    </row>
    <row r="38" spans="1:5" x14ac:dyDescent="0.2">
      <c r="A38">
        <v>36</v>
      </c>
      <c r="B38" s="17">
        <v>9.4445259734776688E-4</v>
      </c>
      <c r="C38" s="17">
        <f t="shared" si="2"/>
        <v>0.98412434546800021</v>
      </c>
      <c r="D38">
        <f t="shared" si="0"/>
        <v>2.8157717962600085E-2</v>
      </c>
      <c r="E38">
        <f t="shared" si="1"/>
        <v>0.16571516190911548</v>
      </c>
    </row>
    <row r="39" spans="1:5" x14ac:dyDescent="0.2">
      <c r="A39">
        <v>37</v>
      </c>
      <c r="B39" s="17">
        <v>9.9912459098538964E-4</v>
      </c>
      <c r="C39" s="17">
        <f t="shared" si="2"/>
        <v>0.98319488667380983</v>
      </c>
      <c r="D39">
        <f t="shared" si="0"/>
        <v>2.7997240010197946E-2</v>
      </c>
      <c r="E39">
        <f t="shared" si="1"/>
        <v>0.1731727982764783</v>
      </c>
    </row>
    <row r="40" spans="1:5" x14ac:dyDescent="0.2">
      <c r="A40">
        <v>38</v>
      </c>
      <c r="B40" s="17">
        <v>1.0659183340381295E-3</v>
      </c>
      <c r="C40" s="17">
        <f t="shared" si="2"/>
        <v>0.98221255248480288</v>
      </c>
      <c r="D40">
        <f t="shared" si="0"/>
        <v>2.7835709266037716E-2</v>
      </c>
      <c r="E40">
        <f t="shared" si="1"/>
        <v>0.18096316211509919</v>
      </c>
    </row>
    <row r="41" spans="1:5" x14ac:dyDescent="0.2">
      <c r="A41">
        <v>39</v>
      </c>
      <c r="B41" s="17">
        <v>1.1849396644890708E-3</v>
      </c>
      <c r="C41" s="17">
        <f t="shared" si="2"/>
        <v>0.98116559411718696</v>
      </c>
      <c r="D41">
        <f t="shared" si="0"/>
        <v>2.7671749969013757E-2</v>
      </c>
      <c r="E41">
        <f t="shared" si="1"/>
        <v>0.18909366437382069</v>
      </c>
    </row>
    <row r="42" spans="1:5" x14ac:dyDescent="0.2">
      <c r="A42">
        <v>40</v>
      </c>
      <c r="B42" s="17">
        <v>1.2741912097328223E-3</v>
      </c>
      <c r="C42" s="17">
        <f t="shared" si="2"/>
        <v>0.98000297208728548</v>
      </c>
      <c r="D42">
        <f t="shared" si="0"/>
        <v>2.7498347257544339E-2</v>
      </c>
      <c r="E42">
        <f t="shared" si="1"/>
        <v>0.19753823183094768</v>
      </c>
    </row>
    <row r="43" spans="1:5" x14ac:dyDescent="0.2">
      <c r="A43">
        <v>41</v>
      </c>
      <c r="B43" s="17">
        <v>1.3697711438098725E-3</v>
      </c>
      <c r="C43" s="17">
        <f t="shared" si="2"/>
        <v>0.97875426091473983</v>
      </c>
      <c r="D43">
        <f t="shared" si="0"/>
        <v>2.7320973227044111E-2</v>
      </c>
      <c r="E43">
        <f t="shared" si="1"/>
        <v>0.20634015946968676</v>
      </c>
    </row>
    <row r="44" spans="1:5" x14ac:dyDescent="0.2">
      <c r="A44">
        <v>42</v>
      </c>
      <c r="B44" s="17">
        <v>1.462591764958332E-3</v>
      </c>
      <c r="C44" s="17">
        <f t="shared" si="2"/>
        <v>0.97741359157125784</v>
      </c>
      <c r="D44">
        <f t="shared" si="0"/>
        <v>2.7139605330249863E-2</v>
      </c>
      <c r="E44">
        <f t="shared" si="1"/>
        <v>0.21551411275490617</v>
      </c>
    </row>
    <row r="45" spans="1:5" x14ac:dyDescent="0.2">
      <c r="A45">
        <v>43</v>
      </c>
      <c r="B45" s="17">
        <v>1.5546589683556045E-3</v>
      </c>
      <c r="C45" s="17">
        <f t="shared" si="2"/>
        <v>0.97598403450126736</v>
      </c>
      <c r="D45">
        <f t="shared" si="0"/>
        <v>2.6955421738962804E-2</v>
      </c>
      <c r="E45">
        <f t="shared" si="1"/>
        <v>0.22508330202341437</v>
      </c>
    </row>
    <row r="46" spans="1:5" x14ac:dyDescent="0.2">
      <c r="A46">
        <v>44</v>
      </c>
      <c r="B46" s="17">
        <v>1.7145176689041808E-3</v>
      </c>
      <c r="C46" s="17">
        <f t="shared" si="2"/>
        <v>0.97446671216905811</v>
      </c>
      <c r="D46">
        <f t="shared" si="0"/>
        <v>2.6769239610943699E-2</v>
      </c>
      <c r="E46">
        <f t="shared" si="1"/>
        <v>0.23507052971502923</v>
      </c>
    </row>
    <row r="47" spans="1:5" x14ac:dyDescent="0.2">
      <c r="A47">
        <v>45</v>
      </c>
      <c r="B47" s="17">
        <v>1.836689286473403E-3</v>
      </c>
      <c r="C47" s="17">
        <f t="shared" si="2"/>
        <v>0.97279597177328525</v>
      </c>
      <c r="D47">
        <f t="shared" si="0"/>
        <v>2.6573994658921293E-2</v>
      </c>
      <c r="E47">
        <f t="shared" si="1"/>
        <v>0.24544463180640114</v>
      </c>
    </row>
    <row r="48" spans="1:5" x14ac:dyDescent="0.2">
      <c r="A48">
        <v>46</v>
      </c>
      <c r="B48" s="17">
        <v>1.9889884143903247E-3</v>
      </c>
      <c r="C48" s="17">
        <f t="shared" si="2"/>
        <v>0.97100924783400477</v>
      </c>
      <c r="D48">
        <f t="shared" si="0"/>
        <v>2.6375138522082495E-2</v>
      </c>
      <c r="E48">
        <f t="shared" si="1"/>
        <v>0.25625900782014965</v>
      </c>
    </row>
    <row r="49" spans="1:5" x14ac:dyDescent="0.2">
      <c r="A49">
        <v>47</v>
      </c>
      <c r="B49" s="17">
        <v>2.177662546002157E-3</v>
      </c>
      <c r="C49" s="17">
        <f t="shared" si="2"/>
        <v>0.96907792168979712</v>
      </c>
      <c r="D49">
        <f t="shared" si="0"/>
        <v>2.6170424372150329E-2</v>
      </c>
      <c r="E49">
        <f t="shared" si="1"/>
        <v>0.26751560581668532</v>
      </c>
    </row>
    <row r="50" spans="1:5" x14ac:dyDescent="0.2">
      <c r="A50">
        <v>48</v>
      </c>
      <c r="B50" s="17">
        <v>2.3823339308259861E-3</v>
      </c>
      <c r="C50" s="17">
        <f t="shared" si="2"/>
        <v>0.96696759699557566</v>
      </c>
      <c r="D50">
        <f t="shared" si="0"/>
        <v>2.5957388752062931E-2</v>
      </c>
      <c r="E50">
        <f t="shared" si="1"/>
        <v>0.27921287184760152</v>
      </c>
    </row>
    <row r="51" spans="1:5" x14ac:dyDescent="0.2">
      <c r="A51">
        <v>49</v>
      </c>
      <c r="B51" s="17">
        <v>2.708122015247727E-3</v>
      </c>
      <c r="C51" s="17">
        <f t="shared" si="2"/>
        <v>0.96466395727924381</v>
      </c>
      <c r="D51">
        <f t="shared" si="0"/>
        <v>2.5735911971388459E-2</v>
      </c>
      <c r="E51">
        <f t="shared" si="1"/>
        <v>0.29136619638856653</v>
      </c>
    </row>
    <row r="52" spans="1:5" x14ac:dyDescent="0.2">
      <c r="A52">
        <v>50</v>
      </c>
      <c r="B52" s="17">
        <v>2.9981807475921718E-3</v>
      </c>
      <c r="C52" s="17">
        <f t="shared" si="2"/>
        <v>0.96205152957921991</v>
      </c>
      <c r="D52">
        <f t="shared" si="0"/>
        <v>2.5496707867906091E-2</v>
      </c>
      <c r="E52">
        <f t="shared" si="1"/>
        <v>0.30391401432492032</v>
      </c>
    </row>
    <row r="53" spans="1:5" x14ac:dyDescent="0.2">
      <c r="A53">
        <v>51</v>
      </c>
      <c r="B53" s="17">
        <v>3.3400281261567466E-3</v>
      </c>
      <c r="C53" s="17">
        <f t="shared" si="2"/>
        <v>0.95916712520504388</v>
      </c>
      <c r="D53">
        <f t="shared" si="0"/>
        <v>2.5245177056382507E-2</v>
      </c>
      <c r="E53">
        <f t="shared" si="1"/>
        <v>0.31691178406586595</v>
      </c>
    </row>
    <row r="54" spans="1:5" x14ac:dyDescent="0.2">
      <c r="A54">
        <v>52</v>
      </c>
      <c r="B54" s="17">
        <v>3.732508549712743E-3</v>
      </c>
      <c r="C54" s="17">
        <f t="shared" si="2"/>
        <v>0.95596348002917408</v>
      </c>
      <c r="D54">
        <f t="shared" si="0"/>
        <v>2.4979110580922573E-2</v>
      </c>
      <c r="E54">
        <f t="shared" si="1"/>
        <v>0.33035373450151073</v>
      </c>
    </row>
    <row r="55" spans="1:5" x14ac:dyDescent="0.2">
      <c r="A55">
        <v>53</v>
      </c>
      <c r="B55" s="17">
        <v>4.1355773330802315E-3</v>
      </c>
      <c r="C55" s="17">
        <f t="shared" si="2"/>
        <v>0.95239533816675204</v>
      </c>
      <c r="D55">
        <f t="shared" si="0"/>
        <v>2.4696883579771213E-2</v>
      </c>
      <c r="E55">
        <f t="shared" si="1"/>
        <v>0.34423715537495364</v>
      </c>
    </row>
    <row r="56" spans="1:5" x14ac:dyDescent="0.2">
      <c r="A56">
        <v>54</v>
      </c>
      <c r="B56" s="17">
        <v>4.7970877791906341E-3</v>
      </c>
      <c r="C56" s="17">
        <f t="shared" si="2"/>
        <v>0.94845663359409838</v>
      </c>
      <c r="D56">
        <f t="shared" si="0"/>
        <v>2.4400181523251564E-2</v>
      </c>
      <c r="E56">
        <f t="shared" si="1"/>
        <v>0.35858963209835054</v>
      </c>
    </row>
    <row r="57" spans="1:5" x14ac:dyDescent="0.2">
      <c r="A57">
        <v>55</v>
      </c>
      <c r="B57" s="17">
        <v>5.4205837517291577E-3</v>
      </c>
      <c r="C57" s="17">
        <f t="shared" si="2"/>
        <v>0.94390680386799186</v>
      </c>
      <c r="D57">
        <f t="shared" si="0"/>
        <v>2.4073764354103962E-2</v>
      </c>
      <c r="E57">
        <f t="shared" si="1"/>
        <v>0.37327279389300644</v>
      </c>
    </row>
    <row r="58" spans="1:5" x14ac:dyDescent="0.2">
      <c r="A58">
        <v>56</v>
      </c>
      <c r="B58" s="17">
        <v>6.1859488741407009E-3</v>
      </c>
      <c r="C58" s="17">
        <f t="shared" si="2"/>
        <v>0.93879027798379844</v>
      </c>
      <c r="D58">
        <f t="shared" si="0"/>
        <v>2.3724170550227068E-2</v>
      </c>
      <c r="E58">
        <f t="shared" si="1"/>
        <v>0.3883499038270114</v>
      </c>
    </row>
    <row r="59" spans="1:5" x14ac:dyDescent="0.2">
      <c r="A59">
        <v>57</v>
      </c>
      <c r="B59" s="17">
        <v>7.0630837113222489E-3</v>
      </c>
      <c r="C59" s="17">
        <f t="shared" si="2"/>
        <v>0.93298296932065028</v>
      </c>
      <c r="D59">
        <f t="shared" si="0"/>
        <v>2.3346272925793842E-2</v>
      </c>
      <c r="E59">
        <f t="shared" si="1"/>
        <v>0.4037698523641583</v>
      </c>
    </row>
    <row r="60" spans="1:5" x14ac:dyDescent="0.2">
      <c r="A60">
        <v>58</v>
      </c>
      <c r="B60" s="17">
        <v>8.0146971621499752E-3</v>
      </c>
      <c r="C60" s="17">
        <f t="shared" si="2"/>
        <v>0.92639323250710048</v>
      </c>
      <c r="D60">
        <f t="shared" si="0"/>
        <v>2.2937880176665214E-2</v>
      </c>
      <c r="E60">
        <f t="shared" si="1"/>
        <v>0.41950510677193525</v>
      </c>
    </row>
    <row r="61" spans="1:5" x14ac:dyDescent="0.2">
      <c r="A61">
        <v>59</v>
      </c>
      <c r="B61" s="17">
        <v>9.3899128630302586E-3</v>
      </c>
      <c r="C61" s="17">
        <f t="shared" si="2"/>
        <v>0.91896847129549086</v>
      </c>
      <c r="D61">
        <f t="shared" si="0"/>
        <v>2.249964912729303E-2</v>
      </c>
      <c r="E61">
        <f t="shared" si="1"/>
        <v>0.43555577774613452</v>
      </c>
    </row>
    <row r="62" spans="1:5" x14ac:dyDescent="0.2">
      <c r="A62">
        <v>60</v>
      </c>
      <c r="B62" s="17">
        <v>1.0717550489847349E-2</v>
      </c>
      <c r="C62" s="17">
        <f t="shared" si="2"/>
        <v>0.91033943742615409</v>
      </c>
      <c r="D62">
        <f t="shared" si="0"/>
        <v>2.2014591287290788E-2</v>
      </c>
      <c r="E62">
        <f t="shared" si="1"/>
        <v>0.45171572946580341</v>
      </c>
    </row>
    <row r="63" spans="1:5" x14ac:dyDescent="0.2">
      <c r="A63">
        <v>61</v>
      </c>
      <c r="B63" s="17">
        <v>1.2159376561695856E-2</v>
      </c>
      <c r="C63" s="17">
        <f t="shared" si="2"/>
        <v>0.90058282854264005</v>
      </c>
      <c r="D63">
        <f t="shared" si="0"/>
        <v>2.1492266120722164E-2</v>
      </c>
      <c r="E63">
        <f t="shared" si="1"/>
        <v>0.46806459384176297</v>
      </c>
    </row>
    <row r="64" spans="1:5" x14ac:dyDescent="0.2">
      <c r="A64">
        <v>62</v>
      </c>
      <c r="B64" s="17">
        <v>1.387657922801766E-2</v>
      </c>
      <c r="C64" s="17">
        <f t="shared" si="2"/>
        <v>0.88963230280539296</v>
      </c>
      <c r="D64">
        <f t="shared" si="0"/>
        <v>2.0933940282014556E-2</v>
      </c>
      <c r="E64">
        <f t="shared" si="1"/>
        <v>0.48459282477966203</v>
      </c>
    </row>
    <row r="65" spans="1:5" x14ac:dyDescent="0.2">
      <c r="A65">
        <v>63</v>
      </c>
      <c r="B65" s="17">
        <v>1.5736101508893152E-2</v>
      </c>
      <c r="C65" s="17">
        <f t="shared" si="2"/>
        <v>0.87728724967171012</v>
      </c>
      <c r="D65">
        <f t="shared" si="0"/>
        <v>2.0334485510867154E-2</v>
      </c>
      <c r="E65">
        <f t="shared" si="1"/>
        <v>0.50120709783193651</v>
      </c>
    </row>
    <row r="66" spans="1:5" x14ac:dyDescent="0.2">
      <c r="A66">
        <v>64</v>
      </c>
      <c r="B66" s="17">
        <v>1.830511818883318E-2</v>
      </c>
      <c r="C66" s="17">
        <f t="shared" si="2"/>
        <v>0.86348216845841841</v>
      </c>
      <c r="D66">
        <f t="shared" ref="D66:D104" si="3">B66*C66/(1.05^A66)+D67</f>
        <v>1.9696055748969769E-2</v>
      </c>
      <c r="E66">
        <f t="shared" si="1"/>
        <v>0.51789418155094624</v>
      </c>
    </row>
    <row r="67" spans="1:5" x14ac:dyDescent="0.2">
      <c r="A67">
        <v>65</v>
      </c>
      <c r="B67" s="17">
        <v>2.0595454908756583E-2</v>
      </c>
      <c r="C67" s="17">
        <f t="shared" si="2"/>
        <v>0.84767602531083708</v>
      </c>
      <c r="D67">
        <f t="shared" si="3"/>
        <v>1.8999893016924726E-2</v>
      </c>
      <c r="E67">
        <f t="shared" ref="E67:E110" si="4">D67/(C67/(1.05^A67))</f>
        <v>0.53434985375743438</v>
      </c>
    </row>
    <row r="68" spans="1:5" x14ac:dyDescent="0.2">
      <c r="A68">
        <v>66</v>
      </c>
      <c r="B68" s="17">
        <v>2.2867910180950468E-2</v>
      </c>
      <c r="C68" s="17">
        <f t="shared" ref="C68:C110" si="5">(1-B67)*C67</f>
        <v>0.83021775195431369</v>
      </c>
      <c r="D68">
        <f t="shared" si="3"/>
        <v>1.8267579838302791E-2</v>
      </c>
      <c r="E68">
        <f t="shared" si="4"/>
        <v>0.55078580296036517</v>
      </c>
    </row>
    <row r="69" spans="1:5" x14ac:dyDescent="0.2">
      <c r="A69">
        <v>67</v>
      </c>
      <c r="B69" s="17">
        <v>2.4968969650168926E-2</v>
      </c>
      <c r="C69" s="17">
        <f t="shared" si="5"/>
        <v>0.81123240697199184</v>
      </c>
      <c r="D69">
        <f t="shared" si="3"/>
        <v>1.7509133682428089E-2</v>
      </c>
      <c r="E69">
        <f t="shared" si="4"/>
        <v>0.56728644284012431</v>
      </c>
    </row>
    <row r="70" spans="1:5" x14ac:dyDescent="0.2">
      <c r="A70">
        <v>68</v>
      </c>
      <c r="B70" s="17">
        <v>2.7209071596467238E-2</v>
      </c>
      <c r="C70" s="17">
        <f t="shared" si="5"/>
        <v>0.79097676962307473</v>
      </c>
      <c r="D70">
        <f t="shared" si="3"/>
        <v>1.6738473581106916E-2</v>
      </c>
      <c r="E70">
        <f t="shared" si="4"/>
        <v>0.58401561501601262</v>
      </c>
    </row>
    <row r="71" spans="1:5" x14ac:dyDescent="0.2">
      <c r="A71">
        <v>69</v>
      </c>
      <c r="B71" s="17">
        <v>3.0362094353712399E-2</v>
      </c>
      <c r="C71" s="17">
        <f t="shared" si="5"/>
        <v>0.76945502606725813</v>
      </c>
      <c r="D71">
        <f t="shared" si="3"/>
        <v>1.5958634285078117E-2</v>
      </c>
      <c r="E71">
        <f t="shared" si="4"/>
        <v>0.60099950926762724</v>
      </c>
    </row>
    <row r="72" spans="1:5" x14ac:dyDescent="0.2">
      <c r="A72">
        <v>70</v>
      </c>
      <c r="B72" s="17">
        <v>3.300501751092455E-2</v>
      </c>
      <c r="C72" s="17">
        <f t="shared" si="5"/>
        <v>0.74609275996486579</v>
      </c>
      <c r="D72">
        <f t="shared" si="3"/>
        <v>1.5152414725081494E-2</v>
      </c>
      <c r="E72">
        <f t="shared" si="4"/>
        <v>0.61793096388929769</v>
      </c>
    </row>
    <row r="73" spans="1:5" x14ac:dyDescent="0.2">
      <c r="A73">
        <v>71</v>
      </c>
      <c r="B73" s="17">
        <v>3.6327646296464677E-2</v>
      </c>
      <c r="C73" s="17">
        <f t="shared" si="5"/>
        <v>0.72146795535745134</v>
      </c>
      <c r="D73">
        <f t="shared" si="3"/>
        <v>1.4343091770642687E-2</v>
      </c>
      <c r="E73">
        <f t="shared" si="4"/>
        <v>0.63513488158583131</v>
      </c>
    </row>
    <row r="74" spans="1:5" x14ac:dyDescent="0.2">
      <c r="A74">
        <v>72</v>
      </c>
      <c r="B74" s="17">
        <v>3.9870621251053007E-2</v>
      </c>
      <c r="C74" s="17">
        <f t="shared" si="5"/>
        <v>0.69525872266099231</v>
      </c>
      <c r="D74">
        <f t="shared" si="3"/>
        <v>1.352271364349486E-2</v>
      </c>
      <c r="E74">
        <f t="shared" si="4"/>
        <v>0.65244955366568824</v>
      </c>
    </row>
    <row r="75" spans="1:5" x14ac:dyDescent="0.2">
      <c r="A75">
        <v>73</v>
      </c>
      <c r="B75" s="17">
        <v>4.3880416622974594E-2</v>
      </c>
      <c r="C75" s="17">
        <f t="shared" si="5"/>
        <v>0.66753832545828495</v>
      </c>
      <c r="D75">
        <f t="shared" si="3"/>
        <v>1.2696352446775439E-2</v>
      </c>
      <c r="E75">
        <f t="shared" si="4"/>
        <v>0.66991792280480977</v>
      </c>
    </row>
    <row r="76" spans="1:5" x14ac:dyDescent="0.2">
      <c r="A76">
        <v>74</v>
      </c>
      <c r="B76" s="17">
        <v>4.9867393302641561E-2</v>
      </c>
      <c r="C76" s="17">
        <f t="shared" si="5"/>
        <v>0.63824646562537257</v>
      </c>
      <c r="D76">
        <f t="shared" si="3"/>
        <v>1.186472633857389E-2</v>
      </c>
      <c r="E76">
        <f t="shared" si="4"/>
        <v>0.68750749688568935</v>
      </c>
    </row>
    <row r="77" spans="1:5" x14ac:dyDescent="0.2">
      <c r="A77">
        <v>75</v>
      </c>
      <c r="B77" s="17">
        <v>5.5018183721699088E-2</v>
      </c>
      <c r="C77" s="17">
        <f t="shared" si="5"/>
        <v>0.60641877810001121</v>
      </c>
      <c r="D77">
        <f t="shared" si="3"/>
        <v>1.1004135032393197E-2</v>
      </c>
      <c r="E77">
        <f t="shared" si="4"/>
        <v>0.7046617535729518</v>
      </c>
    </row>
    <row r="78" spans="1:5" x14ac:dyDescent="0.2">
      <c r="A78">
        <v>76</v>
      </c>
      <c r="B78" s="17">
        <v>6.1694492707509929E-2</v>
      </c>
      <c r="C78" s="17">
        <f t="shared" si="5"/>
        <v>0.57305471835421651</v>
      </c>
      <c r="D78">
        <f t="shared" si="3"/>
        <v>1.0144960371868763E-2</v>
      </c>
      <c r="E78">
        <f t="shared" si="4"/>
        <v>0.72184007839461595</v>
      </c>
    </row>
    <row r="79" spans="1:5" x14ac:dyDescent="0.2">
      <c r="A79">
        <v>77</v>
      </c>
      <c r="B79" s="17">
        <v>6.9047634023486015E-2</v>
      </c>
      <c r="C79" s="17">
        <f t="shared" si="5"/>
        <v>0.53770039821170812</v>
      </c>
      <c r="D79">
        <f t="shared" si="3"/>
        <v>9.2778871759993681E-3</v>
      </c>
      <c r="E79">
        <f t="shared" si="4"/>
        <v>0.73872833483795264</v>
      </c>
    </row>
    <row r="80" spans="1:5" x14ac:dyDescent="0.2">
      <c r="A80">
        <v>78</v>
      </c>
      <c r="B80" s="17">
        <v>7.7330820081019436E-2</v>
      </c>
      <c r="C80" s="17">
        <f t="shared" si="5"/>
        <v>0.50057345790170338</v>
      </c>
      <c r="D80">
        <f t="shared" si="3"/>
        <v>8.41069943183341E-3</v>
      </c>
      <c r="E80">
        <f t="shared" si="4"/>
        <v>0.75531763122768525</v>
      </c>
    </row>
    <row r="81" spans="1:5" x14ac:dyDescent="0.2">
      <c r="A81">
        <v>79</v>
      </c>
      <c r="B81" s="17">
        <v>8.8932262372451221E-2</v>
      </c>
      <c r="C81" s="17">
        <f t="shared" si="5"/>
        <v>0.46186370189137299</v>
      </c>
      <c r="D81">
        <f t="shared" si="3"/>
        <v>7.5495964234719099E-3</v>
      </c>
      <c r="E81">
        <f t="shared" si="4"/>
        <v>0.7715508084560817</v>
      </c>
    </row>
    <row r="82" spans="1:5" x14ac:dyDescent="0.2">
      <c r="A82">
        <v>80</v>
      </c>
      <c r="B82" s="17">
        <v>9.9217391983771108E-2</v>
      </c>
      <c r="C82" s="17">
        <f t="shared" si="5"/>
        <v>0.42078911797445784</v>
      </c>
      <c r="D82">
        <f t="shared" si="3"/>
        <v>6.6793974909066791E-3</v>
      </c>
      <c r="E82">
        <f t="shared" si="4"/>
        <v>0.7867137028189054</v>
      </c>
    </row>
    <row r="83" spans="1:5" x14ac:dyDescent="0.2">
      <c r="A83">
        <v>81</v>
      </c>
      <c r="B83" s="17">
        <v>0.11039631503840053</v>
      </c>
      <c r="C83" s="17">
        <f t="shared" si="5"/>
        <v>0.37903951911388073</v>
      </c>
      <c r="D83">
        <f t="shared" si="3"/>
        <v>5.8370168425258082E-3</v>
      </c>
      <c r="E83">
        <f t="shared" si="4"/>
        <v>0.80138217584667848</v>
      </c>
    </row>
    <row r="84" spans="1:5" x14ac:dyDescent="0.2">
      <c r="A84">
        <v>82</v>
      </c>
      <c r="B84" s="17">
        <v>0.12158224717133748</v>
      </c>
      <c r="C84" s="17">
        <f t="shared" si="5"/>
        <v>0.33719495294978091</v>
      </c>
      <c r="D84">
        <f t="shared" si="3"/>
        <v>5.0329246507433778E-3</v>
      </c>
      <c r="E84">
        <f t="shared" si="4"/>
        <v>0.81557121009453803</v>
      </c>
    </row>
    <row r="85" spans="1:5" x14ac:dyDescent="0.2">
      <c r="A85">
        <v>83</v>
      </c>
      <c r="B85" s="17">
        <v>0.13396231036210104</v>
      </c>
      <c r="C85" s="17">
        <f t="shared" si="5"/>
        <v>0.29619803283531315</v>
      </c>
      <c r="D85">
        <f t="shared" si="3"/>
        <v>4.2826354285300681E-3</v>
      </c>
      <c r="E85">
        <f t="shared" si="4"/>
        <v>0.82954654402515582</v>
      </c>
    </row>
    <row r="86" spans="1:5" x14ac:dyDescent="0.2">
      <c r="A86">
        <v>84</v>
      </c>
      <c r="B86" s="17">
        <v>0.15138666387630972</v>
      </c>
      <c r="C86" s="17">
        <f t="shared" si="5"/>
        <v>0.25651866003198515</v>
      </c>
      <c r="D86">
        <f t="shared" si="3"/>
        <v>3.591038627149051E-3</v>
      </c>
      <c r="E86">
        <f t="shared" si="4"/>
        <v>0.8433390995391683</v>
      </c>
    </row>
    <row r="87" spans="1:5" x14ac:dyDescent="0.2">
      <c r="A87">
        <v>85</v>
      </c>
      <c r="B87" s="17">
        <v>0.1668465563587862</v>
      </c>
      <c r="C87" s="17">
        <f t="shared" si="5"/>
        <v>0.21768515586772164</v>
      </c>
      <c r="D87">
        <f t="shared" si="3"/>
        <v>2.9464161284268636E-3</v>
      </c>
      <c r="E87">
        <f t="shared" si="4"/>
        <v>0.85616148900599254</v>
      </c>
    </row>
    <row r="88" spans="1:5" x14ac:dyDescent="0.2">
      <c r="A88">
        <v>86</v>
      </c>
      <c r="B88" s="17">
        <v>0.18557588650955648</v>
      </c>
      <c r="C88" s="17">
        <f t="shared" si="5"/>
        <v>0.18136513724076667</v>
      </c>
      <c r="D88">
        <f t="shared" si="3"/>
        <v>2.3722261059361785E-3</v>
      </c>
      <c r="E88">
        <f t="shared" si="4"/>
        <v>0.8687243446013444</v>
      </c>
    </row>
    <row r="89" spans="1:5" x14ac:dyDescent="0.2">
      <c r="A89">
        <v>87</v>
      </c>
      <c r="B89" s="17">
        <v>0.2059486559603867</v>
      </c>
      <c r="C89" s="17">
        <f t="shared" si="5"/>
        <v>0.14770814111538402</v>
      </c>
      <c r="D89">
        <f t="shared" si="3"/>
        <v>1.8654739176891242E-3</v>
      </c>
      <c r="E89">
        <f t="shared" si="4"/>
        <v>0.88075226299742204</v>
      </c>
    </row>
    <row r="90" spans="1:5" x14ac:dyDescent="0.2">
      <c r="A90">
        <v>88</v>
      </c>
      <c r="B90" s="17">
        <v>0.22847743992263225</v>
      </c>
      <c r="C90" s="17">
        <f t="shared" si="5"/>
        <v>0.11728784797826355</v>
      </c>
      <c r="D90">
        <f t="shared" si="3"/>
        <v>1.4292651649920485E-3</v>
      </c>
      <c r="E90">
        <f t="shared" si="4"/>
        <v>0.89231482662604678</v>
      </c>
    </row>
    <row r="91" spans="1:5" x14ac:dyDescent="0.2">
      <c r="A91">
        <v>89</v>
      </c>
      <c r="B91" s="17">
        <v>0.2601369278155059</v>
      </c>
      <c r="C91" s="17">
        <f t="shared" si="5"/>
        <v>9.0490220738155019E-2</v>
      </c>
      <c r="D91">
        <f t="shared" si="3"/>
        <v>1.0633014533918208E-3</v>
      </c>
      <c r="E91">
        <f t="shared" si="4"/>
        <v>0.90344636969356773</v>
      </c>
    </row>
    <row r="92" spans="1:5" x14ac:dyDescent="0.2">
      <c r="A92">
        <v>90</v>
      </c>
      <c r="B92" s="17">
        <v>0.28613284972946629</v>
      </c>
      <c r="C92" s="17">
        <f t="shared" si="5"/>
        <v>6.6950372717984388E-2</v>
      </c>
      <c r="D92">
        <f t="shared" si="3"/>
        <v>7.5713610400762938E-4</v>
      </c>
      <c r="E92">
        <f t="shared" si="4"/>
        <v>0.91297287209859124</v>
      </c>
    </row>
    <row r="93" spans="1:5" x14ac:dyDescent="0.2">
      <c r="A93">
        <v>91</v>
      </c>
      <c r="B93" s="17">
        <v>0.3149314567490723</v>
      </c>
      <c r="C93" s="17">
        <f t="shared" si="5"/>
        <v>4.7793671781737601E-2</v>
      </c>
      <c r="D93">
        <f t="shared" si="3"/>
        <v>5.198437181180149E-4</v>
      </c>
      <c r="E93">
        <f t="shared" si="4"/>
        <v>0.92199511244935517</v>
      </c>
    </row>
    <row r="94" spans="1:5" x14ac:dyDescent="0.2">
      <c r="A94">
        <v>92</v>
      </c>
      <c r="B94" s="17">
        <v>0.3452929683070034</v>
      </c>
      <c r="C94" s="17">
        <f t="shared" si="5"/>
        <v>3.2741941104127946E-2</v>
      </c>
      <c r="D94">
        <f t="shared" si="3"/>
        <v>3.4227754968807825E-4</v>
      </c>
      <c r="E94">
        <f t="shared" si="4"/>
        <v>0.93044242764453278</v>
      </c>
    </row>
    <row r="95" spans="1:5" x14ac:dyDescent="0.2">
      <c r="A95">
        <v>93</v>
      </c>
      <c r="B95" s="17">
        <v>0.3762645063138339</v>
      </c>
      <c r="C95" s="17">
        <f t="shared" si="5"/>
        <v>2.1436379072150524E-2</v>
      </c>
      <c r="D95">
        <f t="shared" si="3"/>
        <v>2.1525622348325446E-4</v>
      </c>
      <c r="E95">
        <f t="shared" si="4"/>
        <v>0.93844559866055033</v>
      </c>
    </row>
    <row r="96" spans="1:5" x14ac:dyDescent="0.2">
      <c r="A96">
        <v>94</v>
      </c>
      <c r="B96" s="17">
        <v>0.42256493196541345</v>
      </c>
      <c r="C96" s="17">
        <f t="shared" si="5"/>
        <v>1.3370630483411606E-2</v>
      </c>
      <c r="D96">
        <f t="shared" si="3"/>
        <v>1.289504463817269E-4</v>
      </c>
      <c r="E96">
        <f t="shared" si="4"/>
        <v>0.94637895861199439</v>
      </c>
    </row>
    <row r="97" spans="1:5" x14ac:dyDescent="0.2">
      <c r="A97">
        <v>95</v>
      </c>
      <c r="B97" s="17">
        <v>0.45653723914184741</v>
      </c>
      <c r="C97" s="17">
        <f t="shared" si="5"/>
        <v>7.7206709228540976E-3</v>
      </c>
      <c r="D97">
        <f t="shared" si="3"/>
        <v>7.1373155481132779E-5</v>
      </c>
      <c r="E97">
        <f t="shared" si="4"/>
        <v>0.95249623451336107</v>
      </c>
    </row>
    <row r="98" spans="1:5" x14ac:dyDescent="0.2">
      <c r="A98">
        <v>96</v>
      </c>
      <c r="B98" s="17">
        <v>0.49293778940901678</v>
      </c>
      <c r="C98" s="17">
        <f t="shared" si="5"/>
        <v>4.1958971354115488E-3</v>
      </c>
      <c r="D98">
        <f t="shared" si="3"/>
        <v>3.7163567903239737E-5</v>
      </c>
      <c r="E98">
        <f t="shared" si="4"/>
        <v>0.95822010751535236</v>
      </c>
    </row>
    <row r="99" spans="1:5" x14ac:dyDescent="0.2">
      <c r="A99">
        <v>97</v>
      </c>
      <c r="B99" s="17">
        <v>0.53018007733385319</v>
      </c>
      <c r="C99" s="17">
        <f t="shared" si="5"/>
        <v>2.1275808768941541E-3</v>
      </c>
      <c r="D99">
        <f t="shared" si="3"/>
        <v>1.8045489640118572E-5</v>
      </c>
      <c r="E99">
        <f t="shared" si="4"/>
        <v>0.96348421122183281</v>
      </c>
    </row>
    <row r="100" spans="1:5" x14ac:dyDescent="0.2">
      <c r="A100">
        <v>98</v>
      </c>
      <c r="B100" s="17">
        <v>0.56486629629800489</v>
      </c>
      <c r="C100" s="17">
        <f t="shared" si="5"/>
        <v>9.995798830483842E-4</v>
      </c>
      <c r="D100">
        <f t="shared" si="3"/>
        <v>8.1155302474342219E-6</v>
      </c>
      <c r="E100">
        <f t="shared" si="4"/>
        <v>0.9683909060316267</v>
      </c>
    </row>
    <row r="101" spans="1:5" x14ac:dyDescent="0.2">
      <c r="A101">
        <v>99</v>
      </c>
      <c r="B101" s="17">
        <v>0.61790877985650827</v>
      </c>
      <c r="C101" s="17">
        <f t="shared" si="5"/>
        <v>4.3495089665685052E-4</v>
      </c>
      <c r="D101">
        <f t="shared" si="3"/>
        <v>3.3817089312591553E-6</v>
      </c>
      <c r="E101">
        <f t="shared" si="4"/>
        <v>0.97372563103150911</v>
      </c>
    </row>
    <row r="102" spans="1:5" x14ac:dyDescent="0.2">
      <c r="A102">
        <v>100</v>
      </c>
      <c r="B102" s="17">
        <v>0.66015875774553445</v>
      </c>
      <c r="C102" s="17">
        <f t="shared" si="5"/>
        <v>1.661909188061218E-4</v>
      </c>
      <c r="D102">
        <f t="shared" si="3"/>
        <v>1.2357372396948569E-6</v>
      </c>
      <c r="E102">
        <f t="shared" si="4"/>
        <v>0.97779711764495647</v>
      </c>
    </row>
    <row r="103" spans="1:5" x14ac:dyDescent="0.2">
      <c r="A103">
        <v>101</v>
      </c>
      <c r="B103" s="17">
        <v>0.70000715567728045</v>
      </c>
      <c r="C103" s="17">
        <f t="shared" si="5"/>
        <v>5.6478528298483448E-5</v>
      </c>
      <c r="D103">
        <f t="shared" si="3"/>
        <v>4.0143046343672945E-7</v>
      </c>
      <c r="E103">
        <f t="shared" si="4"/>
        <v>0.98140024348386912</v>
      </c>
    </row>
    <row r="104" spans="1:5" x14ac:dyDescent="0.2">
      <c r="A104">
        <v>102</v>
      </c>
      <c r="B104" s="17">
        <v>0.74248076627063142</v>
      </c>
      <c r="C104" s="17">
        <f t="shared" si="5"/>
        <v>1.6943154347423257E-5</v>
      </c>
      <c r="D104">
        <f t="shared" si="3"/>
        <v>1.1510060079575254E-7</v>
      </c>
      <c r="E104">
        <f t="shared" si="4"/>
        <v>0.98489929939486054</v>
      </c>
    </row>
    <row r="105" spans="1:5" x14ac:dyDescent="0.2">
      <c r="A105">
        <v>103</v>
      </c>
      <c r="B105" s="17">
        <v>0.78906552672789831</v>
      </c>
      <c r="C105" s="17">
        <f t="shared" si="5"/>
        <v>4.3631881245068574E-6</v>
      </c>
      <c r="D105">
        <f>B105*C105/(1.05^A105)+D106</f>
        <v>2.8330326586451626E-8</v>
      </c>
      <c r="E105">
        <f t="shared" si="4"/>
        <v>0.98842892662510962</v>
      </c>
    </row>
    <row r="106" spans="1:5" x14ac:dyDescent="0.2">
      <c r="A106">
        <v>104</v>
      </c>
      <c r="B106" s="17">
        <v>0.85546065635659552</v>
      </c>
      <c r="C106" s="17">
        <f t="shared" si="5"/>
        <v>9.2034678882994321E-7</v>
      </c>
      <c r="D106">
        <f>B106*C106/(1.05^A106)+D107</f>
        <v>5.7141490665980187E-9</v>
      </c>
      <c r="E106">
        <f t="shared" si="4"/>
        <v>0.99240094160444714</v>
      </c>
    </row>
    <row r="107" spans="1:5" x14ac:dyDescent="0.2">
      <c r="A107">
        <v>105</v>
      </c>
      <c r="B107" s="17">
        <v>0.89779385127389166</v>
      </c>
      <c r="C107" s="17">
        <f t="shared" si="5"/>
        <v>1.3302632078179498E-7</v>
      </c>
      <c r="D107">
        <f>B107*C107/(1.05^A107)+D108</f>
        <v>7.8848897690845458E-10</v>
      </c>
      <c r="E107">
        <f t="shared" si="4"/>
        <v>0.99479695898567444</v>
      </c>
    </row>
    <row r="108" spans="1:5" x14ac:dyDescent="0.2">
      <c r="A108">
        <v>106</v>
      </c>
      <c r="B108" s="17">
        <v>0.93165379676312077</v>
      </c>
      <c r="C108" s="17">
        <f t="shared" si="5"/>
        <v>1.3596107926311134E-8</v>
      </c>
      <c r="D108">
        <f>B108*C108/(1.05^A108)+D109</f>
        <v>7.6885921760950636E-11</v>
      </c>
      <c r="E108">
        <f t="shared" si="4"/>
        <v>0.99654731507707894</v>
      </c>
    </row>
    <row r="109" spans="1:5" x14ac:dyDescent="0.2">
      <c r="A109">
        <v>107</v>
      </c>
      <c r="B109" s="17">
        <v>0.95695782428156406</v>
      </c>
      <c r="C109" s="17">
        <f t="shared" si="5"/>
        <v>9.2924235556220544E-10</v>
      </c>
      <c r="D109">
        <f>B109*C109/(1.05^A109)+D110</f>
        <v>5.0066844758835125E-12</v>
      </c>
      <c r="E109">
        <f t="shared" si="4"/>
        <v>0.99695653895356562</v>
      </c>
    </row>
    <row r="110" spans="1:5" x14ac:dyDescent="0.2">
      <c r="A110">
        <v>108</v>
      </c>
      <c r="B110" s="17">
        <v>0.97575574897373418</v>
      </c>
      <c r="C110" s="17">
        <f t="shared" si="5"/>
        <v>3.9996612753121775E-11</v>
      </c>
      <c r="D110">
        <f>B110*C110/(1.05^A110)</f>
        <v>2.0087229079594935E-13</v>
      </c>
      <c r="E110">
        <f t="shared" si="4"/>
        <v>0.97575574897373429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0"/>
  <sheetViews>
    <sheetView workbookViewId="0">
      <selection activeCell="E32" sqref="E32"/>
    </sheetView>
  </sheetViews>
  <sheetFormatPr defaultRowHeight="12.75" x14ac:dyDescent="0.2"/>
  <cols>
    <col min="2" max="2" width="13.7109375" customWidth="1"/>
    <col min="3" max="3" width="14" customWidth="1"/>
    <col min="4" max="4" width="18.42578125" customWidth="1"/>
  </cols>
  <sheetData>
    <row r="1" spans="1:5" x14ac:dyDescent="0.2">
      <c r="A1" t="s">
        <v>150</v>
      </c>
      <c r="B1" s="8" t="s">
        <v>158</v>
      </c>
      <c r="C1" s="8" t="s">
        <v>159</v>
      </c>
      <c r="D1" t="s">
        <v>160</v>
      </c>
      <c r="E1" s="8" t="s">
        <v>161</v>
      </c>
    </row>
    <row r="2" spans="1:5" x14ac:dyDescent="0.2">
      <c r="A2">
        <v>0</v>
      </c>
      <c r="B2" s="17">
        <v>5.3982491612014627E-4</v>
      </c>
      <c r="C2" s="17">
        <v>1</v>
      </c>
      <c r="D2">
        <f t="shared" ref="D2:D65" si="0">B2*C2/(1.05^A2)+D3</f>
        <v>3.1175989377719815E-2</v>
      </c>
      <c r="E2">
        <f>D2/(C2/(1.05^A2))</f>
        <v>3.1175989377719815E-2</v>
      </c>
    </row>
    <row r="3" spans="1:5" x14ac:dyDescent="0.2">
      <c r="A3">
        <v>1</v>
      </c>
      <c r="B3" s="17">
        <v>3.5802186485578424E-4</v>
      </c>
      <c r="C3" s="17">
        <f>(1-B2)*C2</f>
        <v>0.99946017508387985</v>
      </c>
      <c r="D3">
        <f t="shared" si="0"/>
        <v>3.0636164461599669E-2</v>
      </c>
      <c r="E3">
        <f t="shared" ref="E3:E66" si="1">D3/(C3/(1.05^A3))</f>
        <v>3.218534713699818E-2</v>
      </c>
    </row>
    <row r="4" spans="1:5" x14ac:dyDescent="0.2">
      <c r="A4">
        <v>2</v>
      </c>
      <c r="B4" s="17">
        <v>2.8351556768679842E-4</v>
      </c>
      <c r="C4" s="17">
        <f t="shared" ref="C4:C67" si="2">(1-B3)*C3</f>
        <v>0.99910234648814722</v>
      </c>
      <c r="D4">
        <f t="shared" si="0"/>
        <v>3.0295375322806697E-2</v>
      </c>
      <c r="E4">
        <f t="shared" si="1"/>
        <v>3.343066044314473E-2</v>
      </c>
    </row>
    <row r="5" spans="1:5" x14ac:dyDescent="0.2">
      <c r="A5">
        <v>3</v>
      </c>
      <c r="B5" s="17">
        <v>2.1733771869003604E-4</v>
      </c>
      <c r="C5" s="17">
        <f t="shared" si="2"/>
        <v>0.99881908541920539</v>
      </c>
      <c r="D5">
        <f t="shared" si="0"/>
        <v>3.0038449183176948E-2</v>
      </c>
      <c r="E5">
        <f t="shared" si="1"/>
        <v>3.4814372535823992E-2</v>
      </c>
    </row>
    <row r="6" spans="1:5" x14ac:dyDescent="0.2">
      <c r="A6">
        <v>4</v>
      </c>
      <c r="B6" s="17">
        <v>1.9740473463403241E-4</v>
      </c>
      <c r="C6" s="17">
        <f t="shared" si="2"/>
        <v>0.99860200435779634</v>
      </c>
      <c r="D6">
        <f t="shared" si="0"/>
        <v>2.9850926400402666E-2</v>
      </c>
      <c r="E6">
        <f t="shared" si="1"/>
        <v>3.6334783476940621E-2</v>
      </c>
    </row>
    <row r="7" spans="1:5" x14ac:dyDescent="0.2">
      <c r="A7">
        <v>5</v>
      </c>
      <c r="B7" s="17">
        <v>1.8795405136828869E-4</v>
      </c>
      <c r="C7" s="17">
        <f t="shared" si="2"/>
        <v>0.99840487559412106</v>
      </c>
      <c r="D7">
        <f t="shared" si="0"/>
        <v>2.9688748078674363E-2</v>
      </c>
      <c r="E7">
        <f t="shared" si="1"/>
        <v>3.7951739532493235E-2</v>
      </c>
    </row>
    <row r="8" spans="1:5" x14ac:dyDescent="0.2">
      <c r="A8">
        <v>6</v>
      </c>
      <c r="B8" s="17">
        <v>1.7852118728267641E-4</v>
      </c>
      <c r="C8" s="17">
        <f t="shared" si="2"/>
        <v>0.99821722135284729</v>
      </c>
      <c r="D8">
        <f t="shared" si="0"/>
        <v>2.954171607038758E-2</v>
      </c>
      <c r="E8">
        <f t="shared" si="1"/>
        <v>3.9659428905518927E-2</v>
      </c>
    </row>
    <row r="9" spans="1:5" x14ac:dyDescent="0.2">
      <c r="A9">
        <v>7</v>
      </c>
      <c r="B9" s="17">
        <v>1.6169872476634595E-4</v>
      </c>
      <c r="C9" s="17">
        <f t="shared" si="2"/>
        <v>0.99803901842932541</v>
      </c>
      <c r="D9">
        <f t="shared" si="0"/>
        <v>2.9408738305129859E-2</v>
      </c>
      <c r="E9">
        <f t="shared" si="1"/>
        <v>4.146235501299253E-2</v>
      </c>
    </row>
    <row r="10" spans="1:5" x14ac:dyDescent="0.2">
      <c r="A10">
        <v>8</v>
      </c>
      <c r="B10" s="17">
        <v>1.5539738731329411E-4</v>
      </c>
      <c r="C10" s="17">
        <f t="shared" si="2"/>
        <v>0.9978776367927783</v>
      </c>
      <c r="D10">
        <f t="shared" si="0"/>
        <v>2.9294047389010005E-2</v>
      </c>
      <c r="E10">
        <f t="shared" si="1"/>
        <v>4.337270241330738E-2</v>
      </c>
    </row>
    <row r="11" spans="1:5" x14ac:dyDescent="0.2">
      <c r="A11">
        <v>9</v>
      </c>
      <c r="B11" s="17">
        <v>1.7249911769279258E-4</v>
      </c>
      <c r="C11" s="17">
        <f t="shared" si="2"/>
        <v>0.99772256921516234</v>
      </c>
      <c r="D11">
        <f t="shared" si="0"/>
        <v>2.9189091548705082E-2</v>
      </c>
      <c r="E11">
        <f t="shared" si="1"/>
        <v>4.5385223022374105E-2</v>
      </c>
    </row>
    <row r="12" spans="1:5" x14ac:dyDescent="0.2">
      <c r="A12">
        <v>10</v>
      </c>
      <c r="B12" s="17">
        <v>1.8169251736932512E-4</v>
      </c>
      <c r="C12" s="17">
        <f t="shared" si="2"/>
        <v>0.99755046295227057</v>
      </c>
      <c r="D12">
        <f t="shared" si="0"/>
        <v>2.9078150317108101E-2</v>
      </c>
      <c r="E12">
        <f t="shared" si="1"/>
        <v>4.7481550625504958E-2</v>
      </c>
    </row>
    <row r="13" spans="1:5" x14ac:dyDescent="0.2">
      <c r="A13">
        <v>11</v>
      </c>
      <c r="B13" s="17">
        <v>1.9667121130284571E-4</v>
      </c>
      <c r="C13" s="17">
        <f t="shared" si="2"/>
        <v>0.99736921549745383</v>
      </c>
      <c r="D13">
        <f t="shared" si="0"/>
        <v>2.8966880102425579E-2</v>
      </c>
      <c r="E13">
        <f t="shared" si="1"/>
        <v>4.9673876385190344E-2</v>
      </c>
    </row>
    <row r="14" spans="1:5" x14ac:dyDescent="0.2">
      <c r="A14">
        <v>12</v>
      </c>
      <c r="B14" s="17">
        <v>2.2078017164073316E-4</v>
      </c>
      <c r="C14" s="17">
        <f t="shared" si="2"/>
        <v>0.99717306168572573</v>
      </c>
      <c r="D14">
        <f t="shared" si="0"/>
        <v>2.8852193031232827E-2</v>
      </c>
      <c r="E14">
        <f t="shared" si="1"/>
        <v>5.1961284721388876E-2</v>
      </c>
    </row>
    <row r="15" spans="1:5" x14ac:dyDescent="0.2">
      <c r="A15">
        <v>13</v>
      </c>
      <c r="B15" s="17">
        <v>2.6996969056425346E-4</v>
      </c>
      <c r="C15" s="17">
        <f t="shared" si="2"/>
        <v>0.99695290564601124</v>
      </c>
      <c r="D15">
        <f t="shared" si="0"/>
        <v>2.8729601910482013E-2</v>
      </c>
      <c r="E15">
        <f t="shared" si="1"/>
        <v>5.4339526867304193E-2</v>
      </c>
    </row>
    <row r="16" spans="1:5" x14ac:dyDescent="0.2">
      <c r="A16">
        <v>14</v>
      </c>
      <c r="B16" s="17">
        <v>3.1437798892142155E-4</v>
      </c>
      <c r="C16" s="17">
        <f t="shared" si="2"/>
        <v>0.99668375857856684</v>
      </c>
      <c r="D16">
        <f t="shared" si="0"/>
        <v>2.8586867474152684E-2</v>
      </c>
      <c r="E16">
        <f t="shared" si="1"/>
        <v>5.6788366173220355E-2</v>
      </c>
    </row>
    <row r="17" spans="1:5" x14ac:dyDescent="0.2">
      <c r="A17">
        <v>15</v>
      </c>
      <c r="B17" s="17">
        <v>3.5522203027948951E-4</v>
      </c>
      <c r="C17" s="17">
        <f t="shared" si="2"/>
        <v>0.99637042314295421</v>
      </c>
      <c r="D17">
        <f t="shared" si="0"/>
        <v>2.8428611787086881E-2</v>
      </c>
      <c r="E17">
        <f t="shared" si="1"/>
        <v>5.9316335343729452E-2</v>
      </c>
    </row>
    <row r="18" spans="1:5" x14ac:dyDescent="0.2">
      <c r="A18">
        <v>16</v>
      </c>
      <c r="B18" s="17">
        <v>4.0500000735121944E-4</v>
      </c>
      <c r="C18" s="17">
        <f t="shared" si="2"/>
        <v>0.99601649041833495</v>
      </c>
      <c r="D18">
        <f t="shared" si="0"/>
        <v>2.8258364094971088E-2</v>
      </c>
      <c r="E18">
        <f t="shared" si="1"/>
        <v>6.1931168294461596E-2</v>
      </c>
    </row>
    <row r="19" spans="1:5" x14ac:dyDescent="0.2">
      <c r="A19">
        <v>17</v>
      </c>
      <c r="B19" s="17">
        <v>4.288115571379203E-4</v>
      </c>
      <c r="C19" s="17">
        <f t="shared" si="2"/>
        <v>0.99561310373239365</v>
      </c>
      <c r="D19">
        <f t="shared" si="0"/>
        <v>2.8073568006323425E-2</v>
      </c>
      <c r="E19">
        <f t="shared" si="1"/>
        <v>6.462865130571982E-2</v>
      </c>
    </row>
    <row r="20" spans="1:5" x14ac:dyDescent="0.2">
      <c r="A20">
        <v>18</v>
      </c>
      <c r="B20" s="17">
        <v>4.4619481414343021E-4</v>
      </c>
      <c r="C20" s="17">
        <f t="shared" si="2"/>
        <v>0.99518617332707526</v>
      </c>
      <c r="D20">
        <f t="shared" si="0"/>
        <v>2.7887299684642642E-2</v>
      </c>
      <c r="E20">
        <f t="shared" si="1"/>
        <v>6.7438750251517771E-2</v>
      </c>
    </row>
    <row r="21" spans="1:5" x14ac:dyDescent="0.2">
      <c r="A21">
        <v>19</v>
      </c>
      <c r="B21" s="17">
        <v>4.7836150735658389E-4</v>
      </c>
      <c r="C21" s="17">
        <f t="shared" si="2"/>
        <v>0.99474212641742943</v>
      </c>
      <c r="D21">
        <f t="shared" si="0"/>
        <v>2.7702789021954742E-2</v>
      </c>
      <c r="E21">
        <f t="shared" si="1"/>
        <v>7.0373583537270079E-2</v>
      </c>
    </row>
    <row r="22" spans="1:5" x14ac:dyDescent="0.2">
      <c r="A22">
        <v>20</v>
      </c>
      <c r="B22" s="17">
        <v>4.9523286800745581E-4</v>
      </c>
      <c r="C22" s="17">
        <f t="shared" si="2"/>
        <v>0.99426628007440532</v>
      </c>
      <c r="D22">
        <f t="shared" si="0"/>
        <v>2.7514480465697898E-2</v>
      </c>
      <c r="E22">
        <f t="shared" si="1"/>
        <v>7.3425106876212287E-2</v>
      </c>
    </row>
    <row r="23" spans="1:5" x14ac:dyDescent="0.2">
      <c r="A23">
        <v>21</v>
      </c>
      <c r="B23" s="17">
        <v>5.1476618150370079E-4</v>
      </c>
      <c r="C23" s="17">
        <f t="shared" si="2"/>
        <v>0.99377388673296096</v>
      </c>
      <c r="D23">
        <f t="shared" si="0"/>
        <v>2.7328902593870826E-2</v>
      </c>
      <c r="E23">
        <f t="shared" si="1"/>
        <v>7.6614309632904984E-2</v>
      </c>
    </row>
    <row r="24" spans="1:5" x14ac:dyDescent="0.2">
      <c r="A24">
        <v>22</v>
      </c>
      <c r="B24" s="17">
        <v>5.4345599677019241E-4</v>
      </c>
      <c r="C24" s="17">
        <f t="shared" si="2"/>
        <v>0.99326232554400939</v>
      </c>
      <c r="D24">
        <f t="shared" si="0"/>
        <v>2.7145281611049996E-2</v>
      </c>
      <c r="E24">
        <f t="shared" si="1"/>
        <v>7.9945673953280005E-2</v>
      </c>
    </row>
    <row r="25" spans="1:5" x14ac:dyDescent="0.2">
      <c r="A25">
        <v>23</v>
      </c>
      <c r="B25" s="17">
        <v>5.7334318343094104E-4</v>
      </c>
      <c r="C25" s="17">
        <f t="shared" si="2"/>
        <v>0.99272253117682663</v>
      </c>
      <c r="D25">
        <f t="shared" si="0"/>
        <v>2.6960752976215273E-2</v>
      </c>
      <c r="E25">
        <f t="shared" si="1"/>
        <v>8.3417662683357152E-2</v>
      </c>
    </row>
    <row r="26" spans="1:5" x14ac:dyDescent="0.2">
      <c r="A26">
        <v>24</v>
      </c>
      <c r="B26" s="17">
        <v>5.8490535021793466E-4</v>
      </c>
      <c r="C26" s="17">
        <f t="shared" si="2"/>
        <v>0.99215336048053804</v>
      </c>
      <c r="D26">
        <f t="shared" si="0"/>
        <v>2.6775447329403349E-2</v>
      </c>
      <c r="E26">
        <f t="shared" si="1"/>
        <v>8.703643722291439E-2</v>
      </c>
    </row>
    <row r="27" spans="1:5" x14ac:dyDescent="0.2">
      <c r="A27">
        <v>25</v>
      </c>
      <c r="B27" s="17">
        <v>6.2503671651681358E-4</v>
      </c>
      <c r="C27" s="17">
        <f t="shared" si="2"/>
        <v>0.99157304467175622</v>
      </c>
      <c r="D27">
        <f t="shared" si="0"/>
        <v>2.6595510019270401E-2</v>
      </c>
      <c r="E27">
        <f t="shared" si="1"/>
        <v>9.0827233801327178E-2</v>
      </c>
    </row>
    <row r="28" spans="1:5" x14ac:dyDescent="0.2">
      <c r="A28">
        <v>26</v>
      </c>
      <c r="B28" s="17">
        <v>6.5373574730942519E-4</v>
      </c>
      <c r="C28" s="17">
        <f t="shared" si="2"/>
        <v>0.99095327511172804</v>
      </c>
      <c r="D28">
        <f t="shared" si="0"/>
        <v>2.6412490350380166E-2</v>
      </c>
      <c r="E28">
        <f t="shared" si="1"/>
        <v>9.4771542632877362E-2</v>
      </c>
    </row>
    <row r="29" spans="1:5" x14ac:dyDescent="0.2">
      <c r="A29">
        <v>27</v>
      </c>
      <c r="B29" s="17">
        <v>6.7878649828556625E-4</v>
      </c>
      <c r="C29" s="17">
        <f t="shared" si="2"/>
        <v>0.99030545353187416</v>
      </c>
      <c r="D29">
        <f t="shared" si="0"/>
        <v>2.6230296533145427E-2</v>
      </c>
      <c r="E29">
        <f t="shared" si="1"/>
        <v>9.8888344075360651E-2</v>
      </c>
    </row>
    <row r="30" spans="1:5" x14ac:dyDescent="0.2">
      <c r="A30">
        <v>28</v>
      </c>
      <c r="B30" s="17">
        <v>7.0503251882103601E-4</v>
      </c>
      <c r="C30" s="17">
        <f t="shared" si="2"/>
        <v>0.98963324756083815</v>
      </c>
      <c r="D30">
        <f t="shared" si="0"/>
        <v>2.6050247293781512E-2</v>
      </c>
      <c r="E30">
        <f t="shared" si="1"/>
        <v>0.10319007948864273</v>
      </c>
    </row>
    <row r="31" spans="1:5" x14ac:dyDescent="0.2">
      <c r="A31">
        <v>29</v>
      </c>
      <c r="B31" s="17">
        <v>7.3503490074133815E-4</v>
      </c>
      <c r="C31" s="17">
        <f t="shared" si="2"/>
        <v>0.98893552393960127</v>
      </c>
      <c r="D31">
        <f t="shared" si="0"/>
        <v>2.5872262437519559E-2</v>
      </c>
      <c r="E31">
        <f t="shared" si="1"/>
        <v>0.10768522090084433</v>
      </c>
    </row>
    <row r="32" spans="1:5" x14ac:dyDescent="0.2">
      <c r="A32">
        <v>30</v>
      </c>
      <c r="B32" s="17">
        <v>7.6492102823211283E-4</v>
      </c>
      <c r="C32" s="17">
        <f t="shared" si="2"/>
        <v>0.98820862181492275</v>
      </c>
      <c r="D32">
        <f t="shared" si="0"/>
        <v>2.5695664240537385E-2</v>
      </c>
      <c r="E32">
        <f t="shared" si="1"/>
        <v>0.11238029874183908</v>
      </c>
    </row>
    <row r="33" spans="1:5" x14ac:dyDescent="0.2">
      <c r="A33">
        <v>31</v>
      </c>
      <c r="B33" s="17">
        <v>7.9123590409013733E-4</v>
      </c>
      <c r="C33" s="17">
        <f t="shared" si="2"/>
        <v>0.98745272025981623</v>
      </c>
      <c r="D33">
        <f t="shared" si="0"/>
        <v>2.5520765667281845E-2</v>
      </c>
      <c r="E33">
        <f t="shared" si="1"/>
        <v>0.11728586102069639</v>
      </c>
    </row>
    <row r="34" spans="1:5" x14ac:dyDescent="0.2">
      <c r="A34">
        <v>32</v>
      </c>
      <c r="B34" s="17">
        <v>8.112611768675837E-4</v>
      </c>
      <c r="C34" s="17">
        <f t="shared" si="2"/>
        <v>0.98667141221395516</v>
      </c>
      <c r="D34">
        <f t="shared" si="0"/>
        <v>2.5348597036552682E-2</v>
      </c>
      <c r="E34">
        <f t="shared" si="1"/>
        <v>0.12241621647815695</v>
      </c>
    </row>
    <row r="35" spans="1:5" x14ac:dyDescent="0.2">
      <c r="A35">
        <v>33</v>
      </c>
      <c r="B35" s="17">
        <v>8.2613282349386363E-4</v>
      </c>
      <c r="C35" s="17">
        <f t="shared" si="2"/>
        <v>0.98587096400290086</v>
      </c>
      <c r="D35">
        <f t="shared" si="0"/>
        <v>2.5180610038951876E-2</v>
      </c>
      <c r="E35">
        <f t="shared" si="1"/>
        <v>0.12778887321803128</v>
      </c>
    </row>
    <row r="36" spans="1:5" x14ac:dyDescent="0.2">
      <c r="A36">
        <v>34</v>
      </c>
      <c r="B36" s="17">
        <v>8.0994098450026808E-4</v>
      </c>
      <c r="C36" s="17">
        <f t="shared" si="2"/>
        <v>0.98505650363980857</v>
      </c>
      <c r="D36">
        <f t="shared" si="0"/>
        <v>2.5017821777776082E-2</v>
      </c>
      <c r="E36">
        <f t="shared" si="1"/>
        <v>0.13342110096511825</v>
      </c>
    </row>
    <row r="37" spans="1:5" x14ac:dyDescent="0.2">
      <c r="A37">
        <v>35</v>
      </c>
      <c r="B37" s="17">
        <v>8.3410876871470307E-4</v>
      </c>
      <c r="C37" s="17">
        <f t="shared" si="2"/>
        <v>0.98425866600546219</v>
      </c>
      <c r="D37">
        <f t="shared" si="0"/>
        <v>2.4865949554760611E-2</v>
      </c>
      <c r="E37">
        <f t="shared" si="1"/>
        <v>0.13935458697101483</v>
      </c>
    </row>
    <row r="38" spans="1:5" x14ac:dyDescent="0.2">
      <c r="A38">
        <v>36</v>
      </c>
      <c r="B38" s="17">
        <v>8.7239460967203364E-4</v>
      </c>
      <c r="C38" s="17">
        <f t="shared" si="2"/>
        <v>0.98343768722146363</v>
      </c>
      <c r="D38">
        <f t="shared" si="0"/>
        <v>2.4717114076741094E-2</v>
      </c>
      <c r="E38">
        <f t="shared" si="1"/>
        <v>0.14556792159225879</v>
      </c>
    </row>
    <row r="39" spans="1:5" x14ac:dyDescent="0.2">
      <c r="A39">
        <v>37</v>
      </c>
      <c r="B39" s="17">
        <v>9.2159107969891352E-4</v>
      </c>
      <c r="C39" s="17">
        <f t="shared" si="2"/>
        <v>0.98257974148418326</v>
      </c>
      <c r="D39">
        <f t="shared" si="0"/>
        <v>2.4568983383856734E-2</v>
      </c>
      <c r="E39">
        <f t="shared" si="1"/>
        <v>0.15206296224030533</v>
      </c>
    </row>
    <row r="40" spans="1:5" x14ac:dyDescent="0.2">
      <c r="A40">
        <v>38</v>
      </c>
      <c r="B40" s="17">
        <v>9.8281890304985353E-4</v>
      </c>
      <c r="C40" s="17">
        <f t="shared" si="2"/>
        <v>0.98167420475933853</v>
      </c>
      <c r="D40">
        <f t="shared" si="0"/>
        <v>2.4420080879326726E-2</v>
      </c>
      <c r="E40">
        <f t="shared" si="1"/>
        <v>0.15884482969674152</v>
      </c>
    </row>
    <row r="41" spans="1:5" x14ac:dyDescent="0.2">
      <c r="A41">
        <v>39</v>
      </c>
      <c r="B41" s="17">
        <v>1.0547770866865536E-3</v>
      </c>
      <c r="C41" s="17">
        <f t="shared" si="2"/>
        <v>0.98070939679426461</v>
      </c>
      <c r="D41">
        <f t="shared" si="0"/>
        <v>2.4268986776056073E-2</v>
      </c>
      <c r="E41">
        <f t="shared" si="1"/>
        <v>0.16591817885591545</v>
      </c>
    </row>
    <row r="42" spans="1:5" x14ac:dyDescent="0.2">
      <c r="A42">
        <v>40</v>
      </c>
      <c r="B42" s="17">
        <v>1.1328261684910856E-3</v>
      </c>
      <c r="C42" s="17">
        <f t="shared" si="2"/>
        <v>0.97967496699382783</v>
      </c>
      <c r="D42">
        <f t="shared" si="0"/>
        <v>2.411470367492155E-2</v>
      </c>
      <c r="E42">
        <f t="shared" si="1"/>
        <v>0.17328935349712582</v>
      </c>
    </row>
    <row r="43" spans="1:5" x14ac:dyDescent="0.2">
      <c r="A43">
        <v>41</v>
      </c>
      <c r="B43" s="17">
        <v>1.2166360353409456E-3</v>
      </c>
      <c r="C43" s="17">
        <f t="shared" si="2"/>
        <v>0.9785651655546016</v>
      </c>
      <c r="D43">
        <f t="shared" si="0"/>
        <v>2.3957061172268826E-2</v>
      </c>
      <c r="E43">
        <f t="shared" si="1"/>
        <v>0.18096936052236132</v>
      </c>
    </row>
    <row r="44" spans="1:5" x14ac:dyDescent="0.2">
      <c r="A44">
        <v>42</v>
      </c>
      <c r="B44" s="17">
        <v>1.2996444358857051E-3</v>
      </c>
      <c r="C44" s="17">
        <f t="shared" si="2"/>
        <v>0.97737460791125852</v>
      </c>
      <c r="D44">
        <f t="shared" si="0"/>
        <v>2.3796000626776937E-2</v>
      </c>
      <c r="E44">
        <f t="shared" si="1"/>
        <v>0.18897026874994063</v>
      </c>
    </row>
    <row r="45" spans="1:5" x14ac:dyDescent="0.2">
      <c r="A45">
        <v>43</v>
      </c>
      <c r="B45" s="17">
        <v>1.3813087340046604E-3</v>
      </c>
      <c r="C45" s="17">
        <f t="shared" si="2"/>
        <v>0.97610436844031068</v>
      </c>
      <c r="D45">
        <f t="shared" si="0"/>
        <v>2.3632343454590515E-2</v>
      </c>
      <c r="E45">
        <f t="shared" si="1"/>
        <v>0.19731058913907359</v>
      </c>
    </row>
    <row r="46" spans="1:5" x14ac:dyDescent="0.2">
      <c r="A46">
        <v>44</v>
      </c>
      <c r="B46" s="17">
        <v>1.4690609827520129E-3</v>
      </c>
      <c r="C46" s="17">
        <f t="shared" si="2"/>
        <v>0.97475606695088401</v>
      </c>
      <c r="D46">
        <f t="shared" si="0"/>
        <v>2.346690092785509E-2</v>
      </c>
      <c r="E46">
        <f t="shared" si="1"/>
        <v>0.20601030826342162</v>
      </c>
    </row>
    <row r="47" spans="1:5" x14ac:dyDescent="0.2">
      <c r="A47">
        <v>45</v>
      </c>
      <c r="B47" s="17">
        <v>1.5088494770447713E-3</v>
      </c>
      <c r="C47" s="17">
        <f t="shared" si="2"/>
        <v>0.97332409084522564</v>
      </c>
      <c r="D47">
        <f t="shared" si="0"/>
        <v>2.329955828937344E-2</v>
      </c>
      <c r="E47">
        <f t="shared" si="1"/>
        <v>0.21508428157076198</v>
      </c>
    </row>
    <row r="48" spans="1:5" x14ac:dyDescent="0.2">
      <c r="A48">
        <v>46</v>
      </c>
      <c r="B48" s="17">
        <v>1.6356193651042572E-3</v>
      </c>
      <c r="C48" s="17">
        <f t="shared" si="2"/>
        <v>0.97185549129975879</v>
      </c>
      <c r="D48">
        <f t="shared" si="0"/>
        <v>2.3136108286967154E-2</v>
      </c>
      <c r="E48">
        <f t="shared" si="1"/>
        <v>0.22459308085099289</v>
      </c>
    </row>
    <row r="49" spans="1:5" x14ac:dyDescent="0.2">
      <c r="A49">
        <v>47</v>
      </c>
      <c r="B49" s="17">
        <v>1.786889096649702E-3</v>
      </c>
      <c r="C49" s="17">
        <f t="shared" si="2"/>
        <v>0.970265905638106</v>
      </c>
      <c r="D49">
        <f t="shared" si="0"/>
        <v>2.2967617491952776E-2</v>
      </c>
      <c r="E49">
        <f t="shared" si="1"/>
        <v>0.23448886909537695</v>
      </c>
    </row>
    <row r="50" spans="1:5" x14ac:dyDescent="0.2">
      <c r="A50">
        <v>48</v>
      </c>
      <c r="B50" s="17">
        <v>1.9539018174522527E-3</v>
      </c>
      <c r="C50" s="17">
        <f t="shared" si="2"/>
        <v>0.96853214807047028</v>
      </c>
      <c r="D50">
        <f t="shared" si="0"/>
        <v>2.2792596027476787E-2</v>
      </c>
      <c r="E50">
        <f t="shared" si="1"/>
        <v>0.2447744638192004</v>
      </c>
    </row>
    <row r="51" spans="1:5" x14ac:dyDescent="0.2">
      <c r="A51">
        <v>49</v>
      </c>
      <c r="B51" s="17">
        <v>2.1496213418338295E-3</v>
      </c>
      <c r="C51" s="17">
        <f t="shared" si="2"/>
        <v>0.96663973134609449</v>
      </c>
      <c r="D51">
        <f t="shared" si="0"/>
        <v>2.2610655092512932E-2</v>
      </c>
      <c r="E51">
        <f t="shared" si="1"/>
        <v>0.25546073529681973</v>
      </c>
    </row>
    <row r="52" spans="1:5" x14ac:dyDescent="0.2">
      <c r="A52">
        <v>50</v>
      </c>
      <c r="B52" s="17">
        <v>2.374638152337849E-3</v>
      </c>
      <c r="C52" s="17">
        <f t="shared" si="2"/>
        <v>0.96456182194972839</v>
      </c>
      <c r="D52">
        <f t="shared" si="0"/>
        <v>2.2420393576655175E-2</v>
      </c>
      <c r="E52">
        <f t="shared" si="1"/>
        <v>0.26654965047004392</v>
      </c>
    </row>
    <row r="53" spans="1:5" x14ac:dyDescent="0.2">
      <c r="A53">
        <v>51</v>
      </c>
      <c r="B53" s="17">
        <v>2.6473235212320922E-3</v>
      </c>
      <c r="C53" s="17">
        <f t="shared" si="2"/>
        <v>0.96227133664703801</v>
      </c>
      <c r="D53">
        <f t="shared" si="0"/>
        <v>2.2220654721685117E-2</v>
      </c>
      <c r="E53">
        <f t="shared" si="1"/>
        <v>0.27804401686406605</v>
      </c>
    </row>
    <row r="54" spans="1:5" x14ac:dyDescent="0.2">
      <c r="A54">
        <v>52</v>
      </c>
      <c r="B54" s="17">
        <v>2.956564780455917E-3</v>
      </c>
      <c r="C54" s="17">
        <f t="shared" si="2"/>
        <v>0.95972389310372486</v>
      </c>
      <c r="D54">
        <f t="shared" si="0"/>
        <v>2.2009086558610228E-2</v>
      </c>
      <c r="E54">
        <f t="shared" si="1"/>
        <v>0.28993407731245163</v>
      </c>
    </row>
    <row r="55" spans="1:5" x14ac:dyDescent="0.2">
      <c r="A55">
        <v>53</v>
      </c>
      <c r="B55" s="17">
        <v>3.2821816157302397E-3</v>
      </c>
      <c r="C55" s="17">
        <f t="shared" si="2"/>
        <v>0.95688640724241236</v>
      </c>
      <c r="D55">
        <f t="shared" si="0"/>
        <v>2.1784651780979492E-2</v>
      </c>
      <c r="E55">
        <f t="shared" si="1"/>
        <v>0.3022199209327775</v>
      </c>
    </row>
    <row r="56" spans="1:5" x14ac:dyDescent="0.2">
      <c r="A56">
        <v>54</v>
      </c>
      <c r="B56" s="17">
        <v>3.6773011136570499E-3</v>
      </c>
      <c r="C56" s="17">
        <f t="shared" si="2"/>
        <v>0.95374573226821913</v>
      </c>
      <c r="D56">
        <f t="shared" si="0"/>
        <v>2.1548065180864141E-2</v>
      </c>
      <c r="E56">
        <f t="shared" si="1"/>
        <v>0.31491824515761396</v>
      </c>
    </row>
    <row r="57" spans="1:5" x14ac:dyDescent="0.2">
      <c r="A57">
        <v>55</v>
      </c>
      <c r="B57" s="17">
        <v>4.1559600661863483E-3</v>
      </c>
      <c r="C57" s="17">
        <f t="shared" si="2"/>
        <v>0.95023852202480352</v>
      </c>
      <c r="D57">
        <f t="shared" si="0"/>
        <v>2.1296448371405902E-2</v>
      </c>
      <c r="E57">
        <f t="shared" si="1"/>
        <v>0.3280091797682062</v>
      </c>
    </row>
    <row r="58" spans="1:5" x14ac:dyDescent="0.2">
      <c r="A58">
        <v>56</v>
      </c>
      <c r="B58" s="17">
        <v>4.7426569747814895E-3</v>
      </c>
      <c r="C58" s="17">
        <f t="shared" si="2"/>
        <v>0.94628936867391655</v>
      </c>
      <c r="D58">
        <f t="shared" si="0"/>
        <v>2.1026616932402556E-2</v>
      </c>
      <c r="E58">
        <f t="shared" si="1"/>
        <v>0.34146499557272153</v>
      </c>
    </row>
    <row r="59" spans="1:5" x14ac:dyDescent="0.2">
      <c r="A59">
        <v>57</v>
      </c>
      <c r="B59" s="17">
        <v>5.4184949775846203E-3</v>
      </c>
      <c r="C59" s="17">
        <f t="shared" si="2"/>
        <v>0.94180144279941358</v>
      </c>
      <c r="D59">
        <f t="shared" si="0"/>
        <v>2.0734575192419051E-2</v>
      </c>
      <c r="E59">
        <f t="shared" si="1"/>
        <v>0.355243252416655</v>
      </c>
    </row>
    <row r="60" spans="1:5" x14ac:dyDescent="0.2">
      <c r="A60">
        <v>58</v>
      </c>
      <c r="B60" s="17">
        <v>6.1470481475428551E-3</v>
      </c>
      <c r="C60" s="17">
        <f t="shared" si="2"/>
        <v>0.93669829641172297</v>
      </c>
      <c r="D60">
        <f t="shared" si="0"/>
        <v>2.0418312488544522E-2</v>
      </c>
      <c r="E60">
        <f t="shared" si="1"/>
        <v>0.36931713837042002</v>
      </c>
    </row>
    <row r="61" spans="1:5" x14ac:dyDescent="0.2">
      <c r="A61">
        <v>59</v>
      </c>
      <c r="B61" s="17">
        <v>6.970281520756072E-3</v>
      </c>
      <c r="C61" s="17">
        <f t="shared" si="2"/>
        <v>0.93094036688395876</v>
      </c>
      <c r="D61">
        <f t="shared" si="0"/>
        <v>2.0078462703851423E-2</v>
      </c>
      <c r="E61">
        <f t="shared" si="1"/>
        <v>0.38368713804517768</v>
      </c>
    </row>
    <row r="62" spans="1:5" x14ac:dyDescent="0.2">
      <c r="A62">
        <v>60</v>
      </c>
      <c r="B62" s="17">
        <v>7.9491502672657255E-3</v>
      </c>
      <c r="C62" s="17">
        <f t="shared" si="2"/>
        <v>0.92445145044774157</v>
      </c>
      <c r="D62">
        <f t="shared" si="0"/>
        <v>1.9713705786893299E-2</v>
      </c>
      <c r="E62">
        <f t="shared" si="1"/>
        <v>0.39832916577401545</v>
      </c>
    </row>
    <row r="63" spans="1:5" x14ac:dyDescent="0.2">
      <c r="A63">
        <v>61</v>
      </c>
      <c r="B63" s="17">
        <v>9.023112324346938E-3</v>
      </c>
      <c r="C63" s="17">
        <f t="shared" si="2"/>
        <v>0.91710284695334077</v>
      </c>
      <c r="D63">
        <f t="shared" si="0"/>
        <v>1.9320294450015232E-2</v>
      </c>
      <c r="E63">
        <f t="shared" si="1"/>
        <v>0.41318347380330056</v>
      </c>
    </row>
    <row r="64" spans="1:5" x14ac:dyDescent="0.2">
      <c r="A64">
        <v>62</v>
      </c>
      <c r="B64" s="17">
        <v>1.0301757737722239E-2</v>
      </c>
      <c r="C64" s="17">
        <f t="shared" si="2"/>
        <v>0.90882772495230246</v>
      </c>
      <c r="D64">
        <f t="shared" si="0"/>
        <v>1.8898377316308827E-2</v>
      </c>
      <c r="E64">
        <f t="shared" si="1"/>
        <v>0.4282323683131114</v>
      </c>
    </row>
    <row r="65" spans="1:5" x14ac:dyDescent="0.2">
      <c r="A65">
        <v>63</v>
      </c>
      <c r="B65" s="17">
        <v>1.1672071262332384E-2</v>
      </c>
      <c r="C65" s="17">
        <f t="shared" si="2"/>
        <v>0.89946520190451862</v>
      </c>
      <c r="D65">
        <f t="shared" si="0"/>
        <v>1.8443749130411562E-2</v>
      </c>
      <c r="E65">
        <f t="shared" si="1"/>
        <v>0.44339488782063147</v>
      </c>
    </row>
    <row r="66" spans="1:5" x14ac:dyDescent="0.2">
      <c r="A66">
        <v>64</v>
      </c>
      <c r="B66" s="17">
        <v>1.3158733479940232E-2</v>
      </c>
      <c r="C66" s="17">
        <f t="shared" si="2"/>
        <v>0.88896657996990092</v>
      </c>
      <c r="D66">
        <f t="shared" ref="D66:D104" si="3">B66*C66/(1.05^A66)+D67</f>
        <v>1.7958229878593236E-2</v>
      </c>
      <c r="E66">
        <f t="shared" si="1"/>
        <v>0.45866249875706594</v>
      </c>
    </row>
    <row r="67" spans="1:5" x14ac:dyDescent="0.2">
      <c r="A67">
        <v>65</v>
      </c>
      <c r="B67" s="17">
        <v>1.4801077177818756E-2</v>
      </c>
      <c r="C67" s="17">
        <f t="shared" si="2"/>
        <v>0.87726890567150306</v>
      </c>
      <c r="D67">
        <f t="shared" si="3"/>
        <v>1.7443019759204186E-2</v>
      </c>
      <c r="E67">
        <f t="shared" ref="E67:E110" si="4">D67/(C67/(1.05^A67))</f>
        <v>0.47401640913389331</v>
      </c>
    </row>
    <row r="68" spans="1:5" x14ac:dyDescent="0.2">
      <c r="A68">
        <v>66</v>
      </c>
      <c r="B68" s="17">
        <v>1.6435107276113192E-2</v>
      </c>
      <c r="C68" s="17">
        <f t="shared" ref="C68:C110" si="5">(1-B67)*C67</f>
        <v>0.86428438089295856</v>
      </c>
      <c r="D68">
        <f t="shared" si="3"/>
        <v>1.689836460234595E-2</v>
      </c>
      <c r="E68">
        <f t="shared" si="4"/>
        <v>0.48942004237341846</v>
      </c>
    </row>
    <row r="69" spans="1:5" x14ac:dyDescent="0.2">
      <c r="A69">
        <v>67</v>
      </c>
      <c r="B69" s="17">
        <v>1.7955509264939717E-2</v>
      </c>
      <c r="C69" s="17">
        <f t="shared" si="5"/>
        <v>0.85007977437591375</v>
      </c>
      <c r="D69">
        <f t="shared" si="3"/>
        <v>1.6330904320818431E-2</v>
      </c>
      <c r="E69">
        <f t="shared" si="4"/>
        <v>0.50493280669747242</v>
      </c>
    </row>
    <row r="70" spans="1:5" x14ac:dyDescent="0.2">
      <c r="A70">
        <v>68</v>
      </c>
      <c r="B70" s="17">
        <v>1.9549095897109625E-2</v>
      </c>
      <c r="C70" s="17">
        <f t="shared" si="5"/>
        <v>0.83481615911116913</v>
      </c>
      <c r="D70">
        <f t="shared" si="3"/>
        <v>1.575017417227614E-2</v>
      </c>
      <c r="E70">
        <f t="shared" si="4"/>
        <v>0.52067514978005902</v>
      </c>
    </row>
    <row r="71" spans="1:5" x14ac:dyDescent="0.2">
      <c r="A71">
        <v>69</v>
      </c>
      <c r="B71" s="17">
        <v>2.1154167992468276E-2</v>
      </c>
      <c r="C71" s="17">
        <f t="shared" si="5"/>
        <v>0.81849625796024816</v>
      </c>
      <c r="D71">
        <f t="shared" si="3"/>
        <v>1.5158823374336066E-2</v>
      </c>
      <c r="E71">
        <f t="shared" si="4"/>
        <v>0.53667384503923954</v>
      </c>
    </row>
    <row r="72" spans="1:5" x14ac:dyDescent="0.2">
      <c r="A72">
        <v>70</v>
      </c>
      <c r="B72" s="17">
        <v>2.3027863924329983E-2</v>
      </c>
      <c r="C72" s="17">
        <f t="shared" si="5"/>
        <v>0.80118165061815039</v>
      </c>
      <c r="D72">
        <f t="shared" si="3"/>
        <v>1.4561305348829505E-2</v>
      </c>
      <c r="E72">
        <f t="shared" si="4"/>
        <v>0.55299378431122015</v>
      </c>
    </row>
    <row r="73" spans="1:5" x14ac:dyDescent="0.2">
      <c r="A73">
        <v>71</v>
      </c>
      <c r="B73" s="17">
        <v>2.533285256602047E-2</v>
      </c>
      <c r="C73" s="17">
        <f t="shared" si="5"/>
        <v>0.7827321485890455</v>
      </c>
      <c r="D73">
        <f t="shared" si="3"/>
        <v>1.3954940923682999E-2</v>
      </c>
      <c r="E73">
        <f t="shared" si="4"/>
        <v>0.56958043720822615</v>
      </c>
    </row>
    <row r="74" spans="1:5" x14ac:dyDescent="0.2">
      <c r="A74">
        <v>72</v>
      </c>
      <c r="B74" s="17">
        <v>2.7816753868644239E-2</v>
      </c>
      <c r="C74" s="17">
        <f t="shared" si="5"/>
        <v>0.76290331047015481</v>
      </c>
      <c r="D74">
        <f t="shared" si="3"/>
        <v>1.3334276241588328E-2</v>
      </c>
      <c r="E74">
        <f t="shared" si="4"/>
        <v>0.58631294322252159</v>
      </c>
    </row>
    <row r="75" spans="1:5" x14ac:dyDescent="0.2">
      <c r="A75">
        <v>73</v>
      </c>
      <c r="B75" s="17">
        <v>3.0565074282809079E-2</v>
      </c>
      <c r="C75" s="17">
        <f t="shared" si="5"/>
        <v>0.74168181685723267</v>
      </c>
      <c r="D75">
        <f t="shared" si="3"/>
        <v>1.2701651148595967E-2</v>
      </c>
      <c r="E75">
        <f t="shared" si="4"/>
        <v>0.60320006660795444</v>
      </c>
    </row>
    <row r="76" spans="1:5" x14ac:dyDescent="0.2">
      <c r="A76">
        <v>74</v>
      </c>
      <c r="B76" s="17">
        <v>3.3706410861049529E-2</v>
      </c>
      <c r="C76" s="17">
        <f t="shared" si="5"/>
        <v>0.71901225703078253</v>
      </c>
      <c r="D76">
        <f t="shared" si="3"/>
        <v>1.2058038966895914E-2</v>
      </c>
      <c r="E76">
        <f t="shared" si="4"/>
        <v>0.62022393251056407</v>
      </c>
    </row>
    <row r="77" spans="1:5" x14ac:dyDescent="0.2">
      <c r="A77">
        <v>75</v>
      </c>
      <c r="B77" s="17">
        <v>3.725404684065059E-2</v>
      </c>
      <c r="C77" s="17">
        <f t="shared" si="5"/>
        <v>0.69477693448117239</v>
      </c>
      <c r="D77">
        <f t="shared" si="3"/>
        <v>1.1402738204876679E-2</v>
      </c>
      <c r="E77">
        <f t="shared" si="4"/>
        <v>0.63732534775560179</v>
      </c>
    </row>
    <row r="78" spans="1:5" x14ac:dyDescent="0.2">
      <c r="A78">
        <v>76</v>
      </c>
      <c r="B78" s="17">
        <v>4.1734315258649457E-2</v>
      </c>
      <c r="C78" s="17">
        <f t="shared" si="5"/>
        <v>0.66889368202020716</v>
      </c>
      <c r="D78">
        <f t="shared" si="3"/>
        <v>1.0736205570183713E-2</v>
      </c>
      <c r="E78">
        <f t="shared" si="4"/>
        <v>0.65445600045686358</v>
      </c>
    </row>
    <row r="79" spans="1:5" x14ac:dyDescent="0.2">
      <c r="A79">
        <v>77</v>
      </c>
      <c r="B79" s="17">
        <v>4.6724235031231576E-2</v>
      </c>
      <c r="C79" s="17">
        <f t="shared" si="5"/>
        <v>0.64097786222025699</v>
      </c>
      <c r="D79">
        <f t="shared" si="3"/>
        <v>1.0051563382420246E-2</v>
      </c>
      <c r="E79">
        <f t="shared" si="4"/>
        <v>0.67137723879967215</v>
      </c>
    </row>
    <row r="80" spans="1:5" x14ac:dyDescent="0.2">
      <c r="A80">
        <v>78</v>
      </c>
      <c r="B80" s="17">
        <v>5.2275554295551085E-2</v>
      </c>
      <c r="C80" s="17">
        <f t="shared" si="5"/>
        <v>0.61102866193606131</v>
      </c>
      <c r="D80">
        <f t="shared" si="3"/>
        <v>9.3520287798602962E-3</v>
      </c>
      <c r="E80">
        <f t="shared" si="4"/>
        <v>0.68803349257321222</v>
      </c>
    </row>
    <row r="81" spans="1:5" x14ac:dyDescent="0.2">
      <c r="A81">
        <v>79</v>
      </c>
      <c r="B81" s="17">
        <v>5.8412794755526964E-2</v>
      </c>
      <c r="C81" s="17">
        <f t="shared" si="5"/>
        <v>0.57908679994288481</v>
      </c>
      <c r="D81">
        <f t="shared" si="3"/>
        <v>8.6414783582133125E-3</v>
      </c>
      <c r="E81">
        <f t="shared" si="4"/>
        <v>0.70436701112563771</v>
      </c>
    </row>
    <row r="82" spans="1:5" x14ac:dyDescent="0.2">
      <c r="A82">
        <v>80</v>
      </c>
      <c r="B82" s="17">
        <v>6.5151461563486723E-2</v>
      </c>
      <c r="C82" s="17">
        <f t="shared" si="5"/>
        <v>0.54526072155218619</v>
      </c>
      <c r="D82">
        <f t="shared" si="3"/>
        <v>7.9248449927239589E-3</v>
      </c>
      <c r="E82">
        <f t="shared" si="4"/>
        <v>0.72032831734636349</v>
      </c>
    </row>
    <row r="83" spans="1:5" x14ac:dyDescent="0.2">
      <c r="A83">
        <v>81</v>
      </c>
      <c r="B83" s="17">
        <v>7.2530176041031069E-2</v>
      </c>
      <c r="C83" s="17">
        <f t="shared" si="5"/>
        <v>0.50973618860989989</v>
      </c>
      <c r="D83">
        <f t="shared" si="3"/>
        <v>7.2080673491042926E-3</v>
      </c>
      <c r="E83">
        <f t="shared" si="4"/>
        <v>0.73587931123319517</v>
      </c>
    </row>
    <row r="84" spans="1:5" x14ac:dyDescent="0.2">
      <c r="A84">
        <v>82</v>
      </c>
      <c r="B84" s="17">
        <v>7.9890192278757266E-2</v>
      </c>
      <c r="C84" s="17">
        <f t="shared" si="5"/>
        <v>0.47276493311553963</v>
      </c>
      <c r="D84">
        <f t="shared" si="3"/>
        <v>6.4976215113621985E-3</v>
      </c>
      <c r="E84">
        <f t="shared" si="4"/>
        <v>0.75098571830471339</v>
      </c>
    </row>
    <row r="85" spans="1:5" x14ac:dyDescent="0.2">
      <c r="A85">
        <v>83</v>
      </c>
      <c r="B85" s="17">
        <v>8.8025211265980619E-2</v>
      </c>
      <c r="C85" s="17">
        <f t="shared" si="5"/>
        <v>0.43499565170628535</v>
      </c>
      <c r="D85">
        <f t="shared" si="3"/>
        <v>5.8064016662376719E-3</v>
      </c>
      <c r="E85">
        <f t="shared" si="4"/>
        <v>0.76583283474871444</v>
      </c>
    </row>
    <row r="86" spans="1:5" x14ac:dyDescent="0.2">
      <c r="A86">
        <v>84</v>
      </c>
      <c r="B86" s="17">
        <v>9.6756293188021369E-2</v>
      </c>
      <c r="C86" s="17">
        <f t="shared" si="5"/>
        <v>0.39670506756505663</v>
      </c>
      <c r="D86">
        <f t="shared" si="3"/>
        <v>5.1390109379027887E-3</v>
      </c>
      <c r="E86">
        <f t="shared" si="4"/>
        <v>0.78039219224999856</v>
      </c>
    </row>
    <row r="87" spans="1:5" x14ac:dyDescent="0.2">
      <c r="A87">
        <v>85</v>
      </c>
      <c r="B87" s="17">
        <v>0.10659511513820152</v>
      </c>
      <c r="C87" s="17">
        <f t="shared" si="5"/>
        <v>0.35832135573855817</v>
      </c>
      <c r="D87">
        <f t="shared" si="3"/>
        <v>4.5018548336488873E-3</v>
      </c>
      <c r="E87">
        <f t="shared" si="4"/>
        <v>0.79471098287374908</v>
      </c>
    </row>
    <row r="88" spans="1:5" x14ac:dyDescent="0.2">
      <c r="A88">
        <v>86</v>
      </c>
      <c r="B88" s="17">
        <v>0.1184623885317323</v>
      </c>
      <c r="C88" s="17">
        <f t="shared" si="5"/>
        <v>0.32012604956713009</v>
      </c>
      <c r="D88">
        <f t="shared" si="3"/>
        <v>3.8980180367884777E-3</v>
      </c>
      <c r="E88">
        <f t="shared" si="4"/>
        <v>0.80872812916630998</v>
      </c>
    </row>
    <row r="89" spans="1:5" x14ac:dyDescent="0.2">
      <c r="A89">
        <v>87</v>
      </c>
      <c r="B89" s="17">
        <v>0.13157964686132706</v>
      </c>
      <c r="C89" s="17">
        <f t="shared" si="5"/>
        <v>0.28220315310418015</v>
      </c>
      <c r="D89">
        <f t="shared" si="3"/>
        <v>3.327036874486434E-3</v>
      </c>
      <c r="E89">
        <f t="shared" si="4"/>
        <v>0.8221759551009199</v>
      </c>
    </row>
    <row r="90" spans="1:5" x14ac:dyDescent="0.2">
      <c r="A90">
        <v>88</v>
      </c>
      <c r="B90" s="17">
        <v>0.14596228378768339</v>
      </c>
      <c r="C90" s="17">
        <f t="shared" si="5"/>
        <v>0.24507096187557911</v>
      </c>
      <c r="D90">
        <f t="shared" si="3"/>
        <v>2.7945835300124972E-3</v>
      </c>
      <c r="E90">
        <f t="shared" si="4"/>
        <v>0.83499439071274428</v>
      </c>
    </row>
    <row r="91" spans="1:5" x14ac:dyDescent="0.2">
      <c r="A91">
        <v>89</v>
      </c>
      <c r="B91" s="17">
        <v>0.16173703566197684</v>
      </c>
      <c r="C91" s="17">
        <f t="shared" si="5"/>
        <v>0.20929984459017531</v>
      </c>
      <c r="D91">
        <f t="shared" si="3"/>
        <v>2.3060727102836524E-3</v>
      </c>
      <c r="E91">
        <f t="shared" si="4"/>
        <v>0.84713321032235711</v>
      </c>
    </row>
    <row r="92" spans="1:5" x14ac:dyDescent="0.2">
      <c r="A92">
        <v>90</v>
      </c>
      <c r="B92" s="17">
        <v>0.17787930143812247</v>
      </c>
      <c r="C92" s="17">
        <f t="shared" si="5"/>
        <v>0.17544830816164791</v>
      </c>
      <c r="D92">
        <f t="shared" si="3"/>
        <v>1.8657908754582527E-3</v>
      </c>
      <c r="E92">
        <f t="shared" si="4"/>
        <v>0.85852055263078475</v>
      </c>
    </row>
    <row r="93" spans="1:5" x14ac:dyDescent="0.2">
      <c r="A93">
        <v>91</v>
      </c>
      <c r="B93" s="17">
        <v>0.19570717723764652</v>
      </c>
      <c r="C93" s="17">
        <f t="shared" si="5"/>
        <v>0.14423968566735354</v>
      </c>
      <c r="D93">
        <f t="shared" si="3"/>
        <v>1.4792123869886032E-3</v>
      </c>
      <c r="E93">
        <f t="shared" si="4"/>
        <v>0.8693046106276876</v>
      </c>
    </row>
    <row r="94" spans="1:5" x14ac:dyDescent="0.2">
      <c r="A94">
        <v>92</v>
      </c>
      <c r="B94" s="17">
        <v>0.21464925490186171</v>
      </c>
      <c r="C94" s="17">
        <f t="shared" si="5"/>
        <v>0.11601094393975035</v>
      </c>
      <c r="D94">
        <f t="shared" si="3"/>
        <v>1.1461962298748491E-3</v>
      </c>
      <c r="E94">
        <f t="shared" si="4"/>
        <v>0.87937786468165968</v>
      </c>
    </row>
    <row r="95" spans="1:5" x14ac:dyDescent="0.2">
      <c r="A95">
        <v>93</v>
      </c>
      <c r="B95" s="17">
        <v>0.23404258278369416</v>
      </c>
      <c r="C95" s="17">
        <f t="shared" si="5"/>
        <v>9.1109281262621286E-2</v>
      </c>
      <c r="D95">
        <f t="shared" si="3"/>
        <v>8.6641870010609157E-4</v>
      </c>
      <c r="E95">
        <f t="shared" si="4"/>
        <v>0.88873034707768617</v>
      </c>
    </row>
    <row r="96" spans="1:5" x14ac:dyDescent="0.2">
      <c r="A96">
        <v>94</v>
      </c>
      <c r="B96" s="17">
        <v>0.25543846680323146</v>
      </c>
      <c r="C96" s="17">
        <f t="shared" si="5"/>
        <v>6.9785829760351373E-2</v>
      </c>
      <c r="D96">
        <f t="shared" si="3"/>
        <v>6.3825177522083701E-4</v>
      </c>
      <c r="E96">
        <f t="shared" si="4"/>
        <v>0.89746784489269305</v>
      </c>
    </row>
    <row r="97" spans="1:5" x14ac:dyDescent="0.2">
      <c r="A97">
        <v>95</v>
      </c>
      <c r="B97" s="17">
        <v>0.27627626601543698</v>
      </c>
      <c r="C97" s="17">
        <f t="shared" si="5"/>
        <v>5.1959844401775895E-2</v>
      </c>
      <c r="D97">
        <f t="shared" si="3"/>
        <v>4.5659172374975089E-4</v>
      </c>
      <c r="E97">
        <f t="shared" si="4"/>
        <v>0.90540649353661873</v>
      </c>
    </row>
    <row r="98" spans="1:5" x14ac:dyDescent="0.2">
      <c r="A98">
        <v>96</v>
      </c>
      <c r="B98" s="17">
        <v>0.29833824855002344</v>
      </c>
      <c r="C98" s="17">
        <f t="shared" si="5"/>
        <v>3.7604572607710142E-2</v>
      </c>
      <c r="D98">
        <f t="shared" si="3"/>
        <v>3.1726705860581663E-4</v>
      </c>
      <c r="E98">
        <f t="shared" si="4"/>
        <v>0.91276091673861159</v>
      </c>
    </row>
    <row r="99" spans="1:5" x14ac:dyDescent="0.2">
      <c r="A99">
        <v>97</v>
      </c>
      <c r="B99" s="17">
        <v>0.32076689594343477</v>
      </c>
      <c r="C99" s="17">
        <f t="shared" si="5"/>
        <v>2.6385690278453711E-2</v>
      </c>
      <c r="D99">
        <f t="shared" si="3"/>
        <v>2.135675061257636E-4</v>
      </c>
      <c r="E99">
        <f t="shared" si="4"/>
        <v>0.91945128869406767</v>
      </c>
    </row>
    <row r="100" spans="1:5" x14ac:dyDescent="0.2">
      <c r="A100">
        <v>98</v>
      </c>
      <c r="B100" s="17">
        <v>0.34227077662267757</v>
      </c>
      <c r="C100" s="17">
        <f t="shared" si="5"/>
        <v>1.792203431050925E-2</v>
      </c>
      <c r="D100">
        <f t="shared" si="3"/>
        <v>1.3906069227198942E-4</v>
      </c>
      <c r="E100">
        <f t="shared" si="4"/>
        <v>0.92548288449706428</v>
      </c>
    </row>
    <row r="101" spans="1:5" x14ac:dyDescent="0.2">
      <c r="A101">
        <v>99</v>
      </c>
      <c r="B101" s="17">
        <v>0.36409953309279808</v>
      </c>
      <c r="C101" s="17">
        <f t="shared" si="5"/>
        <v>1.1787845708392974E-2</v>
      </c>
      <c r="D101">
        <f t="shared" si="3"/>
        <v>8.7631960375465637E-5</v>
      </c>
      <c r="E101">
        <f t="shared" si="4"/>
        <v>0.93104075583517676</v>
      </c>
    </row>
    <row r="102" spans="1:5" x14ac:dyDescent="0.2">
      <c r="A102">
        <v>100</v>
      </c>
      <c r="B102" s="17">
        <v>0.38955821044792116</v>
      </c>
      <c r="C102" s="17">
        <f t="shared" si="5"/>
        <v>7.4958965897971488E-3</v>
      </c>
      <c r="D102">
        <f t="shared" si="3"/>
        <v>5.3361972024534504E-5</v>
      </c>
      <c r="E102">
        <f t="shared" si="4"/>
        <v>0.93613437142886846</v>
      </c>
    </row>
    <row r="103" spans="1:5" x14ac:dyDescent="0.2">
      <c r="A103">
        <v>101</v>
      </c>
      <c r="B103" s="17">
        <v>0.41267845552303162</v>
      </c>
      <c r="C103" s="17">
        <f t="shared" si="5"/>
        <v>4.5758085285730965E-3</v>
      </c>
      <c r="D103">
        <f t="shared" si="3"/>
        <v>3.1156191570046377E-5</v>
      </c>
      <c r="E103">
        <f t="shared" si="4"/>
        <v>0.94014692121767485</v>
      </c>
    </row>
    <row r="104" spans="1:5" x14ac:dyDescent="0.2">
      <c r="A104">
        <v>102</v>
      </c>
      <c r="B104" s="17">
        <v>0.43780774501549946</v>
      </c>
      <c r="C104" s="17">
        <f t="shared" si="5"/>
        <v>2.6874709322324353E-3</v>
      </c>
      <c r="D104">
        <f t="shared" si="3"/>
        <v>1.7480149318635861E-5</v>
      </c>
      <c r="E104">
        <f t="shared" si="4"/>
        <v>0.94299603715813285</v>
      </c>
    </row>
    <row r="105" spans="1:5" x14ac:dyDescent="0.2">
      <c r="A105">
        <v>103</v>
      </c>
      <c r="B105" s="17">
        <v>0.4651350932776237</v>
      </c>
      <c r="C105" s="17">
        <f t="shared" si="5"/>
        <v>1.5108753435970506E-3</v>
      </c>
      <c r="D105">
        <f>B105*C105/(1.05^A105)+D106</f>
        <v>9.3645852503185231E-6</v>
      </c>
      <c r="E105">
        <f t="shared" si="4"/>
        <v>0.94353435510133377</v>
      </c>
    </row>
    <row r="106" spans="1:5" x14ac:dyDescent="0.2">
      <c r="A106">
        <v>104</v>
      </c>
      <c r="B106" s="17">
        <v>0.49208499897144908</v>
      </c>
      <c r="C106" s="17">
        <f t="shared" si="5"/>
        <v>8.0811419972217475E-4</v>
      </c>
      <c r="D106">
        <f>B106*C106/(1.05^A106)+D107</f>
        <v>4.748116109197148E-6</v>
      </c>
      <c r="E106">
        <f t="shared" si="4"/>
        <v>0.93915158501065443</v>
      </c>
    </row>
    <row r="107" spans="1:5" x14ac:dyDescent="0.2">
      <c r="A107">
        <v>105</v>
      </c>
      <c r="B107" s="17">
        <v>0.51640238140806394</v>
      </c>
      <c r="C107" s="17">
        <f t="shared" si="5"/>
        <v>4.1045332458307501E-4</v>
      </c>
      <c r="D107">
        <f>B107*C107/(1.05^A107)+D108</f>
        <v>2.260257122424429E-6</v>
      </c>
      <c r="E107">
        <f t="shared" si="4"/>
        <v>0.92420959095629973</v>
      </c>
    </row>
    <row r="108" spans="1:5" x14ac:dyDescent="0.2">
      <c r="A108">
        <v>106</v>
      </c>
      <c r="B108" s="17">
        <v>0.53596520722280905</v>
      </c>
      <c r="C108" s="17">
        <f t="shared" si="5"/>
        <v>1.9849425031151805E-4</v>
      </c>
      <c r="D108">
        <f>B108*C108/(1.05^A108)+D109</f>
        <v>9.9733778893560044E-7</v>
      </c>
      <c r="E108">
        <f t="shared" si="4"/>
        <v>0.88544184992557717</v>
      </c>
    </row>
    <row r="109" spans="1:5" x14ac:dyDescent="0.2">
      <c r="A109">
        <v>107</v>
      </c>
      <c r="B109" s="17">
        <v>0.55046945554049109</v>
      </c>
      <c r="C109" s="17">
        <f t="shared" si="5"/>
        <v>9.2108238310769155E-5</v>
      </c>
      <c r="D109">
        <f>B109*C109/(1.05^A109)+D110</f>
        <v>3.9364105293544855E-7</v>
      </c>
      <c r="E109">
        <f t="shared" si="4"/>
        <v>0.79078224424025045</v>
      </c>
    </row>
    <row r="110" spans="1:5" x14ac:dyDescent="0.2">
      <c r="A110">
        <v>108</v>
      </c>
      <c r="B110" s="17">
        <v>0.56131542393439182</v>
      </c>
      <c r="C110" s="17">
        <f t="shared" si="5"/>
        <v>4.1405466517046254E-5</v>
      </c>
      <c r="D110">
        <f>B110*C110/(1.05^A110)</f>
        <v>1.1962456146004129E-7</v>
      </c>
      <c r="E110">
        <f t="shared" si="4"/>
        <v>0.56131542393439182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0"/>
  <sheetViews>
    <sheetView workbookViewId="0"/>
  </sheetViews>
  <sheetFormatPr defaultRowHeight="12.75" x14ac:dyDescent="0.2"/>
  <cols>
    <col min="2" max="2" width="13.7109375" customWidth="1"/>
    <col min="3" max="3" width="14" customWidth="1"/>
    <col min="4" max="4" width="18.42578125" customWidth="1"/>
  </cols>
  <sheetData>
    <row r="1" spans="1:5" x14ac:dyDescent="0.2">
      <c r="A1" t="s">
        <v>150</v>
      </c>
      <c r="B1" s="8" t="s">
        <v>158</v>
      </c>
      <c r="C1" s="8" t="s">
        <v>159</v>
      </c>
      <c r="D1" t="s">
        <v>160</v>
      </c>
      <c r="E1" s="8" t="s">
        <v>161</v>
      </c>
    </row>
    <row r="2" spans="1:5" x14ac:dyDescent="0.2">
      <c r="A2">
        <v>0</v>
      </c>
      <c r="B2" s="17">
        <v>5.3982491612014627E-4</v>
      </c>
      <c r="C2" s="17">
        <v>1</v>
      </c>
      <c r="D2">
        <f t="shared" ref="D2:D65" si="0">B2*C2/(1.05^A2)+D3</f>
        <v>3.6231653522584117E-2</v>
      </c>
      <c r="E2">
        <f>D2/(C2/(1.05^A2))</f>
        <v>3.6231653522584117E-2</v>
      </c>
    </row>
    <row r="3" spans="1:5" x14ac:dyDescent="0.2">
      <c r="A3">
        <v>1</v>
      </c>
      <c r="B3" s="17">
        <v>3.5802186485578424E-4</v>
      </c>
      <c r="C3" s="17">
        <f>(1-B2)*C2</f>
        <v>0.99946017508387985</v>
      </c>
      <c r="D3">
        <f t="shared" si="0"/>
        <v>3.5691828606463971E-2</v>
      </c>
      <c r="E3">
        <f t="shared" ref="E3:E66" si="1">D3/(C3/(1.05^A3))</f>
        <v>3.7496661669027438E-2</v>
      </c>
    </row>
    <row r="4" spans="1:5" x14ac:dyDescent="0.2">
      <c r="A4">
        <v>2</v>
      </c>
      <c r="B4" s="17">
        <v>2.8351556768679842E-4</v>
      </c>
      <c r="C4" s="17">
        <f t="shared" ref="C4:C67" si="2">(1-B3)*C3</f>
        <v>0.99910234648814722</v>
      </c>
      <c r="D4">
        <f t="shared" si="0"/>
        <v>3.5351039467671E-2</v>
      </c>
      <c r="E4">
        <f t="shared" si="1"/>
        <v>3.9009538061944335E-2</v>
      </c>
    </row>
    <row r="5" spans="1:5" x14ac:dyDescent="0.2">
      <c r="A5">
        <v>3</v>
      </c>
      <c r="B5" s="17">
        <v>2.1733771869003604E-4</v>
      </c>
      <c r="C5" s="17">
        <f t="shared" si="2"/>
        <v>0.99881908541920539</v>
      </c>
      <c r="D5">
        <f t="shared" si="0"/>
        <v>3.509411332804125E-2</v>
      </c>
      <c r="E5">
        <f t="shared" si="1"/>
        <v>4.0673855290143023E-2</v>
      </c>
    </row>
    <row r="6" spans="1:5" x14ac:dyDescent="0.2">
      <c r="A6">
        <v>4</v>
      </c>
      <c r="B6" s="17">
        <v>1.9740473463403241E-4</v>
      </c>
      <c r="C6" s="17">
        <f t="shared" si="2"/>
        <v>0.99860200435779634</v>
      </c>
      <c r="D6">
        <f t="shared" si="0"/>
        <v>3.4906590545266965E-2</v>
      </c>
      <c r="E6">
        <f t="shared" si="1"/>
        <v>4.2488577820599532E-2</v>
      </c>
    </row>
    <row r="7" spans="1:5" x14ac:dyDescent="0.2">
      <c r="A7">
        <v>5</v>
      </c>
      <c r="B7" s="17">
        <v>1.8795405136828869E-4</v>
      </c>
      <c r="C7" s="17">
        <f t="shared" si="2"/>
        <v>0.99840487559412106</v>
      </c>
      <c r="D7">
        <f t="shared" si="0"/>
        <v>3.4744412223538662E-2</v>
      </c>
      <c r="E7">
        <f t="shared" si="1"/>
        <v>4.441449937272636E-2</v>
      </c>
    </row>
    <row r="8" spans="1:5" x14ac:dyDescent="0.2">
      <c r="A8">
        <v>6</v>
      </c>
      <c r="B8" s="17">
        <v>1.7852118728267641E-4</v>
      </c>
      <c r="C8" s="17">
        <f t="shared" si="2"/>
        <v>0.99821722135284729</v>
      </c>
      <c r="D8">
        <f t="shared" si="0"/>
        <v>3.4597380215251883E-2</v>
      </c>
      <c r="E8">
        <f t="shared" si="1"/>
        <v>4.6446602414522066E-2</v>
      </c>
    </row>
    <row r="9" spans="1:5" x14ac:dyDescent="0.2">
      <c r="A9">
        <v>7</v>
      </c>
      <c r="B9" s="17">
        <v>1.6169872476634595E-4</v>
      </c>
      <c r="C9" s="17">
        <f t="shared" si="2"/>
        <v>0.99803901842932541</v>
      </c>
      <c r="D9">
        <f t="shared" si="0"/>
        <v>3.4464402449994165E-2</v>
      </c>
      <c r="E9">
        <f t="shared" si="1"/>
        <v>4.8590159661594419E-2</v>
      </c>
    </row>
    <row r="10" spans="1:5" x14ac:dyDescent="0.2">
      <c r="A10">
        <v>8</v>
      </c>
      <c r="B10" s="17">
        <v>1.5539738731329411E-4</v>
      </c>
      <c r="C10" s="17">
        <f t="shared" si="2"/>
        <v>0.9978776367927783</v>
      </c>
      <c r="D10">
        <f t="shared" si="0"/>
        <v>3.4349711533874311E-2</v>
      </c>
      <c r="E10">
        <f t="shared" si="1"/>
        <v>5.0858107674824515E-2</v>
      </c>
    </row>
    <row r="11" spans="1:5" x14ac:dyDescent="0.2">
      <c r="A11">
        <v>9</v>
      </c>
      <c r="B11" s="17">
        <v>1.7249911769279258E-4</v>
      </c>
      <c r="C11" s="17">
        <f t="shared" si="2"/>
        <v>0.99772256921516234</v>
      </c>
      <c r="D11">
        <f t="shared" si="0"/>
        <v>3.4244755693569391E-2</v>
      </c>
      <c r="E11">
        <f t="shared" si="1"/>
        <v>5.3246120109836433E-2</v>
      </c>
    </row>
    <row r="12" spans="1:5" x14ac:dyDescent="0.2">
      <c r="A12">
        <v>10</v>
      </c>
      <c r="B12" s="17">
        <v>1.8169251736932512E-4</v>
      </c>
      <c r="C12" s="17">
        <f t="shared" si="2"/>
        <v>0.99755046295227057</v>
      </c>
      <c r="D12">
        <f t="shared" si="0"/>
        <v>3.413381446197241E-2</v>
      </c>
      <c r="E12">
        <f t="shared" si="1"/>
        <v>5.5736916610689073E-2</v>
      </c>
    </row>
    <row r="13" spans="1:5" x14ac:dyDescent="0.2">
      <c r="A13">
        <v>11</v>
      </c>
      <c r="B13" s="17">
        <v>2.1342319725892178E-4</v>
      </c>
      <c r="C13" s="17">
        <f t="shared" si="2"/>
        <v>0.99736921549745383</v>
      </c>
      <c r="D13">
        <f t="shared" si="0"/>
        <v>3.4022544247289885E-2</v>
      </c>
      <c r="E13">
        <f t="shared" si="1"/>
        <v>5.8343585890978628E-2</v>
      </c>
    </row>
    <row r="14" spans="1:5" x14ac:dyDescent="0.2">
      <c r="A14">
        <v>12</v>
      </c>
      <c r="B14" s="17">
        <v>2.3990294867348716E-4</v>
      </c>
      <c r="C14" s="17">
        <f t="shared" si="2"/>
        <v>0.99715635377063472</v>
      </c>
      <c r="D14">
        <f t="shared" si="0"/>
        <v>3.3898088404179585E-2</v>
      </c>
      <c r="E14">
        <f t="shared" si="1"/>
        <v>6.1049700250624853E-2</v>
      </c>
    </row>
    <row r="15" spans="1:5" x14ac:dyDescent="0.2">
      <c r="A15">
        <v>13</v>
      </c>
      <c r="B15" s="17">
        <v>2.9237278373694942E-4</v>
      </c>
      <c r="C15" s="17">
        <f t="shared" si="2"/>
        <v>0.99691713302107665</v>
      </c>
      <c r="D15">
        <f t="shared" si="0"/>
        <v>3.3764881339621168E-2</v>
      </c>
      <c r="E15">
        <f t="shared" si="1"/>
        <v>6.3865608714898492E-2</v>
      </c>
    </row>
    <row r="16" spans="1:5" x14ac:dyDescent="0.2">
      <c r="A16">
        <v>14</v>
      </c>
      <c r="B16" s="17">
        <v>3.4038972238725762E-4</v>
      </c>
      <c r="C16" s="17">
        <f t="shared" si="2"/>
        <v>0.99662566158374022</v>
      </c>
      <c r="D16">
        <f t="shared" si="0"/>
        <v>3.3610307813298386E-2</v>
      </c>
      <c r="E16">
        <f t="shared" si="1"/>
        <v>6.6771419873622118E-2</v>
      </c>
    </row>
    <row r="17" spans="1:5" x14ac:dyDescent="0.2">
      <c r="A17">
        <v>15</v>
      </c>
      <c r="B17" s="17">
        <v>3.8479785357725671E-4</v>
      </c>
      <c r="C17" s="17">
        <f t="shared" si="2"/>
        <v>0.99628642045146976</v>
      </c>
      <c r="D17">
        <f t="shared" si="0"/>
        <v>3.343896798905064E-2</v>
      </c>
      <c r="E17">
        <f t="shared" si="1"/>
        <v>6.977633280534945E-2</v>
      </c>
    </row>
    <row r="18" spans="1:5" x14ac:dyDescent="0.2">
      <c r="A18">
        <v>16</v>
      </c>
      <c r="B18" s="17">
        <v>4.3682176825143859E-4</v>
      </c>
      <c r="C18" s="17">
        <f t="shared" si="2"/>
        <v>0.99590305157533188</v>
      </c>
      <c r="D18">
        <f t="shared" si="0"/>
        <v>3.3254561004752395E-2</v>
      </c>
      <c r="E18">
        <f t="shared" si="1"/>
        <v>7.2889159291405173E-2</v>
      </c>
    </row>
    <row r="19" spans="1:5" x14ac:dyDescent="0.2">
      <c r="A19">
        <v>17</v>
      </c>
      <c r="B19" s="17">
        <v>4.631531351771967E-4</v>
      </c>
      <c r="C19" s="17">
        <f t="shared" si="2"/>
        <v>0.99546801944333574</v>
      </c>
      <c r="D19">
        <f t="shared" si="0"/>
        <v>3.3055267772648479E-2</v>
      </c>
      <c r="E19">
        <f t="shared" si="1"/>
        <v>7.6108200117865343E-2</v>
      </c>
    </row>
    <row r="20" spans="1:5" x14ac:dyDescent="0.2">
      <c r="A20">
        <v>18</v>
      </c>
      <c r="B20" s="17">
        <v>4.813240519776496E-4</v>
      </c>
      <c r="C20" s="17">
        <f t="shared" si="2"/>
        <v>0.99500696530916188</v>
      </c>
      <c r="D20">
        <f t="shared" si="0"/>
        <v>3.2854111381099151E-2</v>
      </c>
      <c r="E20">
        <f t="shared" si="1"/>
        <v>7.9464103380437259E-2</v>
      </c>
    </row>
    <row r="21" spans="1:5" x14ac:dyDescent="0.2">
      <c r="A21">
        <v>19</v>
      </c>
      <c r="B21" s="17">
        <v>5.3388604517279337E-4</v>
      </c>
      <c r="C21" s="17">
        <f t="shared" si="2"/>
        <v>0.99452804452487331</v>
      </c>
      <c r="D21">
        <f t="shared" si="0"/>
        <v>3.2655109903181906E-2</v>
      </c>
      <c r="E21">
        <f t="shared" si="1"/>
        <v>8.2971854644160001E-2</v>
      </c>
    </row>
    <row r="22" spans="1:5" x14ac:dyDescent="0.2">
      <c r="A22">
        <v>20</v>
      </c>
      <c r="B22" s="17">
        <v>5.5246567626388021E-4</v>
      </c>
      <c r="C22" s="17">
        <f t="shared" si="2"/>
        <v>0.99399707988036845</v>
      </c>
      <c r="D22">
        <f t="shared" si="0"/>
        <v>3.2444989163376077E-2</v>
      </c>
      <c r="E22">
        <f t="shared" si="1"/>
        <v>8.6606104819726609E-2</v>
      </c>
    </row>
    <row r="23" spans="1:5" x14ac:dyDescent="0.2">
      <c r="A23">
        <v>21</v>
      </c>
      <c r="B23" s="17">
        <v>5.73672960221705E-4</v>
      </c>
      <c r="C23" s="17">
        <f t="shared" si="2"/>
        <v>0.993447930611428</v>
      </c>
      <c r="D23">
        <f t="shared" si="0"/>
        <v>3.2238020579385032E-2</v>
      </c>
      <c r="E23">
        <f t="shared" si="1"/>
        <v>9.0406267460326817E-2</v>
      </c>
    </row>
    <row r="24" spans="1:5" x14ac:dyDescent="0.2">
      <c r="A24">
        <v>22</v>
      </c>
      <c r="B24" s="17">
        <v>6.0724548023272096E-4</v>
      </c>
      <c r="C24" s="17">
        <f t="shared" si="2"/>
        <v>0.99287801639624806</v>
      </c>
      <c r="D24">
        <f t="shared" si="0"/>
        <v>3.2033454223345838E-2</v>
      </c>
      <c r="E24">
        <f t="shared" si="1"/>
        <v>9.437836654202543E-2</v>
      </c>
    </row>
    <row r="25" spans="1:5" x14ac:dyDescent="0.2">
      <c r="A25">
        <v>23</v>
      </c>
      <c r="B25" s="17">
        <v>6.4016764437635487E-4</v>
      </c>
      <c r="C25" s="17">
        <f t="shared" si="2"/>
        <v>0.99227509570836903</v>
      </c>
      <c r="D25">
        <f t="shared" si="0"/>
        <v>3.1827345863918929E-2</v>
      </c>
      <c r="E25">
        <f t="shared" si="1"/>
        <v>9.8519502637573808E-2</v>
      </c>
    </row>
    <row r="26" spans="1:5" x14ac:dyDescent="0.2">
      <c r="A26">
        <v>24</v>
      </c>
      <c r="B26" s="17">
        <v>6.7794344001137485E-4</v>
      </c>
      <c r="C26" s="17">
        <f t="shared" si="2"/>
        <v>0.99163987329777603</v>
      </c>
      <c r="D26">
        <f t="shared" si="0"/>
        <v>3.1620535674230801E-2</v>
      </c>
      <c r="E26">
        <f t="shared" si="1"/>
        <v>0.10283913603031954</v>
      </c>
    </row>
    <row r="27" spans="1:5" x14ac:dyDescent="0.2">
      <c r="A27">
        <v>25</v>
      </c>
      <c r="B27" s="17">
        <v>7.2449007306352176E-4</v>
      </c>
      <c r="C27" s="17">
        <f t="shared" si="2"/>
        <v>0.99096759755082009</v>
      </c>
      <c r="D27">
        <f t="shared" si="0"/>
        <v>3.1412084538238468E-2</v>
      </c>
      <c r="E27">
        <f t="shared" si="1"/>
        <v>0.10734202404085964</v>
      </c>
    </row>
    <row r="28" spans="1:5" x14ac:dyDescent="0.2">
      <c r="A28">
        <v>26</v>
      </c>
      <c r="B28" s="17">
        <v>7.5760099593880081E-4</v>
      </c>
      <c r="C28" s="17">
        <f t="shared" si="2"/>
        <v>0.99024965136366694</v>
      </c>
      <c r="D28">
        <f t="shared" si="0"/>
        <v>3.1200073039242295E-2</v>
      </c>
      <c r="E28">
        <f t="shared" si="1"/>
        <v>0.11202957498114927</v>
      </c>
    </row>
    <row r="29" spans="1:5" x14ac:dyDescent="0.2">
      <c r="A29">
        <v>27</v>
      </c>
      <c r="B29" s="17">
        <v>7.8690929987268454E-4</v>
      </c>
      <c r="C29" s="17">
        <f t="shared" si="2"/>
        <v>0.98949943724156575</v>
      </c>
      <c r="D29">
        <f t="shared" si="0"/>
        <v>3.0989082268172506E-2</v>
      </c>
      <c r="E29">
        <f t="shared" si="1"/>
        <v>0.11692415454040013</v>
      </c>
    </row>
    <row r="30" spans="1:5" x14ac:dyDescent="0.2">
      <c r="A30">
        <v>28</v>
      </c>
      <c r="B30" s="17">
        <v>8.1817374671833143E-4</v>
      </c>
      <c r="C30" s="17">
        <f t="shared" si="2"/>
        <v>0.98872079093218157</v>
      </c>
      <c r="D30">
        <f t="shared" si="0"/>
        <v>3.0780523163108215E-2</v>
      </c>
      <c r="E30">
        <f t="shared" si="1"/>
        <v>0.12204014202527126</v>
      </c>
    </row>
    <row r="31" spans="1:5" x14ac:dyDescent="0.2">
      <c r="A31">
        <v>29</v>
      </c>
      <c r="B31" s="17">
        <v>8.8165426968844773E-4</v>
      </c>
      <c r="C31" s="17">
        <f t="shared" si="2"/>
        <v>0.98791184553820632</v>
      </c>
      <c r="D31">
        <f t="shared" si="0"/>
        <v>3.0574166340308913E-2</v>
      </c>
      <c r="E31">
        <f t="shared" si="1"/>
        <v>0.12738729163015794</v>
      </c>
    </row>
    <row r="32" spans="1:5" x14ac:dyDescent="0.2">
      <c r="A32">
        <v>30</v>
      </c>
      <c r="B32" s="17">
        <v>9.1752890265373033E-4</v>
      </c>
      <c r="C32" s="17">
        <f t="shared" si="2"/>
        <v>0.98704084884151178</v>
      </c>
      <c r="D32">
        <f t="shared" si="0"/>
        <v>3.0362560897166605E-2</v>
      </c>
      <c r="E32">
        <f t="shared" si="1"/>
        <v>0.13294813351805623</v>
      </c>
    </row>
    <row r="33" spans="1:5" x14ac:dyDescent="0.2">
      <c r="A33">
        <v>31</v>
      </c>
      <c r="B33" s="17">
        <v>9.4959862948307272E-4</v>
      </c>
      <c r="C33" s="17">
        <f t="shared" si="2"/>
        <v>0.98613521033459983</v>
      </c>
      <c r="D33">
        <f t="shared" si="0"/>
        <v>3.0153016570032814E-2</v>
      </c>
      <c r="E33">
        <f t="shared" si="1"/>
        <v>0.13875945065266285</v>
      </c>
    </row>
    <row r="34" spans="1:5" x14ac:dyDescent="0.2">
      <c r="A34">
        <v>32</v>
      </c>
      <c r="B34" s="17">
        <v>9.7279453827670004E-4</v>
      </c>
      <c r="C34" s="17">
        <f t="shared" si="2"/>
        <v>0.98519877769038111</v>
      </c>
      <c r="D34">
        <f t="shared" si="0"/>
        <v>2.9946664764263872E-2</v>
      </c>
      <c r="E34">
        <f t="shared" si="1"/>
        <v>0.14483788247903809</v>
      </c>
    </row>
    <row r="35" spans="1:5" x14ac:dyDescent="0.2">
      <c r="A35">
        <v>33</v>
      </c>
      <c r="B35" s="17">
        <v>9.9095015474415238E-4</v>
      </c>
      <c r="C35" s="17">
        <f t="shared" si="2"/>
        <v>0.98424038170032702</v>
      </c>
      <c r="D35">
        <f t="shared" si="0"/>
        <v>2.9745529871764355E-2</v>
      </c>
      <c r="E35">
        <f t="shared" si="1"/>
        <v>0.15120543415830642</v>
      </c>
    </row>
    <row r="36" spans="1:5" x14ac:dyDescent="0.2">
      <c r="A36">
        <v>34</v>
      </c>
      <c r="B36" s="17">
        <v>1.0123789153249074E-3</v>
      </c>
      <c r="C36" s="17">
        <f t="shared" si="2"/>
        <v>0.98326504854177565</v>
      </c>
      <c r="D36">
        <f t="shared" si="0"/>
        <v>2.9550587556407413E-2</v>
      </c>
      <c r="E36">
        <f t="shared" si="1"/>
        <v>0.15788166106019924</v>
      </c>
    </row>
    <row r="37" spans="1:5" x14ac:dyDescent="0.2">
      <c r="A37">
        <v>35</v>
      </c>
      <c r="B37" s="17">
        <v>1.0415267672474471E-3</v>
      </c>
      <c r="C37" s="17">
        <f t="shared" si="2"/>
        <v>0.98226961173845606</v>
      </c>
      <c r="D37">
        <f t="shared" si="0"/>
        <v>2.9361101383176928E-2</v>
      </c>
      <c r="E37">
        <f t="shared" si="1"/>
        <v>0.16487966695050454</v>
      </c>
    </row>
    <row r="38" spans="1:5" x14ac:dyDescent="0.2">
      <c r="A38">
        <v>36</v>
      </c>
      <c r="B38" s="17">
        <v>1.0896151281881705E-3</v>
      </c>
      <c r="C38" s="17">
        <f t="shared" si="2"/>
        <v>0.98124655164517671</v>
      </c>
      <c r="D38">
        <f t="shared" si="0"/>
        <v>2.917563052693348E-2</v>
      </c>
      <c r="E38">
        <f t="shared" si="1"/>
        <v>0.17220940790031994</v>
      </c>
    </row>
    <row r="39" spans="1:5" x14ac:dyDescent="0.2">
      <c r="A39">
        <v>37</v>
      </c>
      <c r="B39" s="17">
        <v>1.1525219202100923E-3</v>
      </c>
      <c r="C39" s="17">
        <f t="shared" si="2"/>
        <v>0.98017737055802168</v>
      </c>
      <c r="D39">
        <f t="shared" si="0"/>
        <v>2.8991028484663083E-2</v>
      </c>
      <c r="E39">
        <f t="shared" si="1"/>
        <v>0.17987177341618671</v>
      </c>
    </row>
    <row r="40" spans="1:5" x14ac:dyDescent="0.2">
      <c r="A40">
        <v>38</v>
      </c>
      <c r="B40" s="17">
        <v>1.2276603993985891E-3</v>
      </c>
      <c r="C40" s="17">
        <f t="shared" si="2"/>
        <v>0.97904769465275965</v>
      </c>
      <c r="D40">
        <f t="shared" si="0"/>
        <v>2.8805269512127137E-2</v>
      </c>
      <c r="E40">
        <f t="shared" si="1"/>
        <v>0.18787174036973955</v>
      </c>
    </row>
    <row r="41" spans="1:5" x14ac:dyDescent="0.2">
      <c r="A41">
        <v>39</v>
      </c>
      <c r="B41" s="17">
        <v>1.3634571533976958E-3</v>
      </c>
      <c r="C41" s="17">
        <f t="shared" si="2"/>
        <v>0.97784575656891193</v>
      </c>
      <c r="D41">
        <f t="shared" si="0"/>
        <v>2.8617039560116016E-2</v>
      </c>
      <c r="E41">
        <f t="shared" si="1"/>
        <v>0.1962171720206298</v>
      </c>
    </row>
    <row r="42" spans="1:5" x14ac:dyDescent="0.2">
      <c r="A42">
        <v>40</v>
      </c>
      <c r="B42" s="17">
        <v>1.4636616112291279E-3</v>
      </c>
      <c r="C42" s="17">
        <f t="shared" si="2"/>
        <v>0.9765125057771985</v>
      </c>
      <c r="D42">
        <f t="shared" si="0"/>
        <v>2.8418187915810376E-2</v>
      </c>
      <c r="E42">
        <f t="shared" si="1"/>
        <v>0.20487573990372304</v>
      </c>
    </row>
    <row r="43" spans="1:5" x14ac:dyDescent="0.2">
      <c r="A43">
        <v>41</v>
      </c>
      <c r="B43" s="17">
        <v>1.5721552531172689E-3</v>
      </c>
      <c r="C43" s="17">
        <f t="shared" si="2"/>
        <v>0.97508322190960728</v>
      </c>
      <c r="D43">
        <f t="shared" si="0"/>
        <v>2.8215164313637599E-2</v>
      </c>
      <c r="E43">
        <f t="shared" si="1"/>
        <v>0.2138957532098969</v>
      </c>
    </row>
    <row r="44" spans="1:5" x14ac:dyDescent="0.2">
      <c r="A44">
        <v>42</v>
      </c>
      <c r="B44" s="17">
        <v>1.6787845132535395E-3</v>
      </c>
      <c r="C44" s="17">
        <f t="shared" si="2"/>
        <v>0.97355023970005561</v>
      </c>
      <c r="D44">
        <f t="shared" si="0"/>
        <v>2.8007780024199545E-2</v>
      </c>
      <c r="E44">
        <f t="shared" si="1"/>
        <v>0.22329082569921452</v>
      </c>
    </row>
    <row r="45" spans="1:5" x14ac:dyDescent="0.2">
      <c r="A45">
        <v>43</v>
      </c>
      <c r="B45" s="17">
        <v>1.7846421867510065E-3</v>
      </c>
      <c r="C45" s="17">
        <f t="shared" si="2"/>
        <v>0.97191585863477292</v>
      </c>
      <c r="D45">
        <f t="shared" si="0"/>
        <v>2.7797206986959873E-2</v>
      </c>
      <c r="E45">
        <f t="shared" si="1"/>
        <v>0.23308394095562346</v>
      </c>
    </row>
    <row r="46" spans="1:5" x14ac:dyDescent="0.2">
      <c r="A46">
        <v>44</v>
      </c>
      <c r="B46" s="17">
        <v>1.9562355580331481E-3</v>
      </c>
      <c r="C46" s="17">
        <f t="shared" si="2"/>
        <v>0.97018133659148098</v>
      </c>
      <c r="D46">
        <f t="shared" si="0"/>
        <v>2.7584373498477612E-2</v>
      </c>
      <c r="E46">
        <f t="shared" si="1"/>
        <v>0.24329846441087544</v>
      </c>
    </row>
    <row r="47" spans="1:5" x14ac:dyDescent="0.2">
      <c r="A47">
        <v>45</v>
      </c>
      <c r="B47" s="17">
        <v>2.0316672040490147E-3</v>
      </c>
      <c r="C47" s="17">
        <f t="shared" si="2"/>
        <v>0.96828343336310063</v>
      </c>
      <c r="D47">
        <f t="shared" si="0"/>
        <v>2.7362581994719248E-2</v>
      </c>
      <c r="E47">
        <f t="shared" si="1"/>
        <v>0.25390604031995773</v>
      </c>
    </row>
    <row r="48" spans="1:5" x14ac:dyDescent="0.2">
      <c r="A48">
        <v>46</v>
      </c>
      <c r="B48" s="17">
        <v>2.2011087110828109E-3</v>
      </c>
      <c r="C48" s="17">
        <f t="shared" si="2"/>
        <v>0.96631620366731286</v>
      </c>
      <c r="D48">
        <f t="shared" si="0"/>
        <v>2.7143636197341919E-2</v>
      </c>
      <c r="E48">
        <f t="shared" si="1"/>
        <v>0.2650064967800721</v>
      </c>
    </row>
    <row r="49" spans="1:5" x14ac:dyDescent="0.2">
      <c r="A49">
        <v>47</v>
      </c>
      <c r="B49" s="17">
        <v>2.4089256301851325E-3</v>
      </c>
      <c r="C49" s="17">
        <f t="shared" si="2"/>
        <v>0.96418923665376022</v>
      </c>
      <c r="D49">
        <f t="shared" si="0"/>
        <v>2.691818476573413E-2</v>
      </c>
      <c r="E49">
        <f t="shared" si="1"/>
        <v>0.27655438373556734</v>
      </c>
    </row>
    <row r="50" spans="1:5" x14ac:dyDescent="0.2">
      <c r="A50">
        <v>48</v>
      </c>
      <c r="B50" s="17">
        <v>2.6360641868143908E-3</v>
      </c>
      <c r="C50" s="17">
        <f t="shared" si="2"/>
        <v>0.96186657648923635</v>
      </c>
      <c r="D50">
        <f t="shared" si="0"/>
        <v>2.668371404672272E-2</v>
      </c>
      <c r="E50">
        <f t="shared" si="1"/>
        <v>0.28854782125280126</v>
      </c>
    </row>
    <row r="51" spans="1:5" x14ac:dyDescent="0.2">
      <c r="A51">
        <v>49</v>
      </c>
      <c r="B51" s="17">
        <v>2.9932199680439142E-3</v>
      </c>
      <c r="C51" s="17">
        <f t="shared" si="2"/>
        <v>0.95933103445445933</v>
      </c>
      <c r="D51">
        <f t="shared" si="0"/>
        <v>2.643994168807394E-2</v>
      </c>
      <c r="E51">
        <f t="shared" si="1"/>
        <v>0.30100080235457549</v>
      </c>
    </row>
    <row r="52" spans="1:5" x14ac:dyDescent="0.2">
      <c r="A52">
        <v>50</v>
      </c>
      <c r="B52" s="17">
        <v>3.3057743432399755E-3</v>
      </c>
      <c r="C52" s="17">
        <f t="shared" si="2"/>
        <v>0.95645954564616598</v>
      </c>
      <c r="D52">
        <f t="shared" si="0"/>
        <v>2.6177016935729151E-2</v>
      </c>
      <c r="E52">
        <f t="shared" si="1"/>
        <v>0.31384737573783483</v>
      </c>
    </row>
    <row r="53" spans="1:5" x14ac:dyDescent="0.2">
      <c r="A53">
        <v>51</v>
      </c>
      <c r="B53" s="17">
        <v>3.6807233449592802E-3</v>
      </c>
      <c r="C53" s="17">
        <f t="shared" si="2"/>
        <v>0.95329770621982191</v>
      </c>
      <c r="D53">
        <f t="shared" si="0"/>
        <v>2.5901292753663735E-2</v>
      </c>
      <c r="E53">
        <f t="shared" si="1"/>
        <v>0.32715016608977082</v>
      </c>
    </row>
    <row r="54" spans="1:5" x14ac:dyDescent="0.2">
      <c r="A54">
        <v>52</v>
      </c>
      <c r="B54" s="17">
        <v>4.1076304374750849E-3</v>
      </c>
      <c r="C54" s="17">
        <f t="shared" si="2"/>
        <v>0.94978888109784243</v>
      </c>
      <c r="D54">
        <f t="shared" si="0"/>
        <v>2.5609880727062856E-2</v>
      </c>
      <c r="E54">
        <f t="shared" si="1"/>
        <v>0.34089766487540119</v>
      </c>
    </row>
    <row r="55" spans="1:5" x14ac:dyDescent="0.2">
      <c r="A55">
        <v>53</v>
      </c>
      <c r="B55" s="17">
        <v>4.5674100841808229E-3</v>
      </c>
      <c r="C55" s="17">
        <f t="shared" si="2"/>
        <v>0.94588749938066952</v>
      </c>
      <c r="D55">
        <f t="shared" si="0"/>
        <v>2.5301295669394482E-2</v>
      </c>
      <c r="E55">
        <f t="shared" si="1"/>
        <v>0.35508810687561004</v>
      </c>
    </row>
    <row r="56" spans="1:5" x14ac:dyDescent="0.2">
      <c r="A56">
        <v>54</v>
      </c>
      <c r="B56" s="17">
        <v>5.2746265313226015E-3</v>
      </c>
      <c r="C56" s="17">
        <f t="shared" si="2"/>
        <v>0.94156724327749763</v>
      </c>
      <c r="D56">
        <f t="shared" si="0"/>
        <v>2.4975851390226567E-2</v>
      </c>
      <c r="E56">
        <f t="shared" si="1"/>
        <v>0.3697354651228823</v>
      </c>
    </row>
    <row r="57" spans="1:5" x14ac:dyDescent="0.2">
      <c r="A57">
        <v>55</v>
      </c>
      <c r="B57" s="17">
        <v>5.9618981285473049E-3</v>
      </c>
      <c r="C57" s="17">
        <f t="shared" si="2"/>
        <v>0.93660082771508191</v>
      </c>
      <c r="D57">
        <f t="shared" si="0"/>
        <v>2.4619547219239139E-2</v>
      </c>
      <c r="E57">
        <f t="shared" si="1"/>
        <v>0.38471309843710133</v>
      </c>
    </row>
    <row r="58" spans="1:5" x14ac:dyDescent="0.2">
      <c r="A58">
        <v>56</v>
      </c>
      <c r="B58" s="17">
        <v>6.8024953671210753E-3</v>
      </c>
      <c r="C58" s="17">
        <f t="shared" si="2"/>
        <v>0.9310169089931315</v>
      </c>
      <c r="D58">
        <f t="shared" si="0"/>
        <v>2.4238018144486149E-2</v>
      </c>
      <c r="E58">
        <f t="shared" si="1"/>
        <v>0.40007396052048932</v>
      </c>
    </row>
    <row r="59" spans="1:5" x14ac:dyDescent="0.2">
      <c r="A59">
        <v>57</v>
      </c>
      <c r="B59" s="17">
        <v>7.7734158158465627E-3</v>
      </c>
      <c r="C59" s="17">
        <f t="shared" si="2"/>
        <v>0.92468367078299429</v>
      </c>
      <c r="D59">
        <f t="shared" si="0"/>
        <v>2.3825896830913133E-2</v>
      </c>
      <c r="E59">
        <f t="shared" si="1"/>
        <v>0.41576326610251829</v>
      </c>
    </row>
    <row r="60" spans="1:5" x14ac:dyDescent="0.2">
      <c r="A60">
        <v>58</v>
      </c>
      <c r="B60" s="17">
        <v>8.8208238153785201E-3</v>
      </c>
      <c r="C60" s="17">
        <f t="shared" si="2"/>
        <v>0.91749572011187475</v>
      </c>
      <c r="D60">
        <f t="shared" si="0"/>
        <v>2.338043033987763E-2</v>
      </c>
      <c r="E60">
        <f t="shared" si="1"/>
        <v>0.4317454799432161</v>
      </c>
    </row>
    <row r="61" spans="1:5" x14ac:dyDescent="0.2">
      <c r="A61">
        <v>59</v>
      </c>
      <c r="B61" s="17">
        <v>1.0305990639196128E-2</v>
      </c>
      <c r="C61" s="17">
        <f t="shared" si="2"/>
        <v>0.90940265201340409</v>
      </c>
      <c r="D61">
        <f t="shared" si="0"/>
        <v>2.2902753869974771E-2</v>
      </c>
      <c r="E61">
        <f t="shared" si="1"/>
        <v>0.44802281928844206</v>
      </c>
    </row>
    <row r="62" spans="1:5" x14ac:dyDescent="0.2">
      <c r="A62">
        <v>60</v>
      </c>
      <c r="B62" s="17">
        <v>1.1747980615159692E-2</v>
      </c>
      <c r="C62" s="17">
        <f t="shared" si="2"/>
        <v>0.90003035679449384</v>
      </c>
      <c r="D62">
        <f t="shared" si="0"/>
        <v>2.2375915600061087E-2</v>
      </c>
      <c r="E62">
        <f t="shared" si="1"/>
        <v>0.46438865521530587</v>
      </c>
    </row>
    <row r="63" spans="1:5" x14ac:dyDescent="0.2">
      <c r="A63">
        <v>61</v>
      </c>
      <c r="B63" s="17">
        <v>1.3317943383044817E-2</v>
      </c>
      <c r="C63" s="17">
        <f t="shared" si="2"/>
        <v>0.88945681760981687</v>
      </c>
      <c r="D63">
        <f t="shared" si="0"/>
        <v>2.1809855641955325E-2</v>
      </c>
      <c r="E63">
        <f t="shared" si="1"/>
        <v>0.48092257744739825</v>
      </c>
    </row>
    <row r="64" spans="1:5" x14ac:dyDescent="0.2">
      <c r="A64">
        <v>62</v>
      </c>
      <c r="B64" s="17">
        <v>1.5226637785250352E-2</v>
      </c>
      <c r="C64" s="17">
        <f t="shared" si="2"/>
        <v>0.87761108207122607</v>
      </c>
      <c r="D64">
        <f t="shared" si="0"/>
        <v>2.1205886445554451E-2</v>
      </c>
      <c r="E64">
        <f t="shared" si="1"/>
        <v>0.49761203467205511</v>
      </c>
    </row>
    <row r="65" spans="1:5" x14ac:dyDescent="0.2">
      <c r="A65">
        <v>63</v>
      </c>
      <c r="B65" s="17">
        <v>1.7241610564990073E-2</v>
      </c>
      <c r="C65" s="17">
        <f t="shared" si="2"/>
        <v>0.86424801600820589</v>
      </c>
      <c r="D65">
        <f t="shared" si="0"/>
        <v>2.0556998699030379E-2</v>
      </c>
      <c r="E65">
        <f t="shared" si="1"/>
        <v>0.51433627895053846</v>
      </c>
    </row>
    <row r="66" spans="1:5" x14ac:dyDescent="0.2">
      <c r="A66">
        <v>64</v>
      </c>
      <c r="B66" s="17">
        <v>2.0038332660600178E-2</v>
      </c>
      <c r="C66" s="17">
        <f t="shared" si="2"/>
        <v>0.84934698828462707</v>
      </c>
      <c r="D66">
        <f t="shared" ref="D66:D104" si="3">B66*C66/(1.05^A66)+D67</f>
        <v>1.9867885796715015E-2</v>
      </c>
      <c r="E66">
        <f t="shared" si="1"/>
        <v>0.53110653382963813</v>
      </c>
    </row>
    <row r="67" spans="1:5" x14ac:dyDescent="0.2">
      <c r="A67">
        <v>65</v>
      </c>
      <c r="B67" s="17">
        <v>2.2488849520581389E-2</v>
      </c>
      <c r="C67" s="17">
        <f t="shared" si="2"/>
        <v>0.83232749078910084</v>
      </c>
      <c r="D67">
        <f t="shared" si="3"/>
        <v>1.9118282318884159E-2</v>
      </c>
      <c r="E67">
        <f t="shared" ref="E67:E110" si="4">D67/(C67/(1.05^A67))</f>
        <v>0.54759449181764419</v>
      </c>
    </row>
    <row r="68" spans="1:5" x14ac:dyDescent="0.2">
      <c r="A68">
        <v>66</v>
      </c>
      <c r="B68" s="17">
        <v>2.4963686578019839E-2</v>
      </c>
      <c r="C68" s="17">
        <f t="shared" ref="C68:C110" si="5">(1-B67)*C67</f>
        <v>0.81360940309690166</v>
      </c>
      <c r="D68">
        <f t="shared" si="3"/>
        <v>1.8333124358777146E-2</v>
      </c>
      <c r="E68">
        <f t="shared" si="4"/>
        <v>0.56404566243720289</v>
      </c>
    </row>
    <row r="69" spans="1:5" x14ac:dyDescent="0.2">
      <c r="A69">
        <v>67</v>
      </c>
      <c r="B69" s="17">
        <v>2.7312869884715041E-2</v>
      </c>
      <c r="C69" s="17">
        <f t="shared" si="5"/>
        <v>0.7932987129610608</v>
      </c>
      <c r="D69">
        <f t="shared" si="3"/>
        <v>1.7521731946838641E-2</v>
      </c>
      <c r="E69">
        <f t="shared" si="4"/>
        <v>0.58052819865301852</v>
      </c>
    </row>
    <row r="70" spans="1:5" x14ac:dyDescent="0.2">
      <c r="A70">
        <v>68</v>
      </c>
      <c r="B70" s="17">
        <v>2.9717037509091937E-2</v>
      </c>
      <c r="C70" s="17">
        <f t="shared" si="5"/>
        <v>0.77163144843424347</v>
      </c>
      <c r="D70">
        <f t="shared" si="3"/>
        <v>1.6697364093684795E-2</v>
      </c>
      <c r="E70">
        <f t="shared" si="4"/>
        <v>0.59718698564241512</v>
      </c>
    </row>
    <row r="71" spans="1:5" x14ac:dyDescent="0.2">
      <c r="A71">
        <v>69</v>
      </c>
      <c r="B71" s="17">
        <v>3.3070587988806577E-2</v>
      </c>
      <c r="C71" s="17">
        <f t="shared" si="5"/>
        <v>0.74870084773792811</v>
      </c>
      <c r="D71">
        <f t="shared" si="3"/>
        <v>1.5866474929981368E-2</v>
      </c>
      <c r="E71">
        <f t="shared" si="4"/>
        <v>0.61409245403046286</v>
      </c>
    </row>
    <row r="72" spans="1:5" x14ac:dyDescent="0.2">
      <c r="A72">
        <v>70</v>
      </c>
      <c r="B72" s="17">
        <v>3.6043176533674393E-2</v>
      </c>
      <c r="C72" s="17">
        <f t="shared" si="5"/>
        <v>0.72394087047551692</v>
      </c>
      <c r="D72">
        <f t="shared" si="3"/>
        <v>1.5012021090335077E-2</v>
      </c>
      <c r="E72">
        <f t="shared" si="4"/>
        <v>0.63093846537856335</v>
      </c>
    </row>
    <row r="73" spans="1:5" x14ac:dyDescent="0.2">
      <c r="A73">
        <v>71</v>
      </c>
      <c r="B73" s="17">
        <v>3.9594536958694193E-2</v>
      </c>
      <c r="C73" s="17">
        <f t="shared" si="5"/>
        <v>0.69784774188102594</v>
      </c>
      <c r="D73">
        <f t="shared" si="3"/>
        <v>1.4154439953699919E-2</v>
      </c>
      <c r="E73">
        <f t="shared" si="4"/>
        <v>0.6479958833020848</v>
      </c>
    </row>
    <row r="74" spans="1:5" x14ac:dyDescent="0.2">
      <c r="A74">
        <v>72</v>
      </c>
      <c r="B74" s="17">
        <v>4.3449258808664348E-2</v>
      </c>
      <c r="C74" s="17">
        <f t="shared" si="5"/>
        <v>0.6702167836735764</v>
      </c>
      <c r="D74">
        <f t="shared" si="3"/>
        <v>1.3289560237149124E-2</v>
      </c>
      <c r="E74">
        <f t="shared" si="4"/>
        <v>0.66515803818692487</v>
      </c>
    </row>
    <row r="75" spans="1:5" x14ac:dyDescent="0.2">
      <c r="A75">
        <v>73</v>
      </c>
      <c r="B75" s="17">
        <v>4.7815413527649953E-2</v>
      </c>
      <c r="C75" s="17">
        <f t="shared" si="5"/>
        <v>0.64109636118183255</v>
      </c>
      <c r="D75">
        <f t="shared" si="3"/>
        <v>1.2421463470595492E-2</v>
      </c>
      <c r="E75">
        <f t="shared" si="4"/>
        <v>0.68244599082548552</v>
      </c>
    </row>
    <row r="76" spans="1:5" x14ac:dyDescent="0.2">
      <c r="A76">
        <v>74</v>
      </c>
      <c r="B76" s="17">
        <v>5.4086645795274668E-2</v>
      </c>
      <c r="C76" s="17">
        <f t="shared" si="5"/>
        <v>0.61044207356085156</v>
      </c>
      <c r="D76">
        <f t="shared" si="3"/>
        <v>1.1551156632472382E-2</v>
      </c>
      <c r="E76">
        <f t="shared" si="4"/>
        <v>0.69982450422923059</v>
      </c>
    </row>
    <row r="77" spans="1:5" x14ac:dyDescent="0.2">
      <c r="A77">
        <v>75</v>
      </c>
      <c r="B77" s="17">
        <v>5.9798468086232903E-2</v>
      </c>
      <c r="C77" s="17">
        <f t="shared" si="5"/>
        <v>0.57742530934963276</v>
      </c>
      <c r="D77">
        <f t="shared" si="3"/>
        <v>1.0658413789758736E-2</v>
      </c>
      <c r="E77">
        <f t="shared" si="4"/>
        <v>0.71679371936312464</v>
      </c>
    </row>
    <row r="78" spans="1:5" x14ac:dyDescent="0.2">
      <c r="A78">
        <v>76</v>
      </c>
      <c r="B78" s="17">
        <v>6.695848799525761E-2</v>
      </c>
      <c r="C78" s="17">
        <f t="shared" si="5"/>
        <v>0.54289616041630562</v>
      </c>
      <c r="D78">
        <f t="shared" si="3"/>
        <v>9.7692363323682776E-3</v>
      </c>
      <c r="E78">
        <f t="shared" si="4"/>
        <v>0.733720367841314</v>
      </c>
    </row>
    <row r="79" spans="1:5" x14ac:dyDescent="0.2">
      <c r="A79">
        <v>77</v>
      </c>
      <c r="B79" s="17">
        <v>7.4967566372006078E-2</v>
      </c>
      <c r="C79" s="17">
        <f t="shared" si="5"/>
        <v>0.50654465437639895</v>
      </c>
      <c r="D79">
        <f t="shared" si="3"/>
        <v>8.8777069127772036E-3</v>
      </c>
      <c r="E79">
        <f t="shared" si="4"/>
        <v>0.75034172095314122</v>
      </c>
    </row>
    <row r="80" spans="1:5" x14ac:dyDescent="0.2">
      <c r="A80">
        <v>78</v>
      </c>
      <c r="B80" s="17">
        <v>8.3923610373106139E-2</v>
      </c>
      <c r="C80" s="17">
        <f t="shared" si="5"/>
        <v>0.46857023437905138</v>
      </c>
      <c r="D80">
        <f t="shared" si="3"/>
        <v>7.9907242705626377E-3</v>
      </c>
      <c r="E80">
        <f t="shared" si="4"/>
        <v>0.7666140521461724</v>
      </c>
    </row>
    <row r="81" spans="1:5" x14ac:dyDescent="0.2">
      <c r="A81">
        <v>79</v>
      </c>
      <c r="B81" s="17">
        <v>9.6175600850337717E-2</v>
      </c>
      <c r="C81" s="17">
        <f t="shared" si="5"/>
        <v>0.42924612859658884</v>
      </c>
      <c r="D81">
        <f t="shared" si="3"/>
        <v>7.115954980325633E-3</v>
      </c>
      <c r="E81">
        <f t="shared" si="4"/>
        <v>0.78249474823128407</v>
      </c>
    </row>
    <row r="82" spans="1:5" x14ac:dyDescent="0.2">
      <c r="A82">
        <v>80</v>
      </c>
      <c r="B82" s="17">
        <v>0.10728595330574953</v>
      </c>
      <c r="C82" s="17">
        <f t="shared" si="5"/>
        <v>0.38796312426613055</v>
      </c>
      <c r="D82">
        <f t="shared" si="3"/>
        <v>6.2413404894249395E-3</v>
      </c>
      <c r="E82">
        <f t="shared" si="4"/>
        <v>0.79731760442402622</v>
      </c>
    </row>
    <row r="83" spans="1:5" x14ac:dyDescent="0.2">
      <c r="A83">
        <v>81</v>
      </c>
      <c r="B83" s="17">
        <v>0.1193262470251929</v>
      </c>
      <c r="C83" s="17">
        <f t="shared" si="5"/>
        <v>0.34634013063176178</v>
      </c>
      <c r="D83">
        <f t="shared" si="3"/>
        <v>5.4015143516370429E-3</v>
      </c>
      <c r="E83">
        <f t="shared" si="4"/>
        <v>0.81160729615173088</v>
      </c>
    </row>
    <row r="84" spans="1:5" x14ac:dyDescent="0.2">
      <c r="A84">
        <v>82</v>
      </c>
      <c r="B84" s="17">
        <v>0.1314044224870009</v>
      </c>
      <c r="C84" s="17">
        <f t="shared" si="5"/>
        <v>0.30501266264925858</v>
      </c>
      <c r="D84">
        <f t="shared" si="3"/>
        <v>4.6073588051188056E-3</v>
      </c>
      <c r="E84">
        <f t="shared" si="4"/>
        <v>0.82538522253842928</v>
      </c>
    </row>
    <row r="85" spans="1:5" x14ac:dyDescent="0.2">
      <c r="A85">
        <v>83</v>
      </c>
      <c r="B85" s="17">
        <v>0.1447460838314466</v>
      </c>
      <c r="C85" s="17">
        <f t="shared" si="5"/>
        <v>0.26493264986261034</v>
      </c>
      <c r="D85">
        <f t="shared" si="3"/>
        <v>3.8738500065058686E-3</v>
      </c>
      <c r="E85">
        <f t="shared" si="4"/>
        <v>0.83891728085973882</v>
      </c>
    </row>
    <row r="86" spans="1:5" x14ac:dyDescent="0.2">
      <c r="A86">
        <v>84</v>
      </c>
      <c r="B86" s="17">
        <v>0.16315276230697695</v>
      </c>
      <c r="C86" s="17">
        <f t="shared" si="5"/>
        <v>0.22658468631590964</v>
      </c>
      <c r="D86">
        <f t="shared" si="3"/>
        <v>3.2054591763426054E-3</v>
      </c>
      <c r="E86">
        <f t="shared" si="4"/>
        <v>0.85223784784875445</v>
      </c>
    </row>
    <row r="87" spans="1:5" x14ac:dyDescent="0.2">
      <c r="A87">
        <v>85</v>
      </c>
      <c r="B87" s="17">
        <v>0.17946261230865856</v>
      </c>
      <c r="C87" s="17">
        <f t="shared" si="5"/>
        <v>0.18961676884700909</v>
      </c>
      <c r="D87">
        <f t="shared" si="3"/>
        <v>2.5918047600283515E-3</v>
      </c>
      <c r="E87">
        <f t="shared" si="4"/>
        <v>0.86460145559359425</v>
      </c>
    </row>
    <row r="88" spans="1:5" x14ac:dyDescent="0.2">
      <c r="A88">
        <v>86</v>
      </c>
      <c r="B88" s="17">
        <v>0.19952183313688998</v>
      </c>
      <c r="C88" s="17">
        <f t="shared" si="5"/>
        <v>0.15558764817219778</v>
      </c>
      <c r="D88">
        <f t="shared" si="3"/>
        <v>2.0538319752041964E-3</v>
      </c>
      <c r="E88">
        <f t="shared" si="4"/>
        <v>0.87673736290465631</v>
      </c>
    </row>
    <row r="89" spans="1:5" x14ac:dyDescent="0.2">
      <c r="A89">
        <v>87</v>
      </c>
      <c r="B89" s="17">
        <v>0.22136245258377396</v>
      </c>
      <c r="C89" s="17">
        <f t="shared" si="5"/>
        <v>0.12454451539542338</v>
      </c>
      <c r="D89">
        <f t="shared" si="3"/>
        <v>1.5864350807793103E-3</v>
      </c>
      <c r="E89">
        <f t="shared" si="4"/>
        <v>0.88831442966483354</v>
      </c>
    </row>
    <row r="90" spans="1:5" x14ac:dyDescent="0.2">
      <c r="A90">
        <v>88</v>
      </c>
      <c r="B90" s="17">
        <v>0.24507428699872158</v>
      </c>
      <c r="C90" s="17">
        <f t="shared" si="5"/>
        <v>9.6975036011634874E-2</v>
      </c>
      <c r="D90">
        <f t="shared" si="3"/>
        <v>1.1911052869373405E-3</v>
      </c>
      <c r="E90">
        <f t="shared" si="4"/>
        <v>0.89939096600072177</v>
      </c>
    </row>
    <row r="91" spans="1:5" x14ac:dyDescent="0.2">
      <c r="A91">
        <v>89</v>
      </c>
      <c r="B91" s="17">
        <v>0.27834596747720319</v>
      </c>
      <c r="C91" s="17">
        <f t="shared" si="5"/>
        <v>7.3208948204408111E-2</v>
      </c>
      <c r="D91">
        <f t="shared" si="3"/>
        <v>8.66542010262909E-4</v>
      </c>
      <c r="E91">
        <f t="shared" si="4"/>
        <v>0.91006638285075447</v>
      </c>
    </row>
    <row r="92" spans="1:5" x14ac:dyDescent="0.2">
      <c r="A92">
        <v>90</v>
      </c>
      <c r="B92" s="17">
        <v>0.30559942700762677</v>
      </c>
      <c r="C92" s="17">
        <f t="shared" si="5"/>
        <v>5.2831532688463675E-2</v>
      </c>
      <c r="D92">
        <f t="shared" si="3"/>
        <v>6.0150807564956436E-4</v>
      </c>
      <c r="E92">
        <f t="shared" si="4"/>
        <v>0.91914741170835934</v>
      </c>
    </row>
    <row r="93" spans="1:5" x14ac:dyDescent="0.2">
      <c r="A93">
        <v>91</v>
      </c>
      <c r="B93" s="17">
        <v>0.33585584770699084</v>
      </c>
      <c r="C93" s="17">
        <f t="shared" si="5"/>
        <v>3.6686246570934472E-2</v>
      </c>
      <c r="D93">
        <f t="shared" si="3"/>
        <v>4.0151782281589549E-4</v>
      </c>
      <c r="E93">
        <f t="shared" si="4"/>
        <v>0.92774316294068637</v>
      </c>
    </row>
    <row r="94" spans="1:5" x14ac:dyDescent="0.2">
      <c r="A94">
        <v>92</v>
      </c>
      <c r="B94" s="17">
        <v>0.3675694840867294</v>
      </c>
      <c r="C94" s="17">
        <f t="shared" si="5"/>
        <v>2.4364956129665587E-2</v>
      </c>
      <c r="D94">
        <f t="shared" si="3"/>
        <v>2.5616282141243112E-4</v>
      </c>
      <c r="E94">
        <f t="shared" si="4"/>
        <v>0.93576323581208465</v>
      </c>
    </row>
    <row r="95" spans="1:5" x14ac:dyDescent="0.2">
      <c r="A95">
        <v>93</v>
      </c>
      <c r="B95" s="17">
        <v>0.40050582254393441</v>
      </c>
      <c r="C95" s="17">
        <f t="shared" si="5"/>
        <v>1.5409141775288612E-2</v>
      </c>
      <c r="D95">
        <f t="shared" si="3"/>
        <v>1.555416038807813E-4</v>
      </c>
      <c r="E95">
        <f t="shared" si="4"/>
        <v>0.94335017729194981</v>
      </c>
    </row>
    <row r="96" spans="1:5" x14ac:dyDescent="0.2">
      <c r="A96">
        <v>94</v>
      </c>
      <c r="B96" s="17">
        <v>0.44665459257626938</v>
      </c>
      <c r="C96" s="17">
        <f t="shared" si="5"/>
        <v>9.2376907738805445E-3</v>
      </c>
      <c r="D96">
        <f t="shared" si="3"/>
        <v>8.9505343431978878E-5</v>
      </c>
      <c r="E96">
        <f t="shared" si="4"/>
        <v>0.95077916336758406</v>
      </c>
    </row>
    <row r="97" spans="1:5" x14ac:dyDescent="0.2">
      <c r="A97">
        <v>95</v>
      </c>
      <c r="B97" s="17">
        <v>0.48215421535421144</v>
      </c>
      <c r="C97" s="17">
        <f t="shared" si="5"/>
        <v>5.1116337649273671E-3</v>
      </c>
      <c r="D97">
        <f t="shared" si="3"/>
        <v>4.745775315621936E-5</v>
      </c>
      <c r="E97">
        <f t="shared" si="4"/>
        <v>0.95660105284932717</v>
      </c>
    </row>
    <row r="98" spans="1:5" x14ac:dyDescent="0.2">
      <c r="A98">
        <v>96</v>
      </c>
      <c r="B98" s="17">
        <v>0.52009635275435639</v>
      </c>
      <c r="C98" s="17">
        <f t="shared" si="5"/>
        <v>2.6470379978207189E-3</v>
      </c>
      <c r="D98">
        <f t="shared" si="3"/>
        <v>2.353769194851452E-5</v>
      </c>
      <c r="E98">
        <f t="shared" si="4"/>
        <v>0.96200296331585256</v>
      </c>
    </row>
    <row r="99" spans="1:5" x14ac:dyDescent="0.2">
      <c r="A99">
        <v>97</v>
      </c>
      <c r="B99" s="17">
        <v>0.55723681538058667</v>
      </c>
      <c r="C99" s="17">
        <f t="shared" si="5"/>
        <v>1.270323189551969E-3</v>
      </c>
      <c r="D99">
        <f t="shared" si="3"/>
        <v>1.0812296911806472E-5</v>
      </c>
      <c r="E99">
        <f t="shared" si="4"/>
        <v>0.96686479411577941</v>
      </c>
    </row>
    <row r="100" spans="1:5" x14ac:dyDescent="0.2">
      <c r="A100">
        <v>98</v>
      </c>
      <c r="B100" s="17">
        <v>0.59287102876008002</v>
      </c>
      <c r="C100" s="17">
        <f t="shared" si="5"/>
        <v>5.6245234090192048E-4</v>
      </c>
      <c r="D100">
        <f t="shared" si="3"/>
        <v>4.5808052546979899E-6</v>
      </c>
      <c r="E100">
        <f t="shared" si="4"/>
        <v>0.97142082407249442</v>
      </c>
    </row>
    <row r="101" spans="1:5" x14ac:dyDescent="0.2">
      <c r="A101">
        <v>99</v>
      </c>
      <c r="B101" s="17">
        <v>0.64380726914280673</v>
      </c>
      <c r="C101" s="17">
        <f t="shared" si="5"/>
        <v>2.2899064292288365E-4</v>
      </c>
      <c r="D101">
        <f t="shared" si="3"/>
        <v>1.7850789776795516E-6</v>
      </c>
      <c r="E101">
        <f t="shared" si="4"/>
        <v>0.97629329562941569</v>
      </c>
    </row>
    <row r="102" spans="1:5" x14ac:dyDescent="0.2">
      <c r="A102">
        <v>100</v>
      </c>
      <c r="B102" s="17">
        <v>0.68660357507077396</v>
      </c>
      <c r="C102" s="17">
        <f t="shared" si="5"/>
        <v>8.1564802443446347E-5</v>
      </c>
      <c r="D102">
        <f t="shared" si="3"/>
        <v>6.0792573185787792E-7</v>
      </c>
      <c r="E102">
        <f t="shared" si="4"/>
        <v>0.98011637399446661</v>
      </c>
    </row>
    <row r="103" spans="1:5" x14ac:dyDescent="0.2">
      <c r="A103">
        <v>101</v>
      </c>
      <c r="B103" s="17">
        <v>0.72484304609435402</v>
      </c>
      <c r="C103" s="17">
        <f t="shared" si="5"/>
        <v>2.5562117485834687E-5</v>
      </c>
      <c r="D103">
        <f t="shared" si="3"/>
        <v>1.8205387424365926E-7</v>
      </c>
      <c r="E103">
        <f t="shared" si="4"/>
        <v>0.98338211400935727</v>
      </c>
    </row>
    <row r="104" spans="1:5" x14ac:dyDescent="0.2">
      <c r="A104">
        <v>102</v>
      </c>
      <c r="B104" s="17">
        <v>0.7661562041275628</v>
      </c>
      <c r="C104" s="17">
        <f t="shared" si="5"/>
        <v>7.0335943827805223E-6</v>
      </c>
      <c r="D104">
        <f t="shared" si="3"/>
        <v>4.7863427945998851E-8</v>
      </c>
      <c r="E104">
        <f t="shared" si="4"/>
        <v>0.98658608280654914</v>
      </c>
    </row>
    <row r="105" spans="1:5" x14ac:dyDescent="0.2">
      <c r="A105">
        <v>103</v>
      </c>
      <c r="B105" s="17">
        <v>0.81051987838274353</v>
      </c>
      <c r="C105" s="17">
        <f t="shared" si="5"/>
        <v>1.6447624090964493E-6</v>
      </c>
      <c r="D105">
        <f>B105*C105/(1.05^A105)+D106</f>
        <v>1.0693977747267379E-8</v>
      </c>
      <c r="E105">
        <f t="shared" si="4"/>
        <v>0.98976913947801881</v>
      </c>
    </row>
    <row r="106" spans="1:5" x14ac:dyDescent="0.2">
      <c r="A106">
        <v>104</v>
      </c>
      <c r="B106" s="17">
        <v>0.87113649761929657</v>
      </c>
      <c r="C106" s="17">
        <f t="shared" si="5"/>
        <v>3.1164978130708694E-7</v>
      </c>
      <c r="D106">
        <f>B106*C106/(1.05^A106)+D107</f>
        <v>1.9367017346872588E-9</v>
      </c>
      <c r="E106">
        <f t="shared" si="4"/>
        <v>0.99330590746727743</v>
      </c>
    </row>
    <row r="107" spans="1:5" x14ac:dyDescent="0.2">
      <c r="A107">
        <v>105</v>
      </c>
      <c r="B107" s="17">
        <v>0.90989507286704052</v>
      </c>
      <c r="C107" s="17">
        <f t="shared" si="5"/>
        <v>4.0160282335411502E-8</v>
      </c>
      <c r="D107">
        <f>B107*C107/(1.05^A107)+D108</f>
        <v>2.3820024244253086E-10</v>
      </c>
      <c r="E107">
        <f t="shared" si="4"/>
        <v>0.99545548561459107</v>
      </c>
    </row>
    <row r="108" spans="1:5" x14ac:dyDescent="0.2">
      <c r="A108">
        <v>106</v>
      </c>
      <c r="B108" s="17">
        <v>0.94079737614391501</v>
      </c>
      <c r="C108" s="17">
        <f t="shared" si="5"/>
        <v>3.6186393134713332E-9</v>
      </c>
      <c r="D108">
        <f>B108*C108/(1.05^A108)+D109</f>
        <v>2.047355341797797E-11</v>
      </c>
      <c r="E108">
        <f t="shared" si="4"/>
        <v>0.99704240648640396</v>
      </c>
    </row>
    <row r="109" spans="1:5" x14ac:dyDescent="0.2">
      <c r="A109">
        <v>107</v>
      </c>
      <c r="B109" s="17">
        <v>0.96312521707280663</v>
      </c>
      <c r="C109" s="17">
        <f t="shared" si="5"/>
        <v>2.1423294214628495E-10</v>
      </c>
      <c r="D109">
        <f>B109*C109/(1.05^A109)+D110</f>
        <v>1.1549515103081462E-12</v>
      </c>
      <c r="E109">
        <f t="shared" si="4"/>
        <v>0.99754500751816655</v>
      </c>
    </row>
    <row r="110" spans="1:5" x14ac:dyDescent="0.2">
      <c r="A110">
        <v>108</v>
      </c>
      <c r="B110" s="17">
        <v>0.98009471781800805</v>
      </c>
      <c r="C110" s="17">
        <f t="shared" si="5"/>
        <v>7.899793237498233E-12</v>
      </c>
      <c r="D110">
        <f>B110*C110/(1.05^A110)</f>
        <v>3.9851022921022794E-14</v>
      </c>
      <c r="E110">
        <f t="shared" si="4"/>
        <v>0.98009471781800805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Log</vt:lpstr>
      <vt:lpstr>Instructions</vt:lpstr>
      <vt:lpstr>Problem 1</vt:lpstr>
      <vt:lpstr>Problem 2</vt:lpstr>
      <vt:lpstr>Problem 3</vt:lpstr>
      <vt:lpstr>Problem 4</vt:lpstr>
      <vt:lpstr>Female Nonsmoker</vt:lpstr>
      <vt:lpstr>Female Smoker</vt:lpstr>
      <vt:lpstr>Male Nonsmoker</vt:lpstr>
      <vt:lpstr>Male Smoker</vt:lpstr>
      <vt:lpstr>FTDATA</vt:lpstr>
    </vt:vector>
  </TitlesOfParts>
  <Company>State Farm Insurance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Rama Duvvuri</dc:creator>
  <cp:lastModifiedBy>Ben Huang</cp:lastModifiedBy>
  <dcterms:created xsi:type="dcterms:W3CDTF">2006-09-27T00:53:48Z</dcterms:created>
  <dcterms:modified xsi:type="dcterms:W3CDTF">2015-09-08T21:30:44Z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2001583866</vt:i4>
  </property>
  <property fmtid="{D5CDD505-2E9C-101B-9397-08002B2CF9AE}" pid="3" name="_NewReviewCycle">
    <vt:lpwstr/>
  </property>
  <property fmtid="{D5CDD505-2E9C-101B-9397-08002B2CF9AE}" pid="4" name="_EmailSubject">
    <vt:lpwstr>Math 283 - Week 5</vt:lpwstr>
  </property>
  <property fmtid="{D5CDD505-2E9C-101B-9397-08002B2CF9AE}" pid="5" name="_AuthorEmail">
    <vt:lpwstr>rama.duvvuri.lcma@statefarm.com</vt:lpwstr>
  </property>
  <property fmtid="{D5CDD505-2E9C-101B-9397-08002B2CF9AE}" pid="6" name="_AuthorEmailDisplayName">
    <vt:lpwstr>Rama Duvvuri</vt:lpwstr>
  </property>
  <property fmtid="{D5CDD505-2E9C-101B-9397-08002B2CF9AE}" pid="7" name="_ReviewingToolsShownOnce">
    <vt:lpwstr/>
  </property>
</Properties>
</file>