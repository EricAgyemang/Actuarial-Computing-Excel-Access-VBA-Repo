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l6y\Documents\Math 283\7. Fall 2015\"/>
    </mc:Choice>
  </mc:AlternateContent>
  <bookViews>
    <workbookView xWindow="0" yWindow="0" windowWidth="20490" windowHeight="7155" firstSheet="1" activeTab="1"/>
  </bookViews>
  <sheets>
    <sheet name="Log" sheetId="13" state="hidden" r:id="rId1"/>
    <sheet name="Instructions" sheetId="9" r:id="rId2"/>
    <sheet name="Problem 1" sheetId="17" r:id="rId3"/>
    <sheet name="Problem 2" sheetId="14" r:id="rId4"/>
    <sheet name="Problem 3" sheetId="16" r:id="rId5"/>
    <sheet name="HW2 data" sheetId="15" r:id="rId6"/>
  </sheets>
  <definedNames>
    <definedName name="_xlnm._FilterDatabase" localSheetId="3" hidden="1">'Problem 2'!$K$8:$K$9</definedName>
  </definedNames>
  <calcPr calcId="152511"/>
</workbook>
</file>

<file path=xl/calcChain.xml><?xml version="1.0" encoding="utf-8"?>
<calcChain xmlns="http://schemas.openxmlformats.org/spreadsheetml/2006/main">
  <c r="P8" i="14" l="1"/>
  <c r="P9" i="14"/>
  <c r="P10" i="14"/>
  <c r="P11" i="14"/>
  <c r="P12" i="14"/>
  <c r="P13" i="14"/>
  <c r="P14" i="14"/>
  <c r="P15" i="14"/>
  <c r="P16" i="14"/>
  <c r="P17" i="14"/>
  <c r="P18" i="14"/>
  <c r="P19" i="14"/>
  <c r="P20" i="14"/>
  <c r="P21" i="14"/>
  <c r="P22" i="14"/>
  <c r="P23" i="14"/>
  <c r="P24" i="14"/>
  <c r="P25" i="14"/>
  <c r="P26" i="14"/>
  <c r="P27" i="14"/>
  <c r="P28" i="14"/>
  <c r="P29" i="14"/>
  <c r="P30" i="14"/>
  <c r="P31" i="14"/>
  <c r="P32" i="14"/>
  <c r="P33" i="14"/>
  <c r="P34" i="14"/>
  <c r="P35" i="14"/>
  <c r="P36" i="14"/>
  <c r="P37" i="14"/>
  <c r="P38" i="14"/>
  <c r="P39" i="14"/>
  <c r="P40" i="14"/>
  <c r="P41" i="14"/>
  <c r="P42" i="14"/>
  <c r="P43" i="14"/>
  <c r="P44" i="14"/>
  <c r="P45" i="14"/>
  <c r="P46" i="14"/>
  <c r="P47" i="14"/>
  <c r="P48" i="14"/>
  <c r="P49" i="14"/>
  <c r="P50" i="14"/>
  <c r="P51" i="14"/>
  <c r="P52" i="14"/>
  <c r="P53" i="14"/>
  <c r="P54" i="14"/>
  <c r="P55" i="14"/>
  <c r="P56" i="14"/>
  <c r="P57" i="14"/>
  <c r="P7" i="14"/>
  <c r="O8" i="14"/>
  <c r="O9" i="14"/>
  <c r="O10" i="14"/>
  <c r="O11" i="14"/>
  <c r="O12" i="14"/>
  <c r="O13" i="14"/>
  <c r="O14" i="14"/>
  <c r="O15" i="14"/>
  <c r="O16" i="14"/>
  <c r="O17" i="14"/>
  <c r="O18" i="14"/>
  <c r="O19" i="14"/>
  <c r="O20" i="14"/>
  <c r="O21" i="14"/>
  <c r="O22" i="14"/>
  <c r="O23" i="14"/>
  <c r="O24" i="14"/>
  <c r="O25" i="14"/>
  <c r="O26" i="14"/>
  <c r="O27" i="14"/>
  <c r="O28" i="14"/>
  <c r="O29" i="14"/>
  <c r="O30" i="14"/>
  <c r="O31" i="14"/>
  <c r="O32" i="14"/>
  <c r="O33" i="14"/>
  <c r="O34" i="14"/>
  <c r="O35" i="14"/>
  <c r="O36" i="14"/>
  <c r="O37" i="14"/>
  <c r="O38" i="14"/>
  <c r="O39" i="14"/>
  <c r="O40" i="14"/>
  <c r="O41" i="14"/>
  <c r="O42" i="14"/>
  <c r="O43" i="14"/>
  <c r="O44" i="14"/>
  <c r="O45" i="14"/>
  <c r="O46" i="14"/>
  <c r="O47" i="14"/>
  <c r="O48" i="14"/>
  <c r="O49" i="14"/>
  <c r="O50" i="14"/>
  <c r="O51" i="14"/>
  <c r="O52" i="14"/>
  <c r="O53" i="14"/>
  <c r="O54" i="14"/>
  <c r="O55" i="14"/>
  <c r="O56" i="14"/>
  <c r="O57" i="14"/>
  <c r="O7" i="14"/>
  <c r="M8" i="14"/>
  <c r="M9" i="14"/>
  <c r="M10" i="14"/>
  <c r="M11" i="14"/>
  <c r="M12" i="14"/>
  <c r="M13" i="14"/>
  <c r="M14" i="14"/>
  <c r="M15" i="14"/>
  <c r="M16" i="14"/>
  <c r="M17" i="14"/>
  <c r="M18" i="14"/>
  <c r="M19" i="14"/>
  <c r="M20" i="14"/>
  <c r="M21" i="14"/>
  <c r="M22" i="14"/>
  <c r="M23" i="14"/>
  <c r="M24" i="14"/>
  <c r="M25" i="14"/>
  <c r="M26" i="14"/>
  <c r="M27" i="14"/>
  <c r="M28" i="14"/>
  <c r="M29" i="14"/>
  <c r="M30" i="14"/>
  <c r="M31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M50" i="14"/>
  <c r="M51" i="14"/>
  <c r="M52" i="14"/>
  <c r="M53" i="14"/>
  <c r="M54" i="14"/>
  <c r="M55" i="14"/>
  <c r="M56" i="14"/>
  <c r="M57" i="14"/>
  <c r="M7" i="14"/>
  <c r="L8" i="14"/>
  <c r="L9" i="14"/>
  <c r="L10" i="14"/>
  <c r="L11" i="14"/>
  <c r="L12" i="14"/>
  <c r="L13" i="14"/>
  <c r="L14" i="14"/>
  <c r="L15" i="14"/>
  <c r="L16" i="14"/>
  <c r="L17" i="14"/>
  <c r="L18" i="14"/>
  <c r="L19" i="14"/>
  <c r="L20" i="14"/>
  <c r="L21" i="14"/>
  <c r="L22" i="14"/>
  <c r="L23" i="14"/>
  <c r="L24" i="14"/>
  <c r="L25" i="14"/>
  <c r="L26" i="14"/>
  <c r="L27" i="14"/>
  <c r="L28" i="14"/>
  <c r="L29" i="14"/>
  <c r="L30" i="14"/>
  <c r="L31" i="14"/>
  <c r="L32" i="14"/>
  <c r="L33" i="14"/>
  <c r="L34" i="14"/>
  <c r="L35" i="14"/>
  <c r="L36" i="14"/>
  <c r="L37" i="14"/>
  <c r="L38" i="14"/>
  <c r="L39" i="14"/>
  <c r="L40" i="14"/>
  <c r="L41" i="14"/>
  <c r="L42" i="14"/>
  <c r="L43" i="14"/>
  <c r="L44" i="14"/>
  <c r="L45" i="14"/>
  <c r="L46" i="14"/>
  <c r="L47" i="14"/>
  <c r="L48" i="14"/>
  <c r="L49" i="14"/>
  <c r="L50" i="14"/>
  <c r="L51" i="14"/>
  <c r="L52" i="14"/>
  <c r="L53" i="14"/>
  <c r="L54" i="14"/>
  <c r="L55" i="14"/>
  <c r="L56" i="14"/>
  <c r="L57" i="14"/>
  <c r="L7" i="14"/>
  <c r="K8" i="14" a="1"/>
  <c r="K8" i="14" s="1"/>
  <c r="K9" i="14" a="1"/>
  <c r="K9" i="14" s="1"/>
  <c r="K10" i="14" a="1"/>
  <c r="K10" i="14" s="1"/>
  <c r="K11" i="14" a="1"/>
  <c r="K11" i="14" s="1"/>
  <c r="K12" i="14" a="1"/>
  <c r="K12" i="14" s="1"/>
  <c r="K13" i="14" a="1"/>
  <c r="K13" i="14" s="1"/>
  <c r="K14" i="14" a="1"/>
  <c r="K14" i="14" s="1"/>
  <c r="K15" i="14" a="1"/>
  <c r="K15" i="14" s="1"/>
  <c r="K16" i="14" a="1"/>
  <c r="K16" i="14" s="1"/>
  <c r="K17" i="14" a="1"/>
  <c r="K17" i="14" s="1"/>
  <c r="K18" i="14" a="1"/>
  <c r="K18" i="14" s="1"/>
  <c r="K19" i="14" a="1"/>
  <c r="K19" i="14" s="1"/>
  <c r="K20" i="14" a="1"/>
  <c r="K20" i="14" s="1"/>
  <c r="K21" i="14" a="1"/>
  <c r="K21" i="14" s="1"/>
  <c r="K22" i="14" a="1"/>
  <c r="K22" i="14" s="1"/>
  <c r="K23" i="14" a="1"/>
  <c r="K23" i="14" s="1"/>
  <c r="K24" i="14" a="1"/>
  <c r="K24" i="14" s="1"/>
  <c r="K25" i="14" a="1"/>
  <c r="K25" i="14" s="1"/>
  <c r="K26" i="14" a="1"/>
  <c r="K26" i="14" s="1"/>
  <c r="K27" i="14" a="1"/>
  <c r="K27" i="14" s="1"/>
  <c r="K28" i="14" a="1"/>
  <c r="K28" i="14" s="1"/>
  <c r="K29" i="14" a="1"/>
  <c r="K29" i="14" s="1"/>
  <c r="K30" i="14" a="1"/>
  <c r="K30" i="14" s="1"/>
  <c r="K31" i="14" a="1"/>
  <c r="K31" i="14" s="1"/>
  <c r="K32" i="14" a="1"/>
  <c r="K32" i="14" s="1"/>
  <c r="K33" i="14" a="1"/>
  <c r="K33" i="14" s="1"/>
  <c r="K34" i="14" a="1"/>
  <c r="K34" i="14" s="1"/>
  <c r="K35" i="14" a="1"/>
  <c r="K35" i="14" s="1"/>
  <c r="K36" i="14" a="1"/>
  <c r="K36" i="14" s="1"/>
  <c r="K37" i="14" a="1"/>
  <c r="K37" i="14" s="1"/>
  <c r="K38" i="14" a="1"/>
  <c r="K38" i="14" s="1"/>
  <c r="K39" i="14" a="1"/>
  <c r="K39" i="14" s="1"/>
  <c r="K40" i="14" a="1"/>
  <c r="K40" i="14" s="1"/>
  <c r="K41" i="14" a="1"/>
  <c r="K41" i="14" s="1"/>
  <c r="K42" i="14" a="1"/>
  <c r="K42" i="14" s="1"/>
  <c r="K43" i="14" a="1"/>
  <c r="K43" i="14" s="1"/>
  <c r="K44" i="14" a="1"/>
  <c r="K44" i="14" s="1"/>
  <c r="K45" i="14" a="1"/>
  <c r="K45" i="14" s="1"/>
  <c r="K46" i="14" a="1"/>
  <c r="K46" i="14" s="1"/>
  <c r="K47" i="14" a="1"/>
  <c r="K47" i="14" s="1"/>
  <c r="K48" i="14" a="1"/>
  <c r="K48" i="14" s="1"/>
  <c r="K49" i="14" a="1"/>
  <c r="K49" i="14" s="1"/>
  <c r="K50" i="14" a="1"/>
  <c r="K50" i="14" s="1"/>
  <c r="K51" i="14" a="1"/>
  <c r="K51" i="14" s="1"/>
  <c r="K52" i="14" a="1"/>
  <c r="K52" i="14" s="1"/>
  <c r="K53" i="14" a="1"/>
  <c r="K53" i="14" s="1"/>
  <c r="K54" i="14" a="1"/>
  <c r="K54" i="14" s="1"/>
  <c r="K55" i="14" a="1"/>
  <c r="K55" i="14" s="1"/>
  <c r="K56" i="14" a="1"/>
  <c r="K56" i="14" s="1"/>
  <c r="K57" i="14" a="1"/>
  <c r="K57" i="14" s="1"/>
  <c r="K7" i="14" a="1"/>
  <c r="K7" i="14" s="1"/>
  <c r="J8" i="14" a="1"/>
  <c r="J8" i="14" s="1"/>
  <c r="J9" i="14" a="1"/>
  <c r="J9" i="14" s="1"/>
  <c r="J10" i="14" a="1"/>
  <c r="J10" i="14" s="1"/>
  <c r="J11" i="14" a="1"/>
  <c r="J11" i="14" s="1"/>
  <c r="J12" i="14" a="1"/>
  <c r="J12" i="14" s="1"/>
  <c r="J13" i="14" a="1"/>
  <c r="J13" i="14" s="1"/>
  <c r="J14" i="14" a="1"/>
  <c r="J14" i="14" s="1"/>
  <c r="J15" i="14" a="1"/>
  <c r="J15" i="14" s="1"/>
  <c r="J16" i="14" a="1"/>
  <c r="J16" i="14" s="1"/>
  <c r="J17" i="14" a="1"/>
  <c r="J17" i="14" s="1"/>
  <c r="J18" i="14" a="1"/>
  <c r="J18" i="14" s="1"/>
  <c r="J19" i="14" a="1"/>
  <c r="J19" i="14" s="1"/>
  <c r="J20" i="14" a="1"/>
  <c r="J20" i="14" s="1"/>
  <c r="J21" i="14" a="1"/>
  <c r="J21" i="14" s="1"/>
  <c r="J22" i="14" a="1"/>
  <c r="J22" i="14" s="1"/>
  <c r="J23" i="14" a="1"/>
  <c r="J23" i="14" s="1"/>
  <c r="J24" i="14" a="1"/>
  <c r="J24" i="14" s="1"/>
  <c r="J25" i="14" a="1"/>
  <c r="J25" i="14" s="1"/>
  <c r="J26" i="14" a="1"/>
  <c r="J26" i="14" s="1"/>
  <c r="J27" i="14" a="1"/>
  <c r="J27" i="14" s="1"/>
  <c r="J28" i="14" a="1"/>
  <c r="J28" i="14" s="1"/>
  <c r="J29" i="14" a="1"/>
  <c r="J29" i="14" s="1"/>
  <c r="J30" i="14" a="1"/>
  <c r="J30" i="14" s="1"/>
  <c r="J31" i="14" a="1"/>
  <c r="J31" i="14" s="1"/>
  <c r="J32" i="14" a="1"/>
  <c r="J32" i="14" s="1"/>
  <c r="J33" i="14" a="1"/>
  <c r="J33" i="14" s="1"/>
  <c r="J34" i="14" a="1"/>
  <c r="J34" i="14" s="1"/>
  <c r="J35" i="14" a="1"/>
  <c r="J35" i="14" s="1"/>
  <c r="J36" i="14" a="1"/>
  <c r="J36" i="14" s="1"/>
  <c r="J37" i="14" a="1"/>
  <c r="J37" i="14" s="1"/>
  <c r="J38" i="14" a="1"/>
  <c r="J38" i="14" s="1"/>
  <c r="J39" i="14" a="1"/>
  <c r="J39" i="14" s="1"/>
  <c r="J40" i="14" a="1"/>
  <c r="J40" i="14" s="1"/>
  <c r="J41" i="14" a="1"/>
  <c r="J41" i="14" s="1"/>
  <c r="J42" i="14" a="1"/>
  <c r="J42" i="14" s="1"/>
  <c r="J43" i="14" a="1"/>
  <c r="J43" i="14" s="1"/>
  <c r="J44" i="14" a="1"/>
  <c r="J44" i="14" s="1"/>
  <c r="J45" i="14" a="1"/>
  <c r="J45" i="14" s="1"/>
  <c r="J46" i="14" a="1"/>
  <c r="J46" i="14" s="1"/>
  <c r="J47" i="14" a="1"/>
  <c r="J47" i="14" s="1"/>
  <c r="J48" i="14" a="1"/>
  <c r="J48" i="14" s="1"/>
  <c r="J49" i="14" a="1"/>
  <c r="J49" i="14" s="1"/>
  <c r="J50" i="14" a="1"/>
  <c r="J50" i="14" s="1"/>
  <c r="J51" i="14" a="1"/>
  <c r="J51" i="14" s="1"/>
  <c r="J52" i="14" a="1"/>
  <c r="J52" i="14" s="1"/>
  <c r="J53" i="14" a="1"/>
  <c r="J53" i="14" s="1"/>
  <c r="J54" i="14" a="1"/>
  <c r="J54" i="14" s="1"/>
  <c r="J55" i="14" a="1"/>
  <c r="J55" i="14" s="1"/>
  <c r="J56" i="14" a="1"/>
  <c r="J56" i="14" s="1"/>
  <c r="J57" i="14" a="1"/>
  <c r="J57" i="14" s="1"/>
  <c r="J7" i="14" a="1"/>
  <c r="J7" i="14" s="1"/>
  <c r="I8" i="14" a="1"/>
  <c r="I8" i="14" s="1"/>
  <c r="I9" i="14" a="1"/>
  <c r="I9" i="14" s="1"/>
  <c r="I10" i="14" a="1"/>
  <c r="I10" i="14" s="1"/>
  <c r="I11" i="14" a="1"/>
  <c r="I11" i="14" s="1"/>
  <c r="I12" i="14" a="1"/>
  <c r="I12" i="14" s="1"/>
  <c r="I13" i="14" a="1"/>
  <c r="I13" i="14" s="1"/>
  <c r="I14" i="14" a="1"/>
  <c r="I14" i="14" s="1"/>
  <c r="I15" i="14" a="1"/>
  <c r="I15" i="14" s="1"/>
  <c r="I16" i="14" a="1"/>
  <c r="I16" i="14" s="1"/>
  <c r="I17" i="14" a="1"/>
  <c r="I17" i="14" s="1"/>
  <c r="I18" i="14" a="1"/>
  <c r="I18" i="14" s="1"/>
  <c r="I19" i="14" a="1"/>
  <c r="I19" i="14" s="1"/>
  <c r="I20" i="14" a="1"/>
  <c r="I20" i="14" s="1"/>
  <c r="I21" i="14" a="1"/>
  <c r="I21" i="14" s="1"/>
  <c r="I22" i="14" a="1"/>
  <c r="I22" i="14" s="1"/>
  <c r="I23" i="14" a="1"/>
  <c r="I23" i="14" s="1"/>
  <c r="I24" i="14" a="1"/>
  <c r="I24" i="14" s="1"/>
  <c r="I25" i="14" a="1"/>
  <c r="I25" i="14" s="1"/>
  <c r="I26" i="14" a="1"/>
  <c r="I26" i="14" s="1"/>
  <c r="I27" i="14" a="1"/>
  <c r="I27" i="14" s="1"/>
  <c r="I28" i="14" a="1"/>
  <c r="I28" i="14" s="1"/>
  <c r="I29" i="14" a="1"/>
  <c r="I29" i="14" s="1"/>
  <c r="I30" i="14" a="1"/>
  <c r="I30" i="14" s="1"/>
  <c r="I31" i="14" a="1"/>
  <c r="I31" i="14" s="1"/>
  <c r="I32" i="14" a="1"/>
  <c r="I32" i="14" s="1"/>
  <c r="I33" i="14" a="1"/>
  <c r="I33" i="14" s="1"/>
  <c r="I34" i="14" a="1"/>
  <c r="I34" i="14" s="1"/>
  <c r="I35" i="14" a="1"/>
  <c r="I35" i="14" s="1"/>
  <c r="I36" i="14" a="1"/>
  <c r="I36" i="14" s="1"/>
  <c r="I37" i="14" a="1"/>
  <c r="I37" i="14" s="1"/>
  <c r="I38" i="14" a="1"/>
  <c r="I38" i="14" s="1"/>
  <c r="I39" i="14" a="1"/>
  <c r="I39" i="14" s="1"/>
  <c r="I40" i="14" a="1"/>
  <c r="I40" i="14" s="1"/>
  <c r="I41" i="14" a="1"/>
  <c r="I41" i="14" s="1"/>
  <c r="I42" i="14" a="1"/>
  <c r="I42" i="14" s="1"/>
  <c r="I43" i="14" a="1"/>
  <c r="I43" i="14" s="1"/>
  <c r="I44" i="14" a="1"/>
  <c r="I44" i="14" s="1"/>
  <c r="I45" i="14" a="1"/>
  <c r="I45" i="14" s="1"/>
  <c r="I46" i="14" a="1"/>
  <c r="I46" i="14" s="1"/>
  <c r="I47" i="14" a="1"/>
  <c r="I47" i="14" s="1"/>
  <c r="I48" i="14" a="1"/>
  <c r="I48" i="14" s="1"/>
  <c r="I49" i="14" a="1"/>
  <c r="I49" i="14" s="1"/>
  <c r="I50" i="14" a="1"/>
  <c r="I50" i="14" s="1"/>
  <c r="I51" i="14" a="1"/>
  <c r="I51" i="14" s="1"/>
  <c r="I52" i="14" a="1"/>
  <c r="I52" i="14" s="1"/>
  <c r="I53" i="14" a="1"/>
  <c r="I53" i="14" s="1"/>
  <c r="I54" i="14" a="1"/>
  <c r="I54" i="14" s="1"/>
  <c r="I55" i="14" a="1"/>
  <c r="I55" i="14" s="1"/>
  <c r="I56" i="14" a="1"/>
  <c r="I56" i="14" s="1"/>
  <c r="I57" i="14" a="1"/>
  <c r="I57" i="14" s="1"/>
  <c r="I7" i="14" a="1"/>
  <c r="I7" i="14" s="1"/>
  <c r="G8" i="14"/>
  <c r="G9" i="14"/>
  <c r="G10" i="14"/>
  <c r="G11" i="14"/>
  <c r="G12" i="14"/>
  <c r="G13" i="14"/>
  <c r="G14" i="14"/>
  <c r="G15" i="14"/>
  <c r="G16" i="14"/>
  <c r="G17" i="14"/>
  <c r="G18" i="14"/>
  <c r="G19" i="14"/>
  <c r="G20" i="14"/>
  <c r="G21" i="14"/>
  <c r="G22" i="14"/>
  <c r="G23" i="14"/>
  <c r="G24" i="14"/>
  <c r="G25" i="14"/>
  <c r="G26" i="14"/>
  <c r="G27" i="14"/>
  <c r="G28" i="14"/>
  <c r="G29" i="14"/>
  <c r="G30" i="14"/>
  <c r="G31" i="14"/>
  <c r="G32" i="14"/>
  <c r="G33" i="14"/>
  <c r="G34" i="14"/>
  <c r="G35" i="14"/>
  <c r="G36" i="14"/>
  <c r="G37" i="14"/>
  <c r="G38" i="14"/>
  <c r="G39" i="14"/>
  <c r="G40" i="14"/>
  <c r="G41" i="14"/>
  <c r="G42" i="14"/>
  <c r="G43" i="14"/>
  <c r="G44" i="14"/>
  <c r="G45" i="14"/>
  <c r="G46" i="14"/>
  <c r="G47" i="14"/>
  <c r="G48" i="14"/>
  <c r="G49" i="14"/>
  <c r="G50" i="14"/>
  <c r="G51" i="14"/>
  <c r="G52" i="14"/>
  <c r="G53" i="14"/>
  <c r="G54" i="14"/>
  <c r="G55" i="14"/>
  <c r="G56" i="14"/>
  <c r="G57" i="14"/>
  <c r="G7" i="14"/>
  <c r="F8" i="14" l="1"/>
  <c r="F9" i="14"/>
  <c r="F10" i="14"/>
  <c r="F11" i="14"/>
  <c r="F12" i="14"/>
  <c r="F13" i="14"/>
  <c r="F14" i="14"/>
  <c r="F15" i="14"/>
  <c r="F16" i="14"/>
  <c r="F17" i="14"/>
  <c r="F18" i="14"/>
  <c r="F19" i="14"/>
  <c r="F20" i="14"/>
  <c r="F21" i="14"/>
  <c r="F22" i="14"/>
  <c r="F23" i="14"/>
  <c r="F24" i="14"/>
  <c r="F25" i="14"/>
  <c r="F26" i="14"/>
  <c r="F27" i="14"/>
  <c r="F28" i="14"/>
  <c r="F29" i="14"/>
  <c r="F30" i="14"/>
  <c r="F31" i="14"/>
  <c r="F32" i="14"/>
  <c r="F33" i="14"/>
  <c r="F34" i="14"/>
  <c r="F35" i="14"/>
  <c r="F36" i="14"/>
  <c r="F37" i="14"/>
  <c r="F38" i="14"/>
  <c r="F39" i="14"/>
  <c r="F40" i="14"/>
  <c r="F41" i="14"/>
  <c r="F42" i="14"/>
  <c r="F43" i="14"/>
  <c r="F44" i="14"/>
  <c r="F45" i="14"/>
  <c r="F46" i="14"/>
  <c r="F47" i="14"/>
  <c r="F48" i="14"/>
  <c r="F49" i="14"/>
  <c r="F50" i="14"/>
  <c r="F51" i="14"/>
  <c r="F52" i="14"/>
  <c r="F53" i="14"/>
  <c r="F54" i="14"/>
  <c r="F55" i="14"/>
  <c r="F56" i="14"/>
  <c r="F57" i="14"/>
  <c r="F7" i="14"/>
  <c r="E8" i="14" a="1"/>
  <c r="E8" i="14" s="1"/>
  <c r="E9" i="14" a="1"/>
  <c r="E9" i="14" s="1"/>
  <c r="E10" i="14" a="1"/>
  <c r="E10" i="14" s="1"/>
  <c r="E11" i="14" a="1"/>
  <c r="E11" i="14" s="1"/>
  <c r="E12" i="14" a="1"/>
  <c r="E12" i="14" s="1"/>
  <c r="E13" i="14" a="1"/>
  <c r="E13" i="14" s="1"/>
  <c r="E14" i="14" a="1"/>
  <c r="E14" i="14" s="1"/>
  <c r="E15" i="14" a="1"/>
  <c r="E15" i="14" s="1"/>
  <c r="E16" i="14" a="1"/>
  <c r="E16" i="14" s="1"/>
  <c r="E17" i="14" a="1"/>
  <c r="E17" i="14" s="1"/>
  <c r="E18" i="14" a="1"/>
  <c r="E18" i="14" s="1"/>
  <c r="E19" i="14" a="1"/>
  <c r="E19" i="14" s="1"/>
  <c r="E20" i="14" a="1"/>
  <c r="E20" i="14" s="1"/>
  <c r="E21" i="14" a="1"/>
  <c r="E21" i="14" s="1"/>
  <c r="E22" i="14" a="1"/>
  <c r="E22" i="14" s="1"/>
  <c r="E23" i="14" a="1"/>
  <c r="E23" i="14" s="1"/>
  <c r="E24" i="14" a="1"/>
  <c r="E24" i="14" s="1"/>
  <c r="E25" i="14" a="1"/>
  <c r="E25" i="14" s="1"/>
  <c r="E26" i="14" a="1"/>
  <c r="E26" i="14" s="1"/>
  <c r="E27" i="14" a="1"/>
  <c r="E27" i="14" s="1"/>
  <c r="E28" i="14" a="1"/>
  <c r="E28" i="14" s="1"/>
  <c r="E29" i="14" a="1"/>
  <c r="E29" i="14" s="1"/>
  <c r="E30" i="14" a="1"/>
  <c r="E30" i="14" s="1"/>
  <c r="E31" i="14" a="1"/>
  <c r="E31" i="14" s="1"/>
  <c r="E32" i="14" a="1"/>
  <c r="E32" i="14" s="1"/>
  <c r="E33" i="14" a="1"/>
  <c r="E33" i="14" s="1"/>
  <c r="E34" i="14" a="1"/>
  <c r="E34" i="14" s="1"/>
  <c r="E35" i="14" a="1"/>
  <c r="E35" i="14" s="1"/>
  <c r="E36" i="14" a="1"/>
  <c r="E36" i="14" s="1"/>
  <c r="E37" i="14" a="1"/>
  <c r="E37" i="14" s="1"/>
  <c r="E38" i="14" a="1"/>
  <c r="E38" i="14" s="1"/>
  <c r="E39" i="14" a="1"/>
  <c r="E39" i="14" s="1"/>
  <c r="E40" i="14" a="1"/>
  <c r="E40" i="14" s="1"/>
  <c r="E41" i="14" a="1"/>
  <c r="E41" i="14" s="1"/>
  <c r="E42" i="14" a="1"/>
  <c r="E42" i="14" s="1"/>
  <c r="E43" i="14" a="1"/>
  <c r="E43" i="14" s="1"/>
  <c r="E44" i="14" a="1"/>
  <c r="E44" i="14" s="1"/>
  <c r="E45" i="14" a="1"/>
  <c r="E45" i="14" s="1"/>
  <c r="E46" i="14" a="1"/>
  <c r="E46" i="14" s="1"/>
  <c r="E47" i="14" a="1"/>
  <c r="E47" i="14" s="1"/>
  <c r="E48" i="14" a="1"/>
  <c r="E48" i="14" s="1"/>
  <c r="E49" i="14" a="1"/>
  <c r="E49" i="14" s="1"/>
  <c r="E50" i="14" a="1"/>
  <c r="E50" i="14" s="1"/>
  <c r="E51" i="14" a="1"/>
  <c r="E51" i="14" s="1"/>
  <c r="E52" i="14" a="1"/>
  <c r="E52" i="14" s="1"/>
  <c r="E53" i="14" a="1"/>
  <c r="E53" i="14" s="1"/>
  <c r="E54" i="14" a="1"/>
  <c r="E54" i="14" s="1"/>
  <c r="E55" i="14" a="1"/>
  <c r="E55" i="14" s="1"/>
  <c r="E56" i="14" a="1"/>
  <c r="E56" i="14" s="1"/>
  <c r="E57" i="14" a="1"/>
  <c r="E57" i="14" s="1"/>
  <c r="E7" i="14" a="1"/>
  <c r="E7" i="14" s="1"/>
  <c r="D8" i="14" a="1"/>
  <c r="D8" i="14" s="1"/>
  <c r="D9" i="14" a="1"/>
  <c r="D9" i="14" s="1"/>
  <c r="D10" i="14" a="1"/>
  <c r="D10" i="14" s="1"/>
  <c r="D11" i="14" a="1"/>
  <c r="D11" i="14" s="1"/>
  <c r="D12" i="14" a="1"/>
  <c r="D12" i="14" s="1"/>
  <c r="D13" i="14" a="1"/>
  <c r="D13" i="14" s="1"/>
  <c r="D14" i="14" a="1"/>
  <c r="D14" i="14" s="1"/>
  <c r="D15" i="14" a="1"/>
  <c r="D15" i="14" s="1"/>
  <c r="D16" i="14" a="1"/>
  <c r="D16" i="14" s="1"/>
  <c r="D17" i="14" a="1"/>
  <c r="D17" i="14" s="1"/>
  <c r="D18" i="14" a="1"/>
  <c r="D18" i="14" s="1"/>
  <c r="D19" i="14" a="1"/>
  <c r="D19" i="14" s="1"/>
  <c r="D20" i="14" a="1"/>
  <c r="D20" i="14" s="1"/>
  <c r="D21" i="14" a="1"/>
  <c r="D21" i="14" s="1"/>
  <c r="D22" i="14" a="1"/>
  <c r="D22" i="14" s="1"/>
  <c r="D23" i="14" a="1"/>
  <c r="D23" i="14" s="1"/>
  <c r="D24" i="14" a="1"/>
  <c r="D24" i="14" s="1"/>
  <c r="D25" i="14" a="1"/>
  <c r="D25" i="14" s="1"/>
  <c r="D26" i="14" a="1"/>
  <c r="D26" i="14" s="1"/>
  <c r="D27" i="14" a="1"/>
  <c r="D27" i="14" s="1"/>
  <c r="D28" i="14" a="1"/>
  <c r="D28" i="14" s="1"/>
  <c r="D29" i="14" a="1"/>
  <c r="D29" i="14" s="1"/>
  <c r="D30" i="14" a="1"/>
  <c r="D30" i="14" s="1"/>
  <c r="D31" i="14" a="1"/>
  <c r="D31" i="14" s="1"/>
  <c r="D32" i="14" a="1"/>
  <c r="D32" i="14" s="1"/>
  <c r="D33" i="14" a="1"/>
  <c r="D33" i="14" s="1"/>
  <c r="D34" i="14" a="1"/>
  <c r="D34" i="14" s="1"/>
  <c r="D35" i="14" a="1"/>
  <c r="D35" i="14" s="1"/>
  <c r="D36" i="14" a="1"/>
  <c r="D36" i="14" s="1"/>
  <c r="D37" i="14" a="1"/>
  <c r="D37" i="14" s="1"/>
  <c r="D38" i="14" a="1"/>
  <c r="D38" i="14" s="1"/>
  <c r="D39" i="14" a="1"/>
  <c r="D39" i="14" s="1"/>
  <c r="D40" i="14" a="1"/>
  <c r="D40" i="14" s="1"/>
  <c r="D41" i="14" a="1"/>
  <c r="D41" i="14" s="1"/>
  <c r="D42" i="14" a="1"/>
  <c r="D42" i="14" s="1"/>
  <c r="D43" i="14" a="1"/>
  <c r="D43" i="14" s="1"/>
  <c r="D44" i="14" a="1"/>
  <c r="D44" i="14" s="1"/>
  <c r="D45" i="14" a="1"/>
  <c r="D45" i="14" s="1"/>
  <c r="D46" i="14" a="1"/>
  <c r="D46" i="14" s="1"/>
  <c r="D47" i="14" a="1"/>
  <c r="D47" i="14" s="1"/>
  <c r="D48" i="14" a="1"/>
  <c r="D48" i="14" s="1"/>
  <c r="D49" i="14" a="1"/>
  <c r="D49" i="14" s="1"/>
  <c r="D50" i="14" a="1"/>
  <c r="D50" i="14" s="1"/>
  <c r="D51" i="14" a="1"/>
  <c r="D51" i="14" s="1"/>
  <c r="D52" i="14" a="1"/>
  <c r="D52" i="14" s="1"/>
  <c r="D53" i="14" a="1"/>
  <c r="D53" i="14" s="1"/>
  <c r="D54" i="14" a="1"/>
  <c r="D54" i="14" s="1"/>
  <c r="D55" i="14" a="1"/>
  <c r="D55" i="14" s="1"/>
  <c r="D56" i="14" a="1"/>
  <c r="D56" i="14" s="1"/>
  <c r="D57" i="14" a="1"/>
  <c r="D57" i="14" s="1"/>
  <c r="D7" i="14" a="1"/>
  <c r="D7" i="14" s="1"/>
  <c r="C8" i="14" a="1"/>
  <c r="C8" i="14" s="1"/>
  <c r="C9" i="14" a="1"/>
  <c r="C9" i="14" s="1"/>
  <c r="C10" i="14" a="1"/>
  <c r="C10" i="14" s="1"/>
  <c r="C11" i="14" a="1"/>
  <c r="C11" i="14" s="1"/>
  <c r="C12" i="14" a="1"/>
  <c r="C12" i="14" s="1"/>
  <c r="C13" i="14" a="1"/>
  <c r="C13" i="14" s="1"/>
  <c r="C14" i="14" a="1"/>
  <c r="C14" i="14" s="1"/>
  <c r="C15" i="14" a="1"/>
  <c r="C15" i="14" s="1"/>
  <c r="C16" i="14" a="1"/>
  <c r="C16" i="14" s="1"/>
  <c r="C17" i="14" a="1"/>
  <c r="C17" i="14" s="1"/>
  <c r="C18" i="14" a="1"/>
  <c r="C18" i="14" s="1"/>
  <c r="C19" i="14" a="1"/>
  <c r="C19" i="14" s="1"/>
  <c r="C20" i="14" a="1"/>
  <c r="C20" i="14" s="1"/>
  <c r="C21" i="14" a="1"/>
  <c r="C21" i="14" s="1"/>
  <c r="C22" i="14" a="1"/>
  <c r="C22" i="14" s="1"/>
  <c r="C23" i="14" a="1"/>
  <c r="C23" i="14" s="1"/>
  <c r="C24" i="14" a="1"/>
  <c r="C24" i="14" s="1"/>
  <c r="C25" i="14" a="1"/>
  <c r="C25" i="14" s="1"/>
  <c r="C26" i="14" a="1"/>
  <c r="C26" i="14" s="1"/>
  <c r="C27" i="14" a="1"/>
  <c r="C27" i="14" s="1"/>
  <c r="C28" i="14" a="1"/>
  <c r="C28" i="14" s="1"/>
  <c r="C29" i="14" a="1"/>
  <c r="C29" i="14" s="1"/>
  <c r="C30" i="14" a="1"/>
  <c r="C30" i="14" s="1"/>
  <c r="C31" i="14" a="1"/>
  <c r="C31" i="14" s="1"/>
  <c r="C32" i="14" a="1"/>
  <c r="C32" i="14" s="1"/>
  <c r="C33" i="14" a="1"/>
  <c r="C33" i="14" s="1"/>
  <c r="C34" i="14" a="1"/>
  <c r="C34" i="14" s="1"/>
  <c r="C35" i="14" a="1"/>
  <c r="C35" i="14" s="1"/>
  <c r="C36" i="14" a="1"/>
  <c r="C36" i="14" s="1"/>
  <c r="C37" i="14" a="1"/>
  <c r="C37" i="14" s="1"/>
  <c r="C38" i="14" a="1"/>
  <c r="C38" i="14" s="1"/>
  <c r="C39" i="14" a="1"/>
  <c r="C39" i="14" s="1"/>
  <c r="C40" i="14" a="1"/>
  <c r="C40" i="14" s="1"/>
  <c r="C41" i="14" a="1"/>
  <c r="C41" i="14" s="1"/>
  <c r="C42" i="14" a="1"/>
  <c r="C42" i="14" s="1"/>
  <c r="C43" i="14" a="1"/>
  <c r="C43" i="14" s="1"/>
  <c r="C44" i="14" a="1"/>
  <c r="C44" i="14" s="1"/>
  <c r="C45" i="14" a="1"/>
  <c r="C45" i="14" s="1"/>
  <c r="C46" i="14" a="1"/>
  <c r="C46" i="14" s="1"/>
  <c r="C47" i="14" a="1"/>
  <c r="C47" i="14" s="1"/>
  <c r="C48" i="14" a="1"/>
  <c r="C48" i="14" s="1"/>
  <c r="C49" i="14" a="1"/>
  <c r="C49" i="14" s="1"/>
  <c r="C50" i="14" a="1"/>
  <c r="C50" i="14" s="1"/>
  <c r="C51" i="14" a="1"/>
  <c r="C51" i="14" s="1"/>
  <c r="C52" i="14" a="1"/>
  <c r="C52" i="14" s="1"/>
  <c r="C53" i="14" a="1"/>
  <c r="C53" i="14" s="1"/>
  <c r="C54" i="14" a="1"/>
  <c r="C54" i="14" s="1"/>
  <c r="C55" i="14" a="1"/>
  <c r="C55" i="14" s="1"/>
  <c r="C56" i="14" a="1"/>
  <c r="C56" i="14" s="1"/>
  <c r="C57" i="14" a="1"/>
  <c r="C57" i="14" s="1"/>
  <c r="C7" i="14" a="1"/>
  <c r="C7" i="14" s="1"/>
  <c r="H21" i="16" l="1"/>
  <c r="K3" i="16" s="1"/>
  <c r="I21" i="16"/>
  <c r="L2" i="16" s="1"/>
  <c r="H22" i="16"/>
  <c r="I22" i="16"/>
  <c r="L19" i="16" l="1"/>
  <c r="L17" i="16"/>
  <c r="L15" i="16"/>
  <c r="L13" i="16"/>
  <c r="L11" i="16"/>
  <c r="L9" i="16"/>
  <c r="L7" i="16"/>
  <c r="L5" i="16"/>
  <c r="L3" i="16"/>
  <c r="K18" i="16"/>
  <c r="K16" i="16"/>
  <c r="K14" i="16"/>
  <c r="K12" i="16"/>
  <c r="K10" i="16"/>
  <c r="K8" i="16"/>
  <c r="K6" i="16"/>
  <c r="K4" i="16"/>
  <c r="K2" i="16"/>
  <c r="K19" i="16"/>
  <c r="K17" i="16"/>
  <c r="K15" i="16"/>
  <c r="K13" i="16"/>
  <c r="K11" i="16"/>
  <c r="K9" i="16"/>
  <c r="K7" i="16"/>
  <c r="K5" i="16"/>
  <c r="L18" i="16"/>
  <c r="L16" i="16"/>
  <c r="L14" i="16"/>
  <c r="L12" i="16"/>
  <c r="L10" i="16"/>
  <c r="L8" i="16"/>
  <c r="L6" i="16"/>
  <c r="L4" i="16"/>
</calcChain>
</file>

<file path=xl/sharedStrings.xml><?xml version="1.0" encoding="utf-8"?>
<sst xmlns="http://schemas.openxmlformats.org/spreadsheetml/2006/main" count="631" uniqueCount="149">
  <si>
    <t>N</t>
  </si>
  <si>
    <t>Problem 1</t>
  </si>
  <si>
    <t>Problem 2</t>
  </si>
  <si>
    <t>ULID:</t>
  </si>
  <si>
    <t>Time</t>
  </si>
  <si>
    <t>Name</t>
  </si>
  <si>
    <t xml:space="preserve">The data from homework2 is contained in the "HW2 Data" tab.The spreadsheet from </t>
  </si>
  <si>
    <t xml:space="preserve">SUMIF or SUMIFS. Please do NOT create any temporary columns on the data tab. </t>
  </si>
  <si>
    <t>Formatting won't be graded as it was last week, however it is good practice to formatappropriately.</t>
  </si>
  <si>
    <t>W</t>
  </si>
  <si>
    <t>Policies Without Water Coverage</t>
  </si>
  <si>
    <t>Policies With Water Coverage</t>
  </si>
  <si>
    <t>Exposure</t>
  </si>
  <si>
    <t>Claim</t>
  </si>
  <si>
    <t>Loss</t>
  </si>
  <si>
    <t>Pure</t>
  </si>
  <si>
    <t>Frequency</t>
  </si>
  <si>
    <t>P. Prem.</t>
  </si>
  <si>
    <t>State</t>
  </si>
  <si>
    <t>Units</t>
  </si>
  <si>
    <t>Counts</t>
  </si>
  <si>
    <t>Amount</t>
  </si>
  <si>
    <t>Premium</t>
  </si>
  <si>
    <t>Difference</t>
  </si>
  <si>
    <t>AL</t>
  </si>
  <si>
    <t>AK</t>
  </si>
  <si>
    <t>AZ</t>
  </si>
  <si>
    <t>AR</t>
  </si>
  <si>
    <t>CA</t>
  </si>
  <si>
    <t>CO</t>
  </si>
  <si>
    <t>CT</t>
  </si>
  <si>
    <t>DE</t>
  </si>
  <si>
    <t>DC</t>
  </si>
  <si>
    <t>FL</t>
  </si>
  <si>
    <t>GA</t>
  </si>
  <si>
    <t>HI</t>
  </si>
  <si>
    <t>ID</t>
  </si>
  <si>
    <t>IL</t>
  </si>
  <si>
    <t>IN</t>
  </si>
  <si>
    <t>IA</t>
  </si>
  <si>
    <t>KS</t>
  </si>
  <si>
    <t>KY</t>
  </si>
  <si>
    <t>LA</t>
  </si>
  <si>
    <t>ME</t>
  </si>
  <si>
    <t>MD</t>
  </si>
  <si>
    <t>MA</t>
  </si>
  <si>
    <t>MI</t>
  </si>
  <si>
    <t>MN</t>
  </si>
  <si>
    <t>MS</t>
  </si>
  <si>
    <t>MO</t>
  </si>
  <si>
    <t>MT</t>
  </si>
  <si>
    <t>NE</t>
  </si>
  <si>
    <t>NV</t>
  </si>
  <si>
    <t>NH</t>
  </si>
  <si>
    <t>NJ</t>
  </si>
  <si>
    <t>NM</t>
  </si>
  <si>
    <t>NY</t>
  </si>
  <si>
    <t>NC</t>
  </si>
  <si>
    <t>ND</t>
  </si>
  <si>
    <t>OH</t>
  </si>
  <si>
    <t>OK</t>
  </si>
  <si>
    <t>OR</t>
  </si>
  <si>
    <t>PA</t>
  </si>
  <si>
    <t>RI</t>
  </si>
  <si>
    <t>SC</t>
  </si>
  <si>
    <t>SD</t>
  </si>
  <si>
    <t>TN</t>
  </si>
  <si>
    <t>TX</t>
  </si>
  <si>
    <t>UT</t>
  </si>
  <si>
    <t>VT</t>
  </si>
  <si>
    <t>VA</t>
  </si>
  <si>
    <t>WA</t>
  </si>
  <si>
    <t>WV</t>
  </si>
  <si>
    <t>WI</t>
  </si>
  <si>
    <t>WY</t>
  </si>
  <si>
    <t>STATE</t>
  </si>
  <si>
    <t>DIVISION</t>
  </si>
  <si>
    <t>DEDUCTIBLE</t>
  </si>
  <si>
    <t>EXPOSURE UNITS</t>
  </si>
  <si>
    <t>CLAIM COUNTS</t>
  </si>
  <si>
    <t>LOSS AMOUNT</t>
  </si>
  <si>
    <t>PREMIUM</t>
  </si>
  <si>
    <t>500N</t>
  </si>
  <si>
    <t>500W</t>
  </si>
  <si>
    <t>1000N</t>
  </si>
  <si>
    <t>1000W</t>
  </si>
  <si>
    <t xml:space="preserve">is shown on this week's problem 1. Fill out the spreadsheet using array formulas, rather than </t>
  </si>
  <si>
    <t>09-27-13 10 24 42 AM</t>
  </si>
  <si>
    <t>pl6y</t>
  </si>
  <si>
    <t xml:space="preserve">The output of problem 2 is shown on the problem 3 tab.  There also columns shown for the fitted frequency and severity.  </t>
  </si>
  <si>
    <t>Take note of the way these have been calculated for future reference.</t>
  </si>
  <si>
    <t xml:space="preserve">Create a graph which shows the actual claim frequency and the actual claim severity on the y axis.  </t>
  </si>
  <si>
    <t xml:space="preserve">Because the scale for each of these series is so different, use two different axes to show the different series.  </t>
  </si>
  <si>
    <t xml:space="preserve">The x axis should show the period # (cloumn A).  Each series should display as points, with connecting lines.  </t>
  </si>
  <si>
    <t>intercept</t>
  </si>
  <si>
    <t>slope</t>
  </si>
  <si>
    <t>2006 Q1</t>
  </si>
  <si>
    <t>COMP</t>
  </si>
  <si>
    <t>2005 Q4</t>
  </si>
  <si>
    <t>2005 Q3</t>
  </si>
  <si>
    <t>2005 Q2</t>
  </si>
  <si>
    <t>2005 Q1</t>
  </si>
  <si>
    <t>2004 Q4</t>
  </si>
  <si>
    <t>2004 Q3</t>
  </si>
  <si>
    <t>2004 Q2</t>
  </si>
  <si>
    <t>2004 Q1</t>
  </si>
  <si>
    <t>2003 Q4</t>
  </si>
  <si>
    <t>2003 Q3</t>
  </si>
  <si>
    <t>2003 Q2</t>
  </si>
  <si>
    <t>2003 Q1</t>
  </si>
  <si>
    <t>2002 Q4</t>
  </si>
  <si>
    <t>2002 Q3</t>
  </si>
  <si>
    <t>2002 Q2</t>
  </si>
  <si>
    <t>2002 Q1</t>
  </si>
  <si>
    <t>2001 Q4</t>
  </si>
  <si>
    <t>Fitted Sev.</t>
  </si>
  <si>
    <t>Fitted Freq</t>
  </si>
  <si>
    <t>Pure Premium</t>
  </si>
  <si>
    <t>Severity</t>
  </si>
  <si>
    <t>Paid Amount</t>
  </si>
  <si>
    <t>Claim Count</t>
  </si>
  <si>
    <t>Car Years</t>
  </si>
  <si>
    <t>YYYYQ</t>
  </si>
  <si>
    <t>Cov</t>
  </si>
  <si>
    <t>Period #</t>
  </si>
  <si>
    <t>2 pts</t>
  </si>
  <si>
    <t>Please label each series as frequency or severity as appropriate.  Create the graph and saved in Problem 2 tab.</t>
  </si>
  <si>
    <t>Enter your ULID in cell B4</t>
  </si>
  <si>
    <t>You can use the Right() function to parse out the with/without water coverage in the if condition. (RIGHT(C2:C213,1)="N")</t>
  </si>
  <si>
    <t>Noticed this is a advantage over SUMIF, as it can't parse the last letter.</t>
  </si>
  <si>
    <t>02-21-14 06 37 28 PM</t>
  </si>
  <si>
    <t>PL6Y</t>
  </si>
  <si>
    <t>02-21-14 06 38 17 PM</t>
  </si>
  <si>
    <r>
      <t xml:space="preserve"> The answers for all problems should either be recorded in the tab for that problem.  Please save file as ' </t>
    </r>
    <r>
      <rPr>
        <b/>
        <sz val="10"/>
        <rFont val="Arial"/>
        <family val="2"/>
      </rPr>
      <t>FirstName LastName HW4</t>
    </r>
    <r>
      <rPr>
        <sz val="10"/>
        <rFont val="Arial"/>
        <family val="2"/>
      </rPr>
      <t>'. Upload the homework on ReggieNet.</t>
    </r>
  </si>
  <si>
    <t>02-21-14 06 38 31 PM</t>
  </si>
  <si>
    <t>Problem 3</t>
  </si>
  <si>
    <t>If you already done it in HW3, you don't need to do problem 3.</t>
  </si>
  <si>
    <t xml:space="preserve">On the “Problem 1” tab, column A contains a text string that’s a concatenation of 4 different fields: Policy_Num, Effective_Date, Expiration_Date, Premium.  Use comma (,) as delimiter to separate them into 4 columns. You can use any tool or functions within Excel to do it.  </t>
  </si>
  <si>
    <t>1 pt</t>
  </si>
  <si>
    <r>
      <t xml:space="preserve">Complete the following instructions, and upload this spreadsheet by </t>
    </r>
    <r>
      <rPr>
        <b/>
        <sz val="10"/>
        <rFont val="Arial"/>
        <family val="2"/>
      </rPr>
      <t>11:59 pm next Thursday</t>
    </r>
  </si>
  <si>
    <t>Policy_NUM</t>
  </si>
  <si>
    <t>Effective_date</t>
  </si>
  <si>
    <t>Expiration_Date</t>
  </si>
  <si>
    <t>09-20-15 04 41 58 PM</t>
  </si>
  <si>
    <t>Sarah</t>
  </si>
  <si>
    <t>09-20-15 04 42 00 PM</t>
  </si>
  <si>
    <t>09-21-15 10 14 19 PM</t>
  </si>
  <si>
    <t>09-21-15 10 14 39 PM</t>
  </si>
  <si>
    <t>09-21-15 10 14 40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</si>
</sst>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"/>
  </numFmts>
  <fonts count="9" x14ac:knownFonts="1">
    <font>
      <sz val="10"/>
      <name val="Arial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1"/>
      <color rgb="FF9C6500"/>
      <name val="Calibri"/>
      <family val="2"/>
      <scheme val="minor"/>
    </font>
    <font>
      <u/>
      <sz val="10"/>
      <name val="Arial"/>
      <family val="2"/>
    </font>
    <font>
      <sz val="10"/>
      <name val="MS Sans Serif"/>
      <family val="2"/>
    </font>
    <font>
      <sz val="12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EB9C"/>
      </patternFill>
    </fill>
  </fills>
  <borders count="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</borders>
  <cellStyleXfs count="9">
    <xf numFmtId="0" fontId="0" fillId="0" borderId="0"/>
    <xf numFmtId="0" fontId="5" fillId="2" borderId="0" applyNumberFormat="0" applyBorder="0" applyAlignment="0" applyProtection="0"/>
    <xf numFmtId="0" fontId="4" fillId="0" borderId="0"/>
    <xf numFmtId="44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7" fillId="0" borderId="0"/>
    <xf numFmtId="0" fontId="1" fillId="0" borderId="0"/>
    <xf numFmtId="43" fontId="4" fillId="0" borderId="0" applyFont="0" applyFill="0" applyBorder="0" applyAlignment="0" applyProtection="0"/>
    <xf numFmtId="0" fontId="4" fillId="0" borderId="0"/>
  </cellStyleXfs>
  <cellXfs count="44">
    <xf numFmtId="0" fontId="0" fillId="0" borderId="0" xfId="0"/>
    <xf numFmtId="0" fontId="0" fillId="0" borderId="0" xfId="0" applyNumberFormat="1"/>
    <xf numFmtId="0" fontId="3" fillId="0" borderId="0" xfId="0" applyFont="1"/>
    <xf numFmtId="0" fontId="3" fillId="0" borderId="0" xfId="0" applyFont="1" applyAlignment="1">
      <alignment horizontal="right"/>
    </xf>
    <xf numFmtId="0" fontId="4" fillId="0" borderId="0" xfId="0" applyFont="1"/>
    <xf numFmtId="0" fontId="0" fillId="0" borderId="2" xfId="0" applyBorder="1"/>
    <xf numFmtId="0" fontId="4" fillId="0" borderId="0" xfId="0" applyNumberFormat="1" applyFont="1"/>
    <xf numFmtId="0" fontId="6" fillId="0" borderId="0" xfId="2" applyFont="1"/>
    <xf numFmtId="0" fontId="4" fillId="0" borderId="0" xfId="2" applyFont="1" applyAlignment="1">
      <alignment horizontal="center"/>
    </xf>
    <xf numFmtId="44" fontId="4" fillId="0" borderId="0" xfId="3" quotePrefix="1" applyFont="1" applyAlignment="1">
      <alignment horizontal="center"/>
    </xf>
    <xf numFmtId="10" fontId="4" fillId="0" borderId="0" xfId="4" quotePrefix="1" applyNumberFormat="1" applyFont="1" applyAlignment="1">
      <alignment horizontal="center"/>
    </xf>
    <xf numFmtId="44" fontId="6" fillId="0" borderId="0" xfId="3" applyFont="1" applyAlignment="1">
      <alignment horizontal="center"/>
    </xf>
    <xf numFmtId="0" fontId="6" fillId="0" borderId="0" xfId="2" applyFont="1" applyAlignment="1">
      <alignment horizontal="center"/>
    </xf>
    <xf numFmtId="44" fontId="4" fillId="0" borderId="0" xfId="3" applyFont="1" applyAlignment="1">
      <alignment horizontal="center"/>
    </xf>
    <xf numFmtId="10" fontId="4" fillId="0" borderId="0" xfId="4" applyNumberFormat="1" applyFont="1" applyAlignment="1">
      <alignment horizontal="center"/>
    </xf>
    <xf numFmtId="0" fontId="4" fillId="0" borderId="0" xfId="2"/>
    <xf numFmtId="0" fontId="4" fillId="0" borderId="1" xfId="2" applyBorder="1" applyAlignment="1">
      <alignment horizontal="centerContinuous"/>
    </xf>
    <xf numFmtId="44" fontId="0" fillId="0" borderId="1" xfId="3" applyFont="1" applyBorder="1" applyAlignment="1">
      <alignment horizontal="centerContinuous"/>
    </xf>
    <xf numFmtId="10" fontId="0" fillId="0" borderId="1" xfId="4" applyNumberFormat="1" applyFont="1" applyBorder="1" applyAlignment="1">
      <alignment horizontal="centerContinuous"/>
    </xf>
    <xf numFmtId="0" fontId="4" fillId="0" borderId="0" xfId="2" applyAlignment="1">
      <alignment horizontal="center"/>
    </xf>
    <xf numFmtId="44" fontId="0" fillId="0" borderId="0" xfId="3" applyFont="1" applyAlignment="1">
      <alignment horizontal="center"/>
    </xf>
    <xf numFmtId="10" fontId="0" fillId="0" borderId="0" xfId="4" applyNumberFormat="1" applyFont="1" applyAlignment="1">
      <alignment horizontal="center"/>
    </xf>
    <xf numFmtId="10" fontId="6" fillId="0" borderId="0" xfId="4" applyNumberFormat="1" applyFont="1" applyAlignment="1">
      <alignment horizontal="center"/>
    </xf>
    <xf numFmtId="44" fontId="0" fillId="0" borderId="0" xfId="3" applyFont="1"/>
    <xf numFmtId="10" fontId="0" fillId="0" borderId="0" xfId="4" applyNumberFormat="1" applyFont="1"/>
    <xf numFmtId="10" fontId="4" fillId="0" borderId="0" xfId="2" applyNumberFormat="1"/>
    <xf numFmtId="44" fontId="4" fillId="0" borderId="0" xfId="2" applyNumberFormat="1"/>
    <xf numFmtId="4" fontId="4" fillId="0" borderId="0" xfId="2" applyNumberFormat="1"/>
    <xf numFmtId="0" fontId="4" fillId="0" borderId="0" xfId="2" applyAlignment="1"/>
    <xf numFmtId="0" fontId="4" fillId="0" borderId="0" xfId="2" quotePrefix="1"/>
    <xf numFmtId="3" fontId="4" fillId="0" borderId="0" xfId="2" applyNumberFormat="1"/>
    <xf numFmtId="0" fontId="5" fillId="2" borderId="0" xfId="1"/>
    <xf numFmtId="3" fontId="5" fillId="2" borderId="0" xfId="1" applyNumberFormat="1"/>
    <xf numFmtId="0" fontId="5" fillId="2" borderId="0" xfId="1" quotePrefix="1"/>
    <xf numFmtId="4" fontId="4" fillId="0" borderId="3" xfId="2" applyNumberFormat="1" applyBorder="1" applyAlignment="1"/>
    <xf numFmtId="4" fontId="4" fillId="0" borderId="4" xfId="2" applyNumberFormat="1" applyBorder="1" applyAlignment="1"/>
    <xf numFmtId="4" fontId="4" fillId="0" borderId="5" xfId="2" applyNumberFormat="1" applyBorder="1"/>
    <xf numFmtId="4" fontId="4" fillId="0" borderId="6" xfId="2" applyNumberFormat="1" applyBorder="1"/>
    <xf numFmtId="0" fontId="7" fillId="0" borderId="0" xfId="5" applyNumberFormat="1"/>
    <xf numFmtId="0" fontId="7" fillId="0" borderId="0" xfId="5" quotePrefix="1" applyNumberFormat="1"/>
    <xf numFmtId="0" fontId="4" fillId="0" borderId="0" xfId="0" applyFont="1" applyAlignment="1">
      <alignment horizontal="right"/>
    </xf>
    <xf numFmtId="0" fontId="1" fillId="0" borderId="0" xfId="6"/>
    <xf numFmtId="164" fontId="4" fillId="0" borderId="0" xfId="2" applyNumberFormat="1"/>
    <xf numFmtId="0" fontId="8" fillId="0" borderId="0" xfId="0" applyFont="1" applyAlignment="1">
      <alignment horizontal="left" vertical="top" wrapText="1"/>
    </xf>
  </cellXfs>
  <cellStyles count="9">
    <cellStyle name="Comma 2" xfId="7"/>
    <cellStyle name="Currency 2" xfId="3"/>
    <cellStyle name="Neutral" xfId="1" builtinId="28"/>
    <cellStyle name="Normal" xfId="0" builtinId="0"/>
    <cellStyle name="Normal 2" xfId="2"/>
    <cellStyle name="Normal 3" xfId="8"/>
    <cellStyle name="Normal 4" xfId="6"/>
    <cellStyle name="Normal_FTdata" xfId="5"/>
    <cellStyle name="Percent 2" xfId="4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1"/>
          <c:tx>
            <c:strRef>
              <c:f>'Problem 3'!$I$1</c:f>
              <c:strCache>
                <c:ptCount val="1"/>
                <c:pt idx="0">
                  <c:v>Severity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8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'Problem 3'!$I$2:$I$22</c15:sqref>
                  </c15:fullRef>
                </c:ext>
              </c:extLst>
              <c:f>'Problem 3'!$I$2:$I$19</c:f>
              <c:numCache>
                <c:formatCode>General</c:formatCode>
                <c:ptCount val="18"/>
                <c:pt idx="0">
                  <c:v>1082.0173287365942</c:v>
                </c:pt>
                <c:pt idx="1">
                  <c:v>1121.8591748483777</c:v>
                </c:pt>
                <c:pt idx="2">
                  <c:v>1141.0554735595128</c:v>
                </c:pt>
                <c:pt idx="3">
                  <c:v>1109.8733534121479</c:v>
                </c:pt>
                <c:pt idx="4">
                  <c:v>1094.5900180872711</c:v>
                </c:pt>
                <c:pt idx="5">
                  <c:v>1097.228965137439</c:v>
                </c:pt>
                <c:pt idx="6">
                  <c:v>1051.3328732613297</c:v>
                </c:pt>
                <c:pt idx="7">
                  <c:v>1278.8733268955739</c:v>
                </c:pt>
                <c:pt idx="8">
                  <c:v>1309.7669439794595</c:v>
                </c:pt>
                <c:pt idx="9">
                  <c:v>1305.2935032567223</c:v>
                </c:pt>
                <c:pt idx="10">
                  <c:v>1289.5450816375774</c:v>
                </c:pt>
                <c:pt idx="11">
                  <c:v>1109.2358415355839</c:v>
                </c:pt>
                <c:pt idx="12">
                  <c:v>1104.6234273791729</c:v>
                </c:pt>
                <c:pt idx="13">
                  <c:v>1114.5087044783465</c:v>
                </c:pt>
                <c:pt idx="14">
                  <c:v>1083.2292000560162</c:v>
                </c:pt>
                <c:pt idx="15">
                  <c:v>1115.0693212328661</c:v>
                </c:pt>
                <c:pt idx="16">
                  <c:v>1157.9068842459401</c:v>
                </c:pt>
                <c:pt idx="17">
                  <c:v>1281.7434033885752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3421520"/>
        <c:axId val="423420736"/>
      </c:lineChart>
      <c:lineChart>
        <c:grouping val="standard"/>
        <c:varyColors val="0"/>
        <c:ser>
          <c:idx val="1"/>
          <c:order val="0"/>
          <c:tx>
            <c:strRef>
              <c:f>'Problem 3'!$H$1</c:f>
              <c:strCache>
                <c:ptCount val="1"/>
                <c:pt idx="0">
                  <c:v>Frequency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8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'Problem 3'!$H$2:$H$22</c15:sqref>
                  </c15:fullRef>
                </c:ext>
              </c:extLst>
              <c:f>'Problem 3'!$H$2:$H$19</c:f>
              <c:numCache>
                <c:formatCode>General</c:formatCode>
                <c:ptCount val="18"/>
                <c:pt idx="0">
                  <c:v>11.624510944274082</c:v>
                </c:pt>
                <c:pt idx="1">
                  <c:v>11.644775596295021</c:v>
                </c:pt>
                <c:pt idx="2">
                  <c:v>10.857855566672606</c:v>
                </c:pt>
                <c:pt idx="3">
                  <c:v>9.8346745035702465</c:v>
                </c:pt>
                <c:pt idx="4">
                  <c:v>9.3370543630621654</c:v>
                </c:pt>
                <c:pt idx="5">
                  <c:v>8.8417112661743786</c:v>
                </c:pt>
                <c:pt idx="6">
                  <c:v>7.9294208651745564</c:v>
                </c:pt>
                <c:pt idx="7">
                  <c:v>8.7214744279960517</c:v>
                </c:pt>
                <c:pt idx="8">
                  <c:v>8.4913080929958173</c:v>
                </c:pt>
                <c:pt idx="9">
                  <c:v>8.3342880484302881</c:v>
                </c:pt>
                <c:pt idx="10">
                  <c:v>7.9957812012643537</c:v>
                </c:pt>
                <c:pt idx="11">
                  <c:v>6.9979947793452615</c:v>
                </c:pt>
                <c:pt idx="12">
                  <c:v>6.8913050709421144</c:v>
                </c:pt>
                <c:pt idx="13">
                  <c:v>6.9668297731687483</c:v>
                </c:pt>
                <c:pt idx="14">
                  <c:v>6.8712859430897959</c:v>
                </c:pt>
                <c:pt idx="15">
                  <c:v>6.7893871120079909</c:v>
                </c:pt>
                <c:pt idx="16">
                  <c:v>6.7580431646115633</c:v>
                </c:pt>
                <c:pt idx="17">
                  <c:v>6.8620329643567333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3419168"/>
        <c:axId val="423418384"/>
      </c:lineChart>
      <c:catAx>
        <c:axId val="42342152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420736"/>
        <c:crosses val="autoZero"/>
        <c:auto val="1"/>
        <c:lblAlgn val="ctr"/>
        <c:lblOffset val="100"/>
        <c:noMultiLvlLbl val="0"/>
      </c:catAx>
      <c:valAx>
        <c:axId val="423420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421520"/>
        <c:crosses val="autoZero"/>
        <c:crossBetween val="between"/>
      </c:valAx>
      <c:valAx>
        <c:axId val="4234183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419168"/>
        <c:crosses val="max"/>
        <c:crossBetween val="between"/>
      </c:valAx>
      <c:catAx>
        <c:axId val="423419168"/>
        <c:scaling>
          <c:orientation val="minMax"/>
        </c:scaling>
        <c:delete val="1"/>
        <c:axPos val="b"/>
        <c:majorTickMark val="out"/>
        <c:minorTickMark val="none"/>
        <c:tickLblPos val="nextTo"/>
        <c:crossAx val="4234183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495300</xdr:colOff>
      <xdr:row>7</xdr:row>
      <xdr:rowOff>61912</xdr:rowOff>
    </xdr:from>
    <xdr:to>
      <xdr:col>10</xdr:col>
      <xdr:colOff>390525</xdr:colOff>
      <xdr:row>24</xdr:row>
      <xdr:rowOff>33337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B10"/>
  <sheetViews>
    <sheetView workbookViewId="0">
      <selection activeCell="A2" sqref="A2"/>
    </sheetView>
  </sheetViews>
  <sheetFormatPr defaultRowHeight="12.75" x14ac:dyDescent="0.2"/>
  <sheetData>
    <row r="1" spans="1:2" x14ac:dyDescent="0.2">
      <c r="A1" s="4" t="s">
        <v>4</v>
      </c>
      <c r="B1" s="4" t="s">
        <v>5</v>
      </c>
    </row>
    <row r="2" spans="1:2" x14ac:dyDescent="0.2">
      <c r="A2" t="s">
        <v>87</v>
      </c>
      <c r="B2" t="s">
        <v>88</v>
      </c>
    </row>
    <row r="3" spans="1:2" x14ac:dyDescent="0.2">
      <c r="A3" t="s">
        <v>130</v>
      </c>
      <c r="B3" t="s">
        <v>131</v>
      </c>
    </row>
    <row r="4" spans="1:2" x14ac:dyDescent="0.2">
      <c r="A4" t="s">
        <v>132</v>
      </c>
      <c r="B4" t="s">
        <v>131</v>
      </c>
    </row>
    <row r="5" spans="1:2" x14ac:dyDescent="0.2">
      <c r="A5" t="s">
        <v>134</v>
      </c>
      <c r="B5" t="s">
        <v>131</v>
      </c>
    </row>
    <row r="6" spans="1:2" x14ac:dyDescent="0.2">
      <c r="A6" t="s">
        <v>143</v>
      </c>
      <c r="B6" t="s">
        <v>144</v>
      </c>
    </row>
    <row r="7" spans="1:2" x14ac:dyDescent="0.2">
      <c r="A7" t="s">
        <v>145</v>
      </c>
      <c r="B7" t="s">
        <v>144</v>
      </c>
    </row>
    <row r="8" spans="1:2" x14ac:dyDescent="0.2">
      <c r="A8" t="s">
        <v>146</v>
      </c>
      <c r="B8" t="s">
        <v>144</v>
      </c>
    </row>
    <row r="9" spans="1:2" x14ac:dyDescent="0.2">
      <c r="A9" t="s">
        <v>147</v>
      </c>
      <c r="B9" t="s">
        <v>144</v>
      </c>
    </row>
    <row r="10" spans="1:2" x14ac:dyDescent="0.2">
      <c r="A10" t="s">
        <v>148</v>
      </c>
      <c r="B10" t="s">
        <v>144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32"/>
  <sheetViews>
    <sheetView tabSelected="1" zoomScaleNormal="100" workbookViewId="0">
      <selection activeCell="J11" sqref="J11"/>
    </sheetView>
  </sheetViews>
  <sheetFormatPr defaultRowHeight="12.75" x14ac:dyDescent="0.2"/>
  <cols>
    <col min="1" max="1" width="71" customWidth="1"/>
  </cols>
  <sheetData>
    <row r="1" spans="1:8" x14ac:dyDescent="0.2">
      <c r="A1" s="4" t="s">
        <v>139</v>
      </c>
    </row>
    <row r="2" spans="1:8" x14ac:dyDescent="0.2">
      <c r="A2" s="4" t="s">
        <v>133</v>
      </c>
    </row>
    <row r="3" spans="1:8" x14ac:dyDescent="0.2">
      <c r="A3" s="2" t="s">
        <v>127</v>
      </c>
    </row>
    <row r="4" spans="1:8" x14ac:dyDescent="0.2">
      <c r="A4" s="3" t="s">
        <v>3</v>
      </c>
      <c r="B4" s="5"/>
    </row>
    <row r="6" spans="1:8" ht="13.5" customHeight="1" x14ac:dyDescent="0.2">
      <c r="A6" s="2" t="s">
        <v>1</v>
      </c>
      <c r="B6" s="4" t="s">
        <v>138</v>
      </c>
    </row>
    <row r="7" spans="1:8" ht="63" customHeight="1" x14ac:dyDescent="0.2">
      <c r="A7" s="43" t="s">
        <v>137</v>
      </c>
      <c r="H7" s="1"/>
    </row>
    <row r="8" spans="1:8" x14ac:dyDescent="0.2">
      <c r="A8" s="43"/>
      <c r="H8" s="1"/>
    </row>
    <row r="9" spans="1:8" x14ac:dyDescent="0.2">
      <c r="A9" s="43"/>
    </row>
    <row r="10" spans="1:8" x14ac:dyDescent="0.2">
      <c r="A10" s="43"/>
    </row>
    <row r="11" spans="1:8" x14ac:dyDescent="0.2">
      <c r="A11" s="43"/>
    </row>
    <row r="12" spans="1:8" x14ac:dyDescent="0.2">
      <c r="A12" s="2" t="s">
        <v>2</v>
      </c>
      <c r="B12" s="3" t="s">
        <v>125</v>
      </c>
    </row>
    <row r="14" spans="1:8" x14ac:dyDescent="0.2">
      <c r="A14" s="6" t="s">
        <v>6</v>
      </c>
    </row>
    <row r="15" spans="1:8" x14ac:dyDescent="0.2">
      <c r="A15" s="6" t="s">
        <v>86</v>
      </c>
    </row>
    <row r="16" spans="1:8" x14ac:dyDescent="0.2">
      <c r="A16" s="4" t="s">
        <v>7</v>
      </c>
    </row>
    <row r="17" spans="1:2" x14ac:dyDescent="0.2">
      <c r="A17" s="4" t="s">
        <v>128</v>
      </c>
    </row>
    <row r="18" spans="1:2" x14ac:dyDescent="0.2">
      <c r="A18" s="4" t="s">
        <v>129</v>
      </c>
    </row>
    <row r="19" spans="1:2" x14ac:dyDescent="0.2">
      <c r="A19" t="s">
        <v>8</v>
      </c>
    </row>
    <row r="22" spans="1:2" x14ac:dyDescent="0.2">
      <c r="A22" s="2" t="s">
        <v>135</v>
      </c>
      <c r="B22" s="40" t="s">
        <v>125</v>
      </c>
    </row>
    <row r="24" spans="1:2" x14ac:dyDescent="0.2">
      <c r="A24" s="4" t="s">
        <v>89</v>
      </c>
      <c r="B24" s="2"/>
    </row>
    <row r="25" spans="1:2" x14ac:dyDescent="0.2">
      <c r="A25" s="4" t="s">
        <v>90</v>
      </c>
    </row>
    <row r="27" spans="1:2" x14ac:dyDescent="0.2">
      <c r="A27" s="4" t="s">
        <v>91</v>
      </c>
    </row>
    <row r="28" spans="1:2" x14ac:dyDescent="0.2">
      <c r="A28" s="4" t="s">
        <v>92</v>
      </c>
    </row>
    <row r="29" spans="1:2" x14ac:dyDescent="0.2">
      <c r="A29" s="4" t="s">
        <v>93</v>
      </c>
    </row>
    <row r="30" spans="1:2" x14ac:dyDescent="0.2">
      <c r="A30" s="4" t="s">
        <v>126</v>
      </c>
    </row>
    <row r="31" spans="1:2" x14ac:dyDescent="0.2">
      <c r="A31" s="4"/>
    </row>
    <row r="32" spans="1:2" x14ac:dyDescent="0.2">
      <c r="A32" s="4" t="s">
        <v>136</v>
      </c>
    </row>
  </sheetData>
  <mergeCells count="1">
    <mergeCell ref="A7:A11"/>
  </mergeCells>
  <phoneticPr fontId="2" type="noConversion"/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501"/>
  <sheetViews>
    <sheetView workbookViewId="0"/>
  </sheetViews>
  <sheetFormatPr defaultRowHeight="12.75" x14ac:dyDescent="0.2"/>
  <cols>
    <col min="1" max="1" width="11.7109375" bestFit="1" customWidth="1"/>
  </cols>
  <sheetData>
    <row r="1" spans="1:4" ht="15" x14ac:dyDescent="0.25">
      <c r="A1" s="41" t="s">
        <v>140</v>
      </c>
      <c r="B1" t="s">
        <v>141</v>
      </c>
      <c r="C1" t="s">
        <v>142</v>
      </c>
      <c r="D1" t="s">
        <v>22</v>
      </c>
    </row>
    <row r="2" spans="1:4" ht="15" x14ac:dyDescent="0.25">
      <c r="A2" s="41">
        <v>1090</v>
      </c>
      <c r="B2">
        <v>39115</v>
      </c>
      <c r="C2">
        <v>39480</v>
      </c>
      <c r="D2">
        <v>0</v>
      </c>
    </row>
    <row r="3" spans="1:4" ht="15" x14ac:dyDescent="0.25">
      <c r="A3" s="41">
        <v>848</v>
      </c>
      <c r="B3">
        <v>39854</v>
      </c>
      <c r="C3">
        <v>40219</v>
      </c>
      <c r="D3">
        <v>489.6</v>
      </c>
    </row>
    <row r="4" spans="1:4" ht="15" x14ac:dyDescent="0.25">
      <c r="A4" s="41">
        <v>64</v>
      </c>
      <c r="B4">
        <v>40565</v>
      </c>
      <c r="C4">
        <v>40930</v>
      </c>
      <c r="D4">
        <v>55.1</v>
      </c>
    </row>
    <row r="5" spans="1:4" ht="15" x14ac:dyDescent="0.25">
      <c r="A5" s="41">
        <v>809</v>
      </c>
      <c r="B5">
        <v>38920</v>
      </c>
      <c r="C5">
        <v>39285</v>
      </c>
      <c r="D5">
        <v>187.6</v>
      </c>
    </row>
    <row r="6" spans="1:4" ht="15" x14ac:dyDescent="0.25">
      <c r="A6" s="41">
        <v>120</v>
      </c>
      <c r="B6">
        <v>40176</v>
      </c>
      <c r="C6">
        <v>40541</v>
      </c>
      <c r="D6">
        <v>399.3</v>
      </c>
    </row>
    <row r="7" spans="1:4" ht="15" x14ac:dyDescent="0.25">
      <c r="A7" s="41">
        <v>577</v>
      </c>
      <c r="B7">
        <v>39209</v>
      </c>
      <c r="C7">
        <v>39477</v>
      </c>
      <c r="D7">
        <v>0</v>
      </c>
    </row>
    <row r="8" spans="1:4" ht="15" x14ac:dyDescent="0.25">
      <c r="A8" s="41">
        <v>796</v>
      </c>
      <c r="B8">
        <v>40938</v>
      </c>
      <c r="C8">
        <v>41304</v>
      </c>
      <c r="D8">
        <v>159.5</v>
      </c>
    </row>
    <row r="9" spans="1:4" ht="15" x14ac:dyDescent="0.25">
      <c r="A9" s="41">
        <v>64</v>
      </c>
      <c r="B9">
        <v>40200</v>
      </c>
      <c r="C9">
        <v>40565</v>
      </c>
      <c r="D9">
        <v>55.1</v>
      </c>
    </row>
    <row r="10" spans="1:4" ht="15" x14ac:dyDescent="0.25">
      <c r="A10" s="41">
        <v>1206</v>
      </c>
      <c r="B10">
        <v>39827</v>
      </c>
      <c r="C10">
        <v>40192</v>
      </c>
      <c r="D10">
        <v>259.10000000000002</v>
      </c>
    </row>
    <row r="11" spans="1:4" ht="15" x14ac:dyDescent="0.25">
      <c r="A11" s="41">
        <v>1228</v>
      </c>
      <c r="B11">
        <v>39114</v>
      </c>
      <c r="C11">
        <v>39479</v>
      </c>
      <c r="D11">
        <v>288.10000000000002</v>
      </c>
    </row>
    <row r="12" spans="1:4" ht="15" x14ac:dyDescent="0.25">
      <c r="A12" s="41">
        <v>898</v>
      </c>
      <c r="B12">
        <v>40626</v>
      </c>
      <c r="C12">
        <v>40992</v>
      </c>
      <c r="D12">
        <v>285.5</v>
      </c>
    </row>
    <row r="13" spans="1:4" ht="15" x14ac:dyDescent="0.25">
      <c r="A13" s="41">
        <v>1075</v>
      </c>
      <c r="B13">
        <v>40297</v>
      </c>
      <c r="C13">
        <v>40553</v>
      </c>
      <c r="D13">
        <v>-128.86500000000001</v>
      </c>
    </row>
    <row r="14" spans="1:4" ht="15" x14ac:dyDescent="0.25">
      <c r="A14" s="41">
        <v>1149</v>
      </c>
      <c r="B14">
        <v>40940</v>
      </c>
      <c r="C14">
        <v>41306</v>
      </c>
      <c r="D14">
        <v>276.39999999999998</v>
      </c>
    </row>
    <row r="15" spans="1:4" ht="15" x14ac:dyDescent="0.25">
      <c r="A15" s="41">
        <v>478</v>
      </c>
      <c r="B15">
        <v>39833</v>
      </c>
      <c r="C15">
        <v>40198</v>
      </c>
      <c r="D15">
        <v>61.5</v>
      </c>
    </row>
    <row r="16" spans="1:4" ht="15" x14ac:dyDescent="0.25">
      <c r="A16" s="41">
        <v>717</v>
      </c>
      <c r="B16">
        <v>40206</v>
      </c>
      <c r="C16">
        <v>40571</v>
      </c>
      <c r="D16">
        <v>266.89999999999998</v>
      </c>
    </row>
    <row r="17" spans="1:4" ht="15" x14ac:dyDescent="0.25">
      <c r="A17" s="41">
        <v>457</v>
      </c>
      <c r="B17">
        <v>40204</v>
      </c>
      <c r="C17">
        <v>40569</v>
      </c>
      <c r="D17">
        <v>201</v>
      </c>
    </row>
    <row r="18" spans="1:4" ht="15" x14ac:dyDescent="0.25">
      <c r="A18" s="41">
        <v>977</v>
      </c>
      <c r="B18">
        <v>40938</v>
      </c>
      <c r="C18">
        <v>41304</v>
      </c>
      <c r="D18">
        <v>346.1</v>
      </c>
    </row>
    <row r="19" spans="1:4" ht="15" x14ac:dyDescent="0.25">
      <c r="A19" s="41">
        <v>974</v>
      </c>
      <c r="B19">
        <v>39512</v>
      </c>
      <c r="C19">
        <v>39877</v>
      </c>
      <c r="D19">
        <v>290.10000000000002</v>
      </c>
    </row>
    <row r="20" spans="1:4" ht="15" x14ac:dyDescent="0.25">
      <c r="A20" s="41">
        <v>247</v>
      </c>
      <c r="B20">
        <v>40583</v>
      </c>
      <c r="C20">
        <v>40948</v>
      </c>
      <c r="D20">
        <v>264.8</v>
      </c>
    </row>
    <row r="21" spans="1:4" ht="15" x14ac:dyDescent="0.25">
      <c r="A21" s="41">
        <v>457</v>
      </c>
      <c r="B21">
        <v>39473</v>
      </c>
      <c r="C21">
        <v>39839</v>
      </c>
      <c r="D21">
        <v>187.6</v>
      </c>
    </row>
    <row r="22" spans="1:4" ht="15" x14ac:dyDescent="0.25">
      <c r="A22" s="41">
        <v>1373</v>
      </c>
      <c r="B22">
        <v>39844</v>
      </c>
      <c r="C22">
        <v>40209</v>
      </c>
      <c r="D22">
        <v>185.7</v>
      </c>
    </row>
    <row r="23" spans="1:4" ht="15" x14ac:dyDescent="0.25">
      <c r="A23" s="41">
        <v>486</v>
      </c>
      <c r="B23">
        <v>39781</v>
      </c>
      <c r="C23">
        <v>40146</v>
      </c>
      <c r="D23">
        <v>31.6</v>
      </c>
    </row>
    <row r="24" spans="1:4" ht="15" x14ac:dyDescent="0.25">
      <c r="A24" s="41">
        <v>478</v>
      </c>
      <c r="B24">
        <v>40198</v>
      </c>
      <c r="C24">
        <v>40563</v>
      </c>
      <c r="D24">
        <v>30</v>
      </c>
    </row>
    <row r="25" spans="1:4" ht="15" x14ac:dyDescent="0.25">
      <c r="A25" s="41">
        <v>486</v>
      </c>
      <c r="B25">
        <v>40816</v>
      </c>
      <c r="C25">
        <v>40876</v>
      </c>
      <c r="D25">
        <v>-5.1950000000000003</v>
      </c>
    </row>
    <row r="26" spans="1:4" ht="15" x14ac:dyDescent="0.25">
      <c r="A26" s="41">
        <v>0</v>
      </c>
      <c r="B26">
        <v>40909</v>
      </c>
      <c r="C26">
        <v>41275</v>
      </c>
      <c r="D26">
        <v>0</v>
      </c>
    </row>
    <row r="27" spans="1:4" ht="15" x14ac:dyDescent="0.25">
      <c r="A27" s="41">
        <v>812</v>
      </c>
      <c r="B27">
        <v>39614</v>
      </c>
      <c r="C27">
        <v>39979</v>
      </c>
      <c r="D27">
        <v>248.6</v>
      </c>
    </row>
    <row r="28" spans="1:4" ht="15" x14ac:dyDescent="0.25">
      <c r="A28" s="41">
        <v>796</v>
      </c>
      <c r="B28">
        <v>39477</v>
      </c>
      <c r="C28">
        <v>39843</v>
      </c>
      <c r="D28">
        <v>143.6</v>
      </c>
    </row>
    <row r="29" spans="1:4" ht="15" x14ac:dyDescent="0.25">
      <c r="A29" s="41">
        <v>281</v>
      </c>
      <c r="B29">
        <v>40201</v>
      </c>
      <c r="C29">
        <v>40566</v>
      </c>
      <c r="D29">
        <v>907.8</v>
      </c>
    </row>
    <row r="30" spans="1:4" ht="15" x14ac:dyDescent="0.25">
      <c r="A30" s="41">
        <v>794</v>
      </c>
      <c r="B30">
        <v>40938</v>
      </c>
      <c r="C30">
        <v>41304</v>
      </c>
      <c r="D30">
        <v>283.5</v>
      </c>
    </row>
    <row r="31" spans="1:4" ht="15" x14ac:dyDescent="0.25">
      <c r="A31" s="41">
        <v>255</v>
      </c>
      <c r="B31">
        <v>39542</v>
      </c>
      <c r="C31">
        <v>39826</v>
      </c>
      <c r="D31">
        <v>0</v>
      </c>
    </row>
    <row r="32" spans="1:4" ht="15" x14ac:dyDescent="0.25">
      <c r="A32" s="41">
        <v>1083</v>
      </c>
      <c r="B32">
        <v>40940</v>
      </c>
      <c r="C32">
        <v>41306</v>
      </c>
      <c r="D32">
        <v>42.7</v>
      </c>
    </row>
    <row r="33" spans="1:4" ht="15" x14ac:dyDescent="0.25">
      <c r="A33" s="41">
        <v>303</v>
      </c>
      <c r="B33">
        <v>40930</v>
      </c>
      <c r="C33">
        <v>41296</v>
      </c>
      <c r="D33">
        <v>227.3</v>
      </c>
    </row>
    <row r="34" spans="1:4" ht="15" x14ac:dyDescent="0.25">
      <c r="A34" s="41">
        <v>347</v>
      </c>
      <c r="B34">
        <v>39460</v>
      </c>
      <c r="C34">
        <v>39826</v>
      </c>
      <c r="D34">
        <v>39.5</v>
      </c>
    </row>
    <row r="35" spans="1:4" ht="15" x14ac:dyDescent="0.25">
      <c r="A35" s="41">
        <v>1353</v>
      </c>
      <c r="B35">
        <v>40569</v>
      </c>
      <c r="C35">
        <v>40934</v>
      </c>
      <c r="D35">
        <v>99.7</v>
      </c>
    </row>
    <row r="36" spans="1:4" ht="15" x14ac:dyDescent="0.25">
      <c r="A36" s="41">
        <v>277</v>
      </c>
      <c r="B36">
        <v>39113</v>
      </c>
      <c r="C36">
        <v>39478</v>
      </c>
      <c r="D36">
        <v>231.7</v>
      </c>
    </row>
    <row r="37" spans="1:4" ht="15" x14ac:dyDescent="0.25">
      <c r="A37" s="41">
        <v>398</v>
      </c>
      <c r="B37">
        <v>39615</v>
      </c>
      <c r="C37">
        <v>39980</v>
      </c>
      <c r="D37">
        <v>323.3</v>
      </c>
    </row>
    <row r="38" spans="1:4" ht="15" x14ac:dyDescent="0.25">
      <c r="A38" s="41">
        <v>929</v>
      </c>
      <c r="B38">
        <v>40210</v>
      </c>
      <c r="C38">
        <v>40575</v>
      </c>
      <c r="D38">
        <v>161</v>
      </c>
    </row>
    <row r="39" spans="1:4" ht="15" x14ac:dyDescent="0.25">
      <c r="A39" s="41">
        <v>870</v>
      </c>
      <c r="B39">
        <v>39868</v>
      </c>
      <c r="C39">
        <v>40233</v>
      </c>
      <c r="D39">
        <v>237.3</v>
      </c>
    </row>
    <row r="40" spans="1:4" ht="15" x14ac:dyDescent="0.25">
      <c r="A40" s="41">
        <v>1383</v>
      </c>
      <c r="B40">
        <v>40604</v>
      </c>
      <c r="C40">
        <v>40970</v>
      </c>
      <c r="D40">
        <v>151.4</v>
      </c>
    </row>
    <row r="41" spans="1:4" ht="15" x14ac:dyDescent="0.25">
      <c r="A41" s="41">
        <v>974</v>
      </c>
      <c r="B41">
        <v>40242</v>
      </c>
      <c r="C41">
        <v>40607</v>
      </c>
      <c r="D41">
        <v>310.7</v>
      </c>
    </row>
    <row r="42" spans="1:4" ht="15" x14ac:dyDescent="0.25">
      <c r="A42" s="41">
        <v>64</v>
      </c>
      <c r="B42">
        <v>39104</v>
      </c>
      <c r="C42">
        <v>39469</v>
      </c>
      <c r="D42">
        <v>51</v>
      </c>
    </row>
    <row r="43" spans="1:4" ht="15" x14ac:dyDescent="0.25">
      <c r="A43" s="41">
        <v>1101</v>
      </c>
      <c r="B43">
        <v>40218</v>
      </c>
      <c r="C43">
        <v>40583</v>
      </c>
      <c r="D43">
        <v>345.1</v>
      </c>
    </row>
    <row r="44" spans="1:4" ht="15" x14ac:dyDescent="0.25">
      <c r="A44" s="41">
        <v>1383</v>
      </c>
      <c r="B44">
        <v>39874</v>
      </c>
      <c r="C44">
        <v>40239</v>
      </c>
      <c r="D44">
        <v>147.9</v>
      </c>
    </row>
    <row r="45" spans="1:4" ht="15" x14ac:dyDescent="0.25">
      <c r="A45" s="41">
        <v>295</v>
      </c>
      <c r="B45">
        <v>40568</v>
      </c>
      <c r="C45">
        <v>40933</v>
      </c>
      <c r="D45">
        <v>280</v>
      </c>
    </row>
    <row r="46" spans="1:4" ht="15" x14ac:dyDescent="0.25">
      <c r="A46" s="41">
        <v>42</v>
      </c>
      <c r="B46">
        <v>39081</v>
      </c>
      <c r="C46">
        <v>39446</v>
      </c>
      <c r="D46">
        <v>0</v>
      </c>
    </row>
    <row r="47" spans="1:4" ht="15" x14ac:dyDescent="0.25">
      <c r="A47" s="41">
        <v>1361</v>
      </c>
      <c r="B47">
        <v>39474</v>
      </c>
      <c r="C47">
        <v>39840</v>
      </c>
      <c r="D47">
        <v>248.5</v>
      </c>
    </row>
    <row r="48" spans="1:4" ht="15" x14ac:dyDescent="0.25">
      <c r="A48" s="41">
        <v>1307</v>
      </c>
      <c r="B48">
        <v>40939</v>
      </c>
      <c r="C48">
        <v>41305</v>
      </c>
      <c r="D48">
        <v>454.4</v>
      </c>
    </row>
    <row r="49" spans="1:4" ht="15" x14ac:dyDescent="0.25">
      <c r="A49" s="41">
        <v>774</v>
      </c>
      <c r="B49">
        <v>40559</v>
      </c>
      <c r="C49">
        <v>40924</v>
      </c>
      <c r="D49">
        <v>510</v>
      </c>
    </row>
    <row r="50" spans="1:4" ht="15" x14ac:dyDescent="0.25">
      <c r="A50" s="41">
        <v>257</v>
      </c>
      <c r="B50">
        <v>40945</v>
      </c>
      <c r="C50">
        <v>41311</v>
      </c>
      <c r="D50">
        <v>631.29999999999995</v>
      </c>
    </row>
    <row r="51" spans="1:4" ht="15" x14ac:dyDescent="0.25">
      <c r="A51" s="41">
        <v>809</v>
      </c>
      <c r="B51">
        <v>39285</v>
      </c>
      <c r="C51">
        <v>39651</v>
      </c>
      <c r="D51">
        <v>197.5</v>
      </c>
    </row>
    <row r="52" spans="1:4" ht="15" x14ac:dyDescent="0.25">
      <c r="A52" s="41">
        <v>404</v>
      </c>
      <c r="B52">
        <v>40136</v>
      </c>
      <c r="C52">
        <v>40206</v>
      </c>
      <c r="D52">
        <v>0</v>
      </c>
    </row>
    <row r="53" spans="1:4" ht="15" x14ac:dyDescent="0.25">
      <c r="A53" s="41">
        <v>457</v>
      </c>
      <c r="B53">
        <v>39839</v>
      </c>
      <c r="C53">
        <v>40204</v>
      </c>
      <c r="D53">
        <v>201</v>
      </c>
    </row>
    <row r="54" spans="1:4" ht="15" x14ac:dyDescent="0.25">
      <c r="A54" s="41">
        <v>809</v>
      </c>
      <c r="B54">
        <v>40016</v>
      </c>
      <c r="C54">
        <v>40381</v>
      </c>
      <c r="D54">
        <v>213.3</v>
      </c>
    </row>
    <row r="55" spans="1:4" ht="15" x14ac:dyDescent="0.25">
      <c r="A55" s="41">
        <v>870</v>
      </c>
      <c r="B55">
        <v>39502</v>
      </c>
      <c r="C55">
        <v>39868</v>
      </c>
      <c r="D55">
        <v>221.5</v>
      </c>
    </row>
    <row r="56" spans="1:4" ht="15" x14ac:dyDescent="0.25">
      <c r="A56" s="41">
        <v>303</v>
      </c>
      <c r="B56">
        <v>39104</v>
      </c>
      <c r="C56">
        <v>39469</v>
      </c>
      <c r="D56">
        <v>202.6</v>
      </c>
    </row>
    <row r="57" spans="1:4" ht="15" x14ac:dyDescent="0.25">
      <c r="A57" s="41">
        <v>594</v>
      </c>
      <c r="B57">
        <v>39867</v>
      </c>
      <c r="C57">
        <v>40201</v>
      </c>
      <c r="D57">
        <v>451.09199999999998</v>
      </c>
    </row>
    <row r="58" spans="1:4" ht="15" x14ac:dyDescent="0.25">
      <c r="A58" s="41">
        <v>1019</v>
      </c>
      <c r="B58">
        <v>39479</v>
      </c>
      <c r="C58">
        <v>39845</v>
      </c>
      <c r="D58">
        <v>273.5</v>
      </c>
    </row>
    <row r="59" spans="1:4" ht="15" x14ac:dyDescent="0.25">
      <c r="A59" s="41">
        <v>974</v>
      </c>
      <c r="B59">
        <v>39146</v>
      </c>
      <c r="C59">
        <v>39512</v>
      </c>
      <c r="D59">
        <v>286.89999999999998</v>
      </c>
    </row>
    <row r="60" spans="1:4" ht="15" x14ac:dyDescent="0.25">
      <c r="A60" s="41">
        <v>1383</v>
      </c>
      <c r="B60">
        <v>39143</v>
      </c>
      <c r="C60">
        <v>39509</v>
      </c>
      <c r="D60">
        <v>136.4</v>
      </c>
    </row>
    <row r="61" spans="1:4" ht="15" x14ac:dyDescent="0.25">
      <c r="A61" s="41">
        <v>879</v>
      </c>
      <c r="B61">
        <v>39992</v>
      </c>
      <c r="C61">
        <v>40357</v>
      </c>
      <c r="D61">
        <v>150.30000000000001</v>
      </c>
    </row>
    <row r="62" spans="1:4" ht="15" x14ac:dyDescent="0.25">
      <c r="A62" s="41">
        <v>120</v>
      </c>
      <c r="B62">
        <v>40541</v>
      </c>
      <c r="C62">
        <v>40906</v>
      </c>
      <c r="D62">
        <v>408.5</v>
      </c>
    </row>
    <row r="63" spans="1:4" ht="15" x14ac:dyDescent="0.25">
      <c r="A63" s="41">
        <v>45</v>
      </c>
      <c r="B63">
        <v>39815</v>
      </c>
      <c r="C63">
        <v>40180</v>
      </c>
      <c r="D63">
        <v>231</v>
      </c>
    </row>
    <row r="64" spans="1:4" ht="15" x14ac:dyDescent="0.25">
      <c r="A64" s="41">
        <v>277</v>
      </c>
      <c r="B64">
        <v>39844</v>
      </c>
      <c r="C64">
        <v>40209</v>
      </c>
      <c r="D64">
        <v>251</v>
      </c>
    </row>
    <row r="65" spans="1:4" ht="15" x14ac:dyDescent="0.25">
      <c r="A65" s="41">
        <v>929</v>
      </c>
      <c r="B65">
        <v>39845</v>
      </c>
      <c r="C65">
        <v>40210</v>
      </c>
      <c r="D65">
        <v>161</v>
      </c>
    </row>
    <row r="66" spans="1:4" ht="15" x14ac:dyDescent="0.25">
      <c r="A66" s="41">
        <v>98</v>
      </c>
      <c r="B66">
        <v>40562</v>
      </c>
      <c r="C66">
        <v>40927</v>
      </c>
      <c r="D66">
        <v>235.1</v>
      </c>
    </row>
    <row r="67" spans="1:4" ht="15" x14ac:dyDescent="0.25">
      <c r="A67" s="41">
        <v>1188</v>
      </c>
      <c r="B67">
        <v>39842</v>
      </c>
      <c r="C67">
        <v>40207</v>
      </c>
      <c r="D67">
        <v>304.7</v>
      </c>
    </row>
    <row r="68" spans="1:4" ht="15" x14ac:dyDescent="0.25">
      <c r="A68" s="41">
        <v>26</v>
      </c>
      <c r="B68">
        <v>39468</v>
      </c>
      <c r="C68">
        <v>39834</v>
      </c>
      <c r="D68">
        <v>193.2</v>
      </c>
    </row>
    <row r="69" spans="1:4" ht="15" x14ac:dyDescent="0.25">
      <c r="A69" s="41">
        <v>1318</v>
      </c>
      <c r="B69">
        <v>40933</v>
      </c>
      <c r="C69">
        <v>41299</v>
      </c>
      <c r="D69">
        <v>194.3</v>
      </c>
    </row>
    <row r="70" spans="1:4" ht="15" x14ac:dyDescent="0.25">
      <c r="A70" s="41">
        <v>645</v>
      </c>
      <c r="B70">
        <v>38876</v>
      </c>
      <c r="C70">
        <v>39241</v>
      </c>
      <c r="D70">
        <v>153.30000000000001</v>
      </c>
    </row>
    <row r="71" spans="1:4" ht="15" x14ac:dyDescent="0.25">
      <c r="A71" s="41">
        <v>1317</v>
      </c>
      <c r="B71">
        <v>39881</v>
      </c>
      <c r="C71">
        <v>40211</v>
      </c>
      <c r="D71">
        <v>-156.476</v>
      </c>
    </row>
    <row r="72" spans="1:4" ht="15" x14ac:dyDescent="0.25">
      <c r="A72" s="41">
        <v>717</v>
      </c>
      <c r="B72">
        <v>39475</v>
      </c>
      <c r="C72">
        <v>39841</v>
      </c>
      <c r="D72">
        <v>249.2</v>
      </c>
    </row>
    <row r="73" spans="1:4" ht="15" x14ac:dyDescent="0.25">
      <c r="A73" s="41">
        <v>1317</v>
      </c>
      <c r="B73">
        <v>40576</v>
      </c>
      <c r="C73">
        <v>40941</v>
      </c>
      <c r="D73">
        <v>178.5</v>
      </c>
    </row>
    <row r="74" spans="1:4" ht="15" x14ac:dyDescent="0.25">
      <c r="A74" s="41">
        <v>495</v>
      </c>
      <c r="B74">
        <v>39804</v>
      </c>
      <c r="C74">
        <v>40169</v>
      </c>
      <c r="D74">
        <v>20</v>
      </c>
    </row>
    <row r="75" spans="1:4" ht="15" x14ac:dyDescent="0.25">
      <c r="A75" s="41">
        <v>812</v>
      </c>
      <c r="B75">
        <v>39979</v>
      </c>
      <c r="C75">
        <v>40344</v>
      </c>
      <c r="D75">
        <v>265.3</v>
      </c>
    </row>
    <row r="76" spans="1:4" ht="15" x14ac:dyDescent="0.25">
      <c r="A76" s="41">
        <v>1377</v>
      </c>
      <c r="B76">
        <v>39480</v>
      </c>
      <c r="C76">
        <v>39846</v>
      </c>
      <c r="D76">
        <v>225.9</v>
      </c>
    </row>
    <row r="77" spans="1:4" ht="15" x14ac:dyDescent="0.25">
      <c r="A77" s="41">
        <v>64</v>
      </c>
      <c r="B77">
        <v>39469</v>
      </c>
      <c r="C77">
        <v>39835</v>
      </c>
      <c r="D77">
        <v>52.2</v>
      </c>
    </row>
    <row r="78" spans="1:4" ht="15" x14ac:dyDescent="0.25">
      <c r="A78" s="41">
        <v>247</v>
      </c>
      <c r="B78">
        <v>39122</v>
      </c>
      <c r="C78">
        <v>39487</v>
      </c>
      <c r="D78">
        <v>238.9</v>
      </c>
    </row>
    <row r="79" spans="1:4" ht="15" x14ac:dyDescent="0.25">
      <c r="A79" s="41">
        <v>398</v>
      </c>
      <c r="B79">
        <v>39249</v>
      </c>
      <c r="C79">
        <v>39615</v>
      </c>
      <c r="D79">
        <v>318.2</v>
      </c>
    </row>
    <row r="80" spans="1:4" ht="15" x14ac:dyDescent="0.25">
      <c r="A80" s="41">
        <v>98</v>
      </c>
      <c r="B80">
        <v>40927</v>
      </c>
      <c r="C80">
        <v>41293</v>
      </c>
      <c r="D80">
        <v>238</v>
      </c>
    </row>
    <row r="81" spans="1:4" ht="15" x14ac:dyDescent="0.25">
      <c r="A81" s="41">
        <v>1149</v>
      </c>
      <c r="B81">
        <v>39479</v>
      </c>
      <c r="C81">
        <v>39845</v>
      </c>
      <c r="D81">
        <v>249.2</v>
      </c>
    </row>
    <row r="82" spans="1:4" ht="15" x14ac:dyDescent="0.25">
      <c r="A82" s="41">
        <v>1373</v>
      </c>
      <c r="B82">
        <v>40209</v>
      </c>
      <c r="C82">
        <v>40574</v>
      </c>
      <c r="D82">
        <v>185.7</v>
      </c>
    </row>
    <row r="83" spans="1:4" ht="15" x14ac:dyDescent="0.25">
      <c r="A83" s="41">
        <v>495</v>
      </c>
      <c r="B83">
        <v>39797</v>
      </c>
      <c r="C83">
        <v>39804</v>
      </c>
      <c r="D83">
        <v>-0.73699999999999999</v>
      </c>
    </row>
    <row r="84" spans="1:4" ht="15" x14ac:dyDescent="0.25">
      <c r="A84" s="41">
        <v>1083</v>
      </c>
      <c r="B84">
        <v>40575</v>
      </c>
      <c r="C84">
        <v>40940</v>
      </c>
      <c r="D84">
        <v>41.4</v>
      </c>
    </row>
    <row r="85" spans="1:4" ht="15" x14ac:dyDescent="0.25">
      <c r="A85" s="41">
        <v>848</v>
      </c>
      <c r="B85">
        <v>40219</v>
      </c>
      <c r="C85">
        <v>40584</v>
      </c>
      <c r="D85">
        <v>489.6</v>
      </c>
    </row>
    <row r="86" spans="1:4" ht="15" x14ac:dyDescent="0.25">
      <c r="A86" s="41">
        <v>912</v>
      </c>
      <c r="B86">
        <v>40208</v>
      </c>
      <c r="C86">
        <v>40573</v>
      </c>
      <c r="D86">
        <v>41.3</v>
      </c>
    </row>
    <row r="87" spans="1:4" ht="15" x14ac:dyDescent="0.25">
      <c r="A87" s="41">
        <v>478</v>
      </c>
      <c r="B87">
        <v>39467</v>
      </c>
      <c r="C87">
        <v>39833</v>
      </c>
      <c r="D87">
        <v>58.2</v>
      </c>
    </row>
    <row r="88" spans="1:4" ht="15" x14ac:dyDescent="0.25">
      <c r="A88" s="41">
        <v>974</v>
      </c>
      <c r="B88">
        <v>40973</v>
      </c>
      <c r="C88">
        <v>41338</v>
      </c>
      <c r="D88">
        <v>321.8</v>
      </c>
    </row>
    <row r="89" spans="1:4" ht="15" x14ac:dyDescent="0.25">
      <c r="A89" s="41">
        <v>1353</v>
      </c>
      <c r="B89">
        <v>39108</v>
      </c>
      <c r="C89">
        <v>39473</v>
      </c>
      <c r="D89">
        <v>92.2</v>
      </c>
    </row>
    <row r="90" spans="1:4" ht="15" x14ac:dyDescent="0.25">
      <c r="A90" s="41">
        <v>1373</v>
      </c>
      <c r="B90">
        <v>39113</v>
      </c>
      <c r="C90">
        <v>39478</v>
      </c>
      <c r="D90">
        <v>171.3</v>
      </c>
    </row>
    <row r="91" spans="1:4" ht="15" x14ac:dyDescent="0.25">
      <c r="A91" s="41">
        <v>347</v>
      </c>
      <c r="B91">
        <v>40921</v>
      </c>
      <c r="C91">
        <v>41287</v>
      </c>
      <c r="D91">
        <v>43</v>
      </c>
    </row>
    <row r="92" spans="1:4" ht="15" x14ac:dyDescent="0.25">
      <c r="A92" s="41">
        <v>548</v>
      </c>
      <c r="B92">
        <v>39446</v>
      </c>
      <c r="C92">
        <v>39812</v>
      </c>
      <c r="D92">
        <v>249.1</v>
      </c>
    </row>
    <row r="93" spans="1:4" ht="15" x14ac:dyDescent="0.25">
      <c r="A93" s="41">
        <v>257</v>
      </c>
      <c r="B93">
        <v>40580</v>
      </c>
      <c r="C93">
        <v>40945</v>
      </c>
      <c r="D93">
        <v>623.79999999999995</v>
      </c>
    </row>
    <row r="94" spans="1:4" ht="15" x14ac:dyDescent="0.25">
      <c r="A94" s="41">
        <v>879</v>
      </c>
      <c r="B94">
        <v>40722</v>
      </c>
      <c r="C94">
        <v>41088</v>
      </c>
      <c r="D94">
        <v>153.9</v>
      </c>
    </row>
    <row r="95" spans="1:4" ht="15" x14ac:dyDescent="0.25">
      <c r="A95" s="41">
        <v>755</v>
      </c>
      <c r="B95">
        <v>39848</v>
      </c>
      <c r="C95">
        <v>39859</v>
      </c>
      <c r="D95">
        <v>-1.4730000000000001</v>
      </c>
    </row>
    <row r="96" spans="1:4" ht="15" x14ac:dyDescent="0.25">
      <c r="A96" s="41">
        <v>930</v>
      </c>
      <c r="B96">
        <v>40934</v>
      </c>
      <c r="C96">
        <v>41300</v>
      </c>
      <c r="D96">
        <v>47.7</v>
      </c>
    </row>
    <row r="97" spans="1:4" ht="15" x14ac:dyDescent="0.25">
      <c r="A97" s="41">
        <v>330</v>
      </c>
      <c r="B97">
        <v>39843</v>
      </c>
      <c r="C97">
        <v>40208</v>
      </c>
      <c r="D97">
        <v>468</v>
      </c>
    </row>
    <row r="98" spans="1:4" ht="15" x14ac:dyDescent="0.25">
      <c r="A98" s="41">
        <v>583</v>
      </c>
      <c r="B98">
        <v>39468</v>
      </c>
      <c r="C98">
        <v>39834</v>
      </c>
      <c r="D98">
        <v>283.3</v>
      </c>
    </row>
    <row r="99" spans="1:4" ht="15" x14ac:dyDescent="0.25">
      <c r="A99" s="41">
        <v>303</v>
      </c>
      <c r="B99">
        <v>40200</v>
      </c>
      <c r="C99">
        <v>40565</v>
      </c>
      <c r="D99">
        <v>219.5</v>
      </c>
    </row>
    <row r="100" spans="1:4" ht="15" x14ac:dyDescent="0.25">
      <c r="A100" s="41">
        <v>794</v>
      </c>
      <c r="B100">
        <v>40573</v>
      </c>
      <c r="C100">
        <v>40938</v>
      </c>
      <c r="D100">
        <v>280.10000000000002</v>
      </c>
    </row>
    <row r="101" spans="1:4" ht="15" x14ac:dyDescent="0.25">
      <c r="A101" s="41">
        <v>255</v>
      </c>
      <c r="B101">
        <v>39095</v>
      </c>
      <c r="C101">
        <v>39460</v>
      </c>
      <c r="D101">
        <v>246.7</v>
      </c>
    </row>
    <row r="102" spans="1:4" ht="15" x14ac:dyDescent="0.25">
      <c r="A102" s="41">
        <v>115</v>
      </c>
      <c r="B102">
        <v>39933</v>
      </c>
      <c r="C102">
        <v>40298</v>
      </c>
      <c r="D102">
        <v>209.1</v>
      </c>
    </row>
    <row r="103" spans="1:4" ht="15" x14ac:dyDescent="0.25">
      <c r="A103" s="41">
        <v>755</v>
      </c>
      <c r="B103">
        <v>39859</v>
      </c>
      <c r="C103">
        <v>40224</v>
      </c>
      <c r="D103">
        <v>231</v>
      </c>
    </row>
    <row r="104" spans="1:4" ht="15" x14ac:dyDescent="0.25">
      <c r="A104" s="41">
        <v>398</v>
      </c>
      <c r="B104">
        <v>39969</v>
      </c>
      <c r="C104">
        <v>39980</v>
      </c>
      <c r="D104">
        <v>-1.323</v>
      </c>
    </row>
    <row r="105" spans="1:4" ht="15" x14ac:dyDescent="0.25">
      <c r="A105" s="41">
        <v>1013</v>
      </c>
      <c r="B105">
        <v>40211</v>
      </c>
      <c r="C105">
        <v>40576</v>
      </c>
      <c r="D105">
        <v>224.7</v>
      </c>
    </row>
    <row r="106" spans="1:4" ht="15" x14ac:dyDescent="0.25">
      <c r="A106" s="41">
        <v>790</v>
      </c>
      <c r="B106">
        <v>39873</v>
      </c>
      <c r="C106">
        <v>40238</v>
      </c>
      <c r="D106">
        <v>189.6</v>
      </c>
    </row>
    <row r="107" spans="1:4" ht="15" x14ac:dyDescent="0.25">
      <c r="A107" s="41">
        <v>495</v>
      </c>
      <c r="B107">
        <v>40057</v>
      </c>
      <c r="C107">
        <v>40169</v>
      </c>
      <c r="D107">
        <v>-6.1669999999999998</v>
      </c>
    </row>
    <row r="108" spans="1:4" ht="15" x14ac:dyDescent="0.25">
      <c r="A108" s="41">
        <v>1073</v>
      </c>
      <c r="B108">
        <v>40209</v>
      </c>
      <c r="C108">
        <v>40574</v>
      </c>
      <c r="D108">
        <v>349.7</v>
      </c>
    </row>
    <row r="109" spans="1:4" ht="15" x14ac:dyDescent="0.25">
      <c r="A109" s="41">
        <v>594</v>
      </c>
      <c r="B109">
        <v>39105</v>
      </c>
      <c r="C109">
        <v>39470</v>
      </c>
      <c r="D109">
        <v>454.4</v>
      </c>
    </row>
    <row r="110" spans="1:4" ht="15" x14ac:dyDescent="0.25">
      <c r="A110" s="41">
        <v>478</v>
      </c>
      <c r="B110">
        <v>40928</v>
      </c>
      <c r="C110">
        <v>41294</v>
      </c>
      <c r="D110">
        <v>31</v>
      </c>
    </row>
    <row r="111" spans="1:4" ht="15" x14ac:dyDescent="0.25">
      <c r="A111" s="41">
        <v>870</v>
      </c>
      <c r="B111">
        <v>40598</v>
      </c>
      <c r="C111">
        <v>40963</v>
      </c>
      <c r="D111">
        <v>242.8</v>
      </c>
    </row>
    <row r="112" spans="1:4" ht="15" x14ac:dyDescent="0.25">
      <c r="A112" s="41">
        <v>600</v>
      </c>
      <c r="B112">
        <v>39477</v>
      </c>
      <c r="C112">
        <v>39843</v>
      </c>
      <c r="D112">
        <v>175.3</v>
      </c>
    </row>
    <row r="113" spans="1:4" ht="15" x14ac:dyDescent="0.25">
      <c r="A113" s="41">
        <v>1269</v>
      </c>
      <c r="B113">
        <v>38883</v>
      </c>
      <c r="C113">
        <v>39248</v>
      </c>
      <c r="D113">
        <v>169.9</v>
      </c>
    </row>
    <row r="114" spans="1:4" ht="15" x14ac:dyDescent="0.25">
      <c r="A114" s="41">
        <v>1228</v>
      </c>
      <c r="B114">
        <v>39845</v>
      </c>
      <c r="C114">
        <v>40210</v>
      </c>
      <c r="D114">
        <v>312</v>
      </c>
    </row>
    <row r="115" spans="1:4" ht="15" x14ac:dyDescent="0.25">
      <c r="A115" s="41">
        <v>115</v>
      </c>
      <c r="B115">
        <v>39202</v>
      </c>
      <c r="C115">
        <v>39568</v>
      </c>
      <c r="D115">
        <v>193</v>
      </c>
    </row>
    <row r="116" spans="1:4" ht="15" x14ac:dyDescent="0.25">
      <c r="A116" s="41">
        <v>26</v>
      </c>
      <c r="B116">
        <v>39834</v>
      </c>
      <c r="C116">
        <v>40199</v>
      </c>
      <c r="D116">
        <v>207</v>
      </c>
    </row>
    <row r="117" spans="1:4" ht="15" x14ac:dyDescent="0.25">
      <c r="A117" s="41">
        <v>809</v>
      </c>
      <c r="B117">
        <v>40746</v>
      </c>
      <c r="C117">
        <v>41112</v>
      </c>
      <c r="D117">
        <v>218.3</v>
      </c>
    </row>
    <row r="118" spans="1:4" ht="15" x14ac:dyDescent="0.25">
      <c r="A118" s="41">
        <v>848</v>
      </c>
      <c r="B118">
        <v>39123</v>
      </c>
      <c r="C118">
        <v>39488</v>
      </c>
      <c r="D118">
        <v>452.1</v>
      </c>
    </row>
    <row r="119" spans="1:4" ht="15" x14ac:dyDescent="0.25">
      <c r="A119" s="41">
        <v>1318</v>
      </c>
      <c r="B119">
        <v>40203</v>
      </c>
      <c r="C119">
        <v>40568</v>
      </c>
      <c r="D119">
        <v>187.5</v>
      </c>
    </row>
    <row r="120" spans="1:4" ht="15" x14ac:dyDescent="0.25">
      <c r="A120" s="41">
        <v>1206</v>
      </c>
      <c r="B120">
        <v>40192</v>
      </c>
      <c r="C120">
        <v>40557</v>
      </c>
      <c r="D120">
        <v>259.10000000000002</v>
      </c>
    </row>
    <row r="121" spans="1:4" ht="15" x14ac:dyDescent="0.25">
      <c r="A121" s="41">
        <v>812</v>
      </c>
      <c r="B121">
        <v>39248</v>
      </c>
      <c r="C121">
        <v>39614</v>
      </c>
      <c r="D121">
        <v>244.9</v>
      </c>
    </row>
    <row r="122" spans="1:4" ht="15" x14ac:dyDescent="0.25">
      <c r="A122" s="41">
        <v>347</v>
      </c>
      <c r="B122">
        <v>40191</v>
      </c>
      <c r="C122">
        <v>40556</v>
      </c>
      <c r="D122">
        <v>41.7</v>
      </c>
    </row>
    <row r="123" spans="1:4" ht="15" x14ac:dyDescent="0.25">
      <c r="A123" s="41">
        <v>336</v>
      </c>
      <c r="B123">
        <v>39099</v>
      </c>
      <c r="C123">
        <v>39464</v>
      </c>
      <c r="D123">
        <v>49.5</v>
      </c>
    </row>
    <row r="124" spans="1:4" ht="15" x14ac:dyDescent="0.25">
      <c r="A124" s="41">
        <v>600</v>
      </c>
      <c r="B124">
        <v>40573</v>
      </c>
      <c r="C124">
        <v>40938</v>
      </c>
      <c r="D124">
        <v>192.4</v>
      </c>
    </row>
    <row r="125" spans="1:4" ht="15" x14ac:dyDescent="0.25">
      <c r="A125" s="41">
        <v>1338</v>
      </c>
      <c r="B125">
        <v>39480</v>
      </c>
      <c r="C125">
        <v>39846</v>
      </c>
      <c r="D125">
        <v>96.9</v>
      </c>
    </row>
    <row r="126" spans="1:4" ht="15" x14ac:dyDescent="0.25">
      <c r="A126" s="41">
        <v>1377</v>
      </c>
      <c r="B126">
        <v>39846</v>
      </c>
      <c r="C126">
        <v>40211</v>
      </c>
      <c r="D126">
        <v>242.2</v>
      </c>
    </row>
    <row r="127" spans="1:4" ht="15" x14ac:dyDescent="0.25">
      <c r="A127" s="41">
        <v>247</v>
      </c>
      <c r="B127">
        <v>39853</v>
      </c>
      <c r="C127">
        <v>40218</v>
      </c>
      <c r="D127">
        <v>258.8</v>
      </c>
    </row>
    <row r="128" spans="1:4" ht="15" x14ac:dyDescent="0.25">
      <c r="A128" s="41">
        <v>277</v>
      </c>
      <c r="B128">
        <v>40574</v>
      </c>
      <c r="C128">
        <v>40939</v>
      </c>
      <c r="D128">
        <v>256.8</v>
      </c>
    </row>
    <row r="129" spans="1:4" ht="15" x14ac:dyDescent="0.25">
      <c r="A129" s="41">
        <v>64</v>
      </c>
      <c r="B129">
        <v>40930</v>
      </c>
      <c r="C129">
        <v>41296</v>
      </c>
      <c r="D129">
        <v>56.9</v>
      </c>
    </row>
    <row r="130" spans="1:4" ht="15" x14ac:dyDescent="0.25">
      <c r="A130" s="41">
        <v>1228</v>
      </c>
      <c r="B130">
        <v>40210</v>
      </c>
      <c r="C130">
        <v>40575</v>
      </c>
      <c r="D130">
        <v>312</v>
      </c>
    </row>
    <row r="131" spans="1:4" ht="15" x14ac:dyDescent="0.25">
      <c r="A131" s="41">
        <v>930</v>
      </c>
      <c r="B131">
        <v>40569</v>
      </c>
      <c r="C131">
        <v>40934</v>
      </c>
      <c r="D131">
        <v>46.2</v>
      </c>
    </row>
    <row r="132" spans="1:4" ht="15" x14ac:dyDescent="0.25">
      <c r="A132" s="41">
        <v>1338</v>
      </c>
      <c r="B132">
        <v>39115</v>
      </c>
      <c r="C132">
        <v>39480</v>
      </c>
      <c r="D132">
        <v>94.5</v>
      </c>
    </row>
    <row r="133" spans="1:4" ht="15" x14ac:dyDescent="0.25">
      <c r="A133" s="41">
        <v>1333</v>
      </c>
      <c r="B133">
        <v>40941</v>
      </c>
      <c r="C133">
        <v>41307</v>
      </c>
      <c r="D133">
        <v>270.89999999999998</v>
      </c>
    </row>
    <row r="134" spans="1:4" ht="15" x14ac:dyDescent="0.25">
      <c r="A134" s="41">
        <v>774</v>
      </c>
      <c r="B134">
        <v>39098</v>
      </c>
      <c r="C134">
        <v>39463</v>
      </c>
      <c r="D134">
        <v>460.3</v>
      </c>
    </row>
    <row r="135" spans="1:4" ht="15" x14ac:dyDescent="0.25">
      <c r="A135" s="41">
        <v>645</v>
      </c>
      <c r="B135">
        <v>40337</v>
      </c>
      <c r="C135">
        <v>40702</v>
      </c>
      <c r="D135">
        <v>177.8</v>
      </c>
    </row>
    <row r="136" spans="1:4" ht="15" x14ac:dyDescent="0.25">
      <c r="A136" s="41">
        <v>247</v>
      </c>
      <c r="B136">
        <v>40374</v>
      </c>
      <c r="C136">
        <v>40583</v>
      </c>
      <c r="D136">
        <v>0</v>
      </c>
    </row>
    <row r="137" spans="1:4" ht="15" x14ac:dyDescent="0.25">
      <c r="A137" s="41">
        <v>404</v>
      </c>
      <c r="B137">
        <v>39110</v>
      </c>
      <c r="C137">
        <v>39475</v>
      </c>
      <c r="D137">
        <v>173.6</v>
      </c>
    </row>
    <row r="138" spans="1:4" ht="15" x14ac:dyDescent="0.25">
      <c r="A138" s="41">
        <v>120</v>
      </c>
      <c r="B138">
        <v>39080</v>
      </c>
      <c r="C138">
        <v>39445</v>
      </c>
      <c r="D138">
        <v>368.6</v>
      </c>
    </row>
    <row r="139" spans="1:4" ht="15" x14ac:dyDescent="0.25">
      <c r="A139" s="41">
        <v>622</v>
      </c>
      <c r="B139">
        <v>40939</v>
      </c>
      <c r="C139">
        <v>41305</v>
      </c>
      <c r="D139">
        <v>341.9</v>
      </c>
    </row>
    <row r="140" spans="1:4" ht="15" x14ac:dyDescent="0.25">
      <c r="A140" s="41">
        <v>790</v>
      </c>
      <c r="B140">
        <v>40603</v>
      </c>
      <c r="C140">
        <v>40969</v>
      </c>
      <c r="D140">
        <v>194</v>
      </c>
    </row>
    <row r="141" spans="1:4" ht="15" x14ac:dyDescent="0.25">
      <c r="A141" s="41">
        <v>1383</v>
      </c>
      <c r="B141">
        <v>40239</v>
      </c>
      <c r="C141">
        <v>40604</v>
      </c>
      <c r="D141">
        <v>147.9</v>
      </c>
    </row>
    <row r="142" spans="1:4" ht="15" x14ac:dyDescent="0.25">
      <c r="A142" s="41">
        <v>232</v>
      </c>
      <c r="B142">
        <v>39096</v>
      </c>
      <c r="C142">
        <v>39461</v>
      </c>
      <c r="D142">
        <v>185.5</v>
      </c>
    </row>
    <row r="143" spans="1:4" ht="15" x14ac:dyDescent="0.25">
      <c r="A143" s="41">
        <v>457</v>
      </c>
      <c r="B143">
        <v>40934</v>
      </c>
      <c r="C143">
        <v>41300</v>
      </c>
      <c r="D143">
        <v>208.2</v>
      </c>
    </row>
    <row r="144" spans="1:4" ht="15" x14ac:dyDescent="0.25">
      <c r="A144" s="41">
        <v>622</v>
      </c>
      <c r="B144">
        <v>39478</v>
      </c>
      <c r="C144">
        <v>39844</v>
      </c>
      <c r="D144">
        <v>308.3</v>
      </c>
    </row>
    <row r="145" spans="1:4" ht="15" x14ac:dyDescent="0.25">
      <c r="A145" s="41">
        <v>1307</v>
      </c>
      <c r="B145">
        <v>40209</v>
      </c>
      <c r="C145">
        <v>40574</v>
      </c>
      <c r="D145">
        <v>438.9</v>
      </c>
    </row>
    <row r="146" spans="1:4" ht="15" x14ac:dyDescent="0.25">
      <c r="A146" s="41">
        <v>232</v>
      </c>
      <c r="B146">
        <v>39827</v>
      </c>
      <c r="C146">
        <v>40192</v>
      </c>
      <c r="D146">
        <v>201</v>
      </c>
    </row>
    <row r="147" spans="1:4" ht="15" x14ac:dyDescent="0.25">
      <c r="A147" s="41">
        <v>1338</v>
      </c>
      <c r="B147">
        <v>39846</v>
      </c>
      <c r="C147">
        <v>40211</v>
      </c>
      <c r="D147">
        <v>102.1</v>
      </c>
    </row>
    <row r="148" spans="1:4" ht="15" x14ac:dyDescent="0.25">
      <c r="A148" s="41">
        <v>1408</v>
      </c>
      <c r="B148">
        <v>39112</v>
      </c>
      <c r="C148">
        <v>39477</v>
      </c>
      <c r="D148">
        <v>213.7</v>
      </c>
    </row>
    <row r="149" spans="1:4" ht="15" x14ac:dyDescent="0.25">
      <c r="A149" s="41">
        <v>1317</v>
      </c>
      <c r="B149">
        <v>40941</v>
      </c>
      <c r="C149">
        <v>41307</v>
      </c>
      <c r="D149">
        <v>180.7</v>
      </c>
    </row>
    <row r="150" spans="1:4" ht="15" x14ac:dyDescent="0.25">
      <c r="A150" s="41">
        <v>110</v>
      </c>
      <c r="B150">
        <v>40558</v>
      </c>
      <c r="C150">
        <v>40923</v>
      </c>
      <c r="D150">
        <v>334.1</v>
      </c>
    </row>
    <row r="151" spans="1:4" ht="15" x14ac:dyDescent="0.25">
      <c r="A151" s="41">
        <v>115</v>
      </c>
      <c r="B151">
        <v>40663</v>
      </c>
      <c r="C151">
        <v>41029</v>
      </c>
      <c r="D151">
        <v>183.2</v>
      </c>
    </row>
    <row r="152" spans="1:4" ht="15" x14ac:dyDescent="0.25">
      <c r="A152" s="41">
        <v>110</v>
      </c>
      <c r="B152">
        <v>39462</v>
      </c>
      <c r="C152">
        <v>39828</v>
      </c>
      <c r="D152">
        <v>304.8</v>
      </c>
    </row>
    <row r="153" spans="1:4" ht="15" x14ac:dyDescent="0.25">
      <c r="A153" s="41">
        <v>1149</v>
      </c>
      <c r="B153">
        <v>39845</v>
      </c>
      <c r="C153">
        <v>40210</v>
      </c>
      <c r="D153">
        <v>266.89999999999998</v>
      </c>
    </row>
    <row r="154" spans="1:4" ht="15" x14ac:dyDescent="0.25">
      <c r="A154" s="41">
        <v>395</v>
      </c>
      <c r="B154">
        <v>39114</v>
      </c>
      <c r="C154">
        <v>39479</v>
      </c>
      <c r="D154">
        <v>208.3</v>
      </c>
    </row>
    <row r="155" spans="1:4" ht="15" x14ac:dyDescent="0.25">
      <c r="A155" s="41">
        <v>277</v>
      </c>
      <c r="B155">
        <v>40209</v>
      </c>
      <c r="C155">
        <v>40574</v>
      </c>
      <c r="D155">
        <v>251</v>
      </c>
    </row>
    <row r="156" spans="1:4" ht="15" x14ac:dyDescent="0.25">
      <c r="A156" s="41">
        <v>594</v>
      </c>
      <c r="B156">
        <v>39470</v>
      </c>
      <c r="C156">
        <v>39836</v>
      </c>
      <c r="D156">
        <v>459.4</v>
      </c>
    </row>
    <row r="157" spans="1:4" ht="15" x14ac:dyDescent="0.25">
      <c r="A157" s="41">
        <v>185</v>
      </c>
      <c r="B157">
        <v>39463</v>
      </c>
      <c r="C157">
        <v>39829</v>
      </c>
      <c r="D157">
        <v>221.1</v>
      </c>
    </row>
    <row r="158" spans="1:4" ht="15" x14ac:dyDescent="0.25">
      <c r="A158" s="41">
        <v>404</v>
      </c>
      <c r="B158">
        <v>39617</v>
      </c>
      <c r="C158">
        <v>39841</v>
      </c>
      <c r="D158">
        <v>0</v>
      </c>
    </row>
    <row r="159" spans="1:4" ht="15" x14ac:dyDescent="0.25">
      <c r="A159" s="41">
        <v>1361</v>
      </c>
      <c r="B159">
        <v>39840</v>
      </c>
      <c r="C159">
        <v>40205</v>
      </c>
      <c r="D159">
        <v>266.39999999999998</v>
      </c>
    </row>
    <row r="160" spans="1:4" ht="15" x14ac:dyDescent="0.25">
      <c r="A160" s="41">
        <v>281</v>
      </c>
      <c r="B160">
        <v>39836</v>
      </c>
      <c r="C160">
        <v>40201</v>
      </c>
      <c r="D160">
        <v>907.8</v>
      </c>
    </row>
    <row r="161" spans="1:4" ht="15" x14ac:dyDescent="0.25">
      <c r="A161" s="41">
        <v>1075</v>
      </c>
      <c r="B161">
        <v>39457</v>
      </c>
      <c r="C161">
        <v>39823</v>
      </c>
      <c r="D161">
        <v>172</v>
      </c>
    </row>
    <row r="162" spans="1:4" ht="15" x14ac:dyDescent="0.25">
      <c r="A162" s="41">
        <v>1317</v>
      </c>
      <c r="B162">
        <v>39480</v>
      </c>
      <c r="C162">
        <v>39846</v>
      </c>
      <c r="D162">
        <v>162.80000000000001</v>
      </c>
    </row>
    <row r="163" spans="1:4" ht="15" x14ac:dyDescent="0.25">
      <c r="A163" s="41">
        <v>600</v>
      </c>
      <c r="B163">
        <v>39112</v>
      </c>
      <c r="C163">
        <v>39477</v>
      </c>
      <c r="D163">
        <v>173.3</v>
      </c>
    </row>
    <row r="164" spans="1:4" ht="15" x14ac:dyDescent="0.25">
      <c r="A164" s="41">
        <v>812</v>
      </c>
      <c r="B164">
        <v>40344</v>
      </c>
      <c r="C164">
        <v>40709</v>
      </c>
      <c r="D164">
        <v>265.3</v>
      </c>
    </row>
    <row r="165" spans="1:4" ht="15" x14ac:dyDescent="0.25">
      <c r="A165" s="41">
        <v>1361</v>
      </c>
      <c r="B165">
        <v>39109</v>
      </c>
      <c r="C165">
        <v>39474</v>
      </c>
      <c r="D165">
        <v>245.7</v>
      </c>
    </row>
    <row r="166" spans="1:4" ht="15" x14ac:dyDescent="0.25">
      <c r="A166" s="41">
        <v>645</v>
      </c>
      <c r="B166">
        <v>39241</v>
      </c>
      <c r="C166">
        <v>39607</v>
      </c>
      <c r="D166">
        <v>163.9</v>
      </c>
    </row>
    <row r="167" spans="1:4" ht="15" x14ac:dyDescent="0.25">
      <c r="A167" s="41">
        <v>755</v>
      </c>
      <c r="B167">
        <v>40425</v>
      </c>
      <c r="C167">
        <v>40589</v>
      </c>
      <c r="D167">
        <v>-103.74</v>
      </c>
    </row>
    <row r="168" spans="1:4" ht="15" x14ac:dyDescent="0.25">
      <c r="A168" s="41">
        <v>1188</v>
      </c>
      <c r="B168">
        <v>40207</v>
      </c>
      <c r="C168">
        <v>40572</v>
      </c>
      <c r="D168">
        <v>304.7</v>
      </c>
    </row>
    <row r="169" spans="1:4" ht="15" x14ac:dyDescent="0.25">
      <c r="A169" s="41">
        <v>480</v>
      </c>
      <c r="B169">
        <v>39471</v>
      </c>
      <c r="C169">
        <v>39837</v>
      </c>
      <c r="D169">
        <v>125.5</v>
      </c>
    </row>
    <row r="170" spans="1:4" ht="15" x14ac:dyDescent="0.25">
      <c r="A170" s="41">
        <v>790</v>
      </c>
      <c r="B170">
        <v>40969</v>
      </c>
      <c r="C170">
        <v>41334</v>
      </c>
      <c r="D170">
        <v>196.4</v>
      </c>
    </row>
    <row r="171" spans="1:4" ht="15" x14ac:dyDescent="0.25">
      <c r="A171" s="41">
        <v>692</v>
      </c>
      <c r="B171">
        <v>40907</v>
      </c>
      <c r="C171">
        <v>41273</v>
      </c>
      <c r="D171">
        <v>81.8</v>
      </c>
    </row>
    <row r="172" spans="1:4" ht="15" x14ac:dyDescent="0.25">
      <c r="A172" s="41">
        <v>237</v>
      </c>
      <c r="B172">
        <v>40178</v>
      </c>
      <c r="C172">
        <v>40543</v>
      </c>
      <c r="D172">
        <v>500.6</v>
      </c>
    </row>
    <row r="173" spans="1:4" ht="15" x14ac:dyDescent="0.25">
      <c r="A173" s="41">
        <v>1299</v>
      </c>
      <c r="B173">
        <v>39853</v>
      </c>
      <c r="C173">
        <v>40197</v>
      </c>
      <c r="D173">
        <v>-252.072</v>
      </c>
    </row>
    <row r="174" spans="1:4" ht="15" x14ac:dyDescent="0.25">
      <c r="A174" s="41">
        <v>912</v>
      </c>
      <c r="B174">
        <v>39112</v>
      </c>
      <c r="C174">
        <v>39477</v>
      </c>
      <c r="D174">
        <v>38.200000000000003</v>
      </c>
    </row>
    <row r="175" spans="1:4" ht="15" x14ac:dyDescent="0.25">
      <c r="A175" s="41">
        <v>281</v>
      </c>
      <c r="B175">
        <v>40931</v>
      </c>
      <c r="C175">
        <v>41297</v>
      </c>
      <c r="D175">
        <v>778.3</v>
      </c>
    </row>
    <row r="176" spans="1:4" ht="15" x14ac:dyDescent="0.25">
      <c r="A176" s="41">
        <v>974</v>
      </c>
      <c r="B176">
        <v>40607</v>
      </c>
      <c r="C176">
        <v>40973</v>
      </c>
      <c r="D176">
        <v>317.89999999999998</v>
      </c>
    </row>
    <row r="177" spans="1:4" ht="15" x14ac:dyDescent="0.25">
      <c r="A177" s="41">
        <v>898</v>
      </c>
      <c r="B177">
        <v>39896</v>
      </c>
      <c r="C177">
        <v>40261</v>
      </c>
      <c r="D177">
        <v>279</v>
      </c>
    </row>
    <row r="178" spans="1:4" ht="15" x14ac:dyDescent="0.25">
      <c r="A178" s="41">
        <v>110</v>
      </c>
      <c r="B178">
        <v>39828</v>
      </c>
      <c r="C178">
        <v>40193</v>
      </c>
      <c r="D178">
        <v>326.5</v>
      </c>
    </row>
    <row r="179" spans="1:4" ht="15" x14ac:dyDescent="0.25">
      <c r="A179" s="41">
        <v>457</v>
      </c>
      <c r="B179">
        <v>40569</v>
      </c>
      <c r="C179">
        <v>40934</v>
      </c>
      <c r="D179">
        <v>205.7</v>
      </c>
    </row>
    <row r="180" spans="1:4" ht="15" x14ac:dyDescent="0.25">
      <c r="A180" s="41">
        <v>929</v>
      </c>
      <c r="B180">
        <v>39114</v>
      </c>
      <c r="C180">
        <v>39479</v>
      </c>
      <c r="D180">
        <v>148.6</v>
      </c>
    </row>
    <row r="181" spans="1:4" ht="15" x14ac:dyDescent="0.25">
      <c r="A181" s="41">
        <v>755</v>
      </c>
      <c r="B181">
        <v>40224</v>
      </c>
      <c r="C181">
        <v>40589</v>
      </c>
      <c r="D181">
        <v>231</v>
      </c>
    </row>
    <row r="182" spans="1:4" ht="15" x14ac:dyDescent="0.25">
      <c r="A182" s="41">
        <v>898</v>
      </c>
      <c r="B182">
        <v>40992</v>
      </c>
      <c r="C182">
        <v>41357</v>
      </c>
      <c r="D182">
        <v>290.2</v>
      </c>
    </row>
    <row r="183" spans="1:4" ht="15" x14ac:dyDescent="0.25">
      <c r="A183" s="41">
        <v>898</v>
      </c>
      <c r="B183">
        <v>40261</v>
      </c>
      <c r="C183">
        <v>40626</v>
      </c>
      <c r="D183">
        <v>279</v>
      </c>
    </row>
    <row r="184" spans="1:4" ht="15" x14ac:dyDescent="0.25">
      <c r="A184" s="41">
        <v>1188</v>
      </c>
      <c r="B184">
        <v>39111</v>
      </c>
      <c r="C184">
        <v>39476</v>
      </c>
      <c r="D184">
        <v>281.39999999999998</v>
      </c>
    </row>
    <row r="185" spans="1:4" ht="15" x14ac:dyDescent="0.25">
      <c r="A185" s="41">
        <v>622</v>
      </c>
      <c r="B185">
        <v>40574</v>
      </c>
      <c r="C185">
        <v>40939</v>
      </c>
      <c r="D185">
        <v>337.8</v>
      </c>
    </row>
    <row r="186" spans="1:4" ht="15" x14ac:dyDescent="0.25">
      <c r="A186" s="41">
        <v>1373</v>
      </c>
      <c r="B186">
        <v>40574</v>
      </c>
      <c r="C186">
        <v>40939</v>
      </c>
      <c r="D186">
        <v>190</v>
      </c>
    </row>
    <row r="187" spans="1:4" ht="15" x14ac:dyDescent="0.25">
      <c r="A187" s="41">
        <v>395</v>
      </c>
      <c r="B187">
        <v>40575</v>
      </c>
      <c r="C187">
        <v>40940</v>
      </c>
      <c r="D187">
        <v>230.8</v>
      </c>
    </row>
    <row r="188" spans="1:4" ht="15" x14ac:dyDescent="0.25">
      <c r="A188" s="41">
        <v>1228</v>
      </c>
      <c r="B188">
        <v>40940</v>
      </c>
      <c r="C188">
        <v>41306</v>
      </c>
      <c r="D188">
        <v>323.10000000000002</v>
      </c>
    </row>
    <row r="189" spans="1:4" ht="15" x14ac:dyDescent="0.25">
      <c r="A189" s="41">
        <v>1408</v>
      </c>
      <c r="B189">
        <v>40208</v>
      </c>
      <c r="C189">
        <v>40573</v>
      </c>
      <c r="D189">
        <v>231.5</v>
      </c>
    </row>
    <row r="190" spans="1:4" ht="15" x14ac:dyDescent="0.25">
      <c r="A190" s="41">
        <v>1353</v>
      </c>
      <c r="B190">
        <v>40934</v>
      </c>
      <c r="C190">
        <v>41300</v>
      </c>
      <c r="D190">
        <v>102.8</v>
      </c>
    </row>
    <row r="191" spans="1:4" ht="15" x14ac:dyDescent="0.25">
      <c r="A191" s="41">
        <v>879</v>
      </c>
      <c r="B191">
        <v>40357</v>
      </c>
      <c r="C191">
        <v>40722</v>
      </c>
      <c r="D191">
        <v>151.30000000000001</v>
      </c>
    </row>
    <row r="192" spans="1:4" ht="15" x14ac:dyDescent="0.25">
      <c r="A192" s="41">
        <v>1083</v>
      </c>
      <c r="B192">
        <v>40210</v>
      </c>
      <c r="C192">
        <v>40575</v>
      </c>
      <c r="D192">
        <v>41.4</v>
      </c>
    </row>
    <row r="193" spans="1:4" ht="15" x14ac:dyDescent="0.25">
      <c r="A193" s="41">
        <v>303</v>
      </c>
      <c r="B193">
        <v>39469</v>
      </c>
      <c r="C193">
        <v>39835</v>
      </c>
      <c r="D193">
        <v>204.9</v>
      </c>
    </row>
    <row r="194" spans="1:4" ht="15" x14ac:dyDescent="0.25">
      <c r="A194" s="41">
        <v>185</v>
      </c>
      <c r="B194">
        <v>40559</v>
      </c>
      <c r="C194">
        <v>40924</v>
      </c>
      <c r="D194">
        <v>242.3</v>
      </c>
    </row>
    <row r="195" spans="1:4" ht="15" x14ac:dyDescent="0.25">
      <c r="A195" s="41">
        <v>790</v>
      </c>
      <c r="B195">
        <v>40014</v>
      </c>
      <c r="C195">
        <v>40238</v>
      </c>
      <c r="D195">
        <v>0</v>
      </c>
    </row>
    <row r="196" spans="1:4" ht="15" x14ac:dyDescent="0.25">
      <c r="A196" s="41">
        <v>645</v>
      </c>
      <c r="B196">
        <v>39607</v>
      </c>
      <c r="C196">
        <v>39972</v>
      </c>
      <c r="D196">
        <v>166.6</v>
      </c>
    </row>
    <row r="197" spans="1:4" ht="15" x14ac:dyDescent="0.25">
      <c r="A197" s="41">
        <v>1206</v>
      </c>
      <c r="B197">
        <v>39461</v>
      </c>
      <c r="C197">
        <v>39827</v>
      </c>
      <c r="D197">
        <v>241.9</v>
      </c>
    </row>
    <row r="198" spans="1:4" ht="15" x14ac:dyDescent="0.25">
      <c r="A198" s="41">
        <v>257</v>
      </c>
      <c r="B198">
        <v>40215</v>
      </c>
      <c r="C198">
        <v>40580</v>
      </c>
      <c r="D198">
        <v>609.70000000000005</v>
      </c>
    </row>
    <row r="199" spans="1:4" ht="15" x14ac:dyDescent="0.25">
      <c r="A199" s="41">
        <v>879</v>
      </c>
      <c r="B199">
        <v>38896</v>
      </c>
      <c r="C199">
        <v>39261</v>
      </c>
      <c r="D199">
        <v>131</v>
      </c>
    </row>
    <row r="200" spans="1:4" ht="15" x14ac:dyDescent="0.25">
      <c r="A200" s="41">
        <v>583</v>
      </c>
      <c r="B200">
        <v>40564</v>
      </c>
      <c r="C200">
        <v>40929</v>
      </c>
      <c r="D200">
        <v>310.7</v>
      </c>
    </row>
    <row r="201" spans="1:4" ht="15" x14ac:dyDescent="0.25">
      <c r="A201" s="41">
        <v>486</v>
      </c>
      <c r="B201">
        <v>40146</v>
      </c>
      <c r="C201">
        <v>40511</v>
      </c>
      <c r="D201">
        <v>31.6</v>
      </c>
    </row>
    <row r="202" spans="1:4" ht="15" x14ac:dyDescent="0.25">
      <c r="A202" s="41">
        <v>162</v>
      </c>
      <c r="B202">
        <v>39835</v>
      </c>
      <c r="C202">
        <v>40200</v>
      </c>
      <c r="D202">
        <v>226.9</v>
      </c>
    </row>
    <row r="203" spans="1:4" ht="15" x14ac:dyDescent="0.25">
      <c r="A203" s="41">
        <v>1317</v>
      </c>
      <c r="B203">
        <v>39891</v>
      </c>
      <c r="C203">
        <v>40211</v>
      </c>
      <c r="D203">
        <v>151.631</v>
      </c>
    </row>
    <row r="204" spans="1:4" ht="15" x14ac:dyDescent="0.25">
      <c r="A204" s="41">
        <v>1307</v>
      </c>
      <c r="B204">
        <v>39844</v>
      </c>
      <c r="C204">
        <v>40209</v>
      </c>
      <c r="D204">
        <v>438.9</v>
      </c>
    </row>
    <row r="205" spans="1:4" ht="15" x14ac:dyDescent="0.25">
      <c r="A205" s="41">
        <v>977</v>
      </c>
      <c r="B205">
        <v>39843</v>
      </c>
      <c r="C205">
        <v>40208</v>
      </c>
      <c r="D205">
        <v>334.2</v>
      </c>
    </row>
    <row r="206" spans="1:4" ht="15" x14ac:dyDescent="0.25">
      <c r="A206" s="41">
        <v>185</v>
      </c>
      <c r="B206">
        <v>39098</v>
      </c>
      <c r="C206">
        <v>39463</v>
      </c>
      <c r="D206">
        <v>218.6</v>
      </c>
    </row>
    <row r="207" spans="1:4" ht="15" x14ac:dyDescent="0.25">
      <c r="A207" s="41">
        <v>295</v>
      </c>
      <c r="B207">
        <v>40933</v>
      </c>
      <c r="C207">
        <v>41299</v>
      </c>
      <c r="D207">
        <v>283.39999999999998</v>
      </c>
    </row>
    <row r="208" spans="1:4" ht="15" x14ac:dyDescent="0.25">
      <c r="A208" s="41">
        <v>717</v>
      </c>
      <c r="B208">
        <v>40936</v>
      </c>
      <c r="C208">
        <v>41302</v>
      </c>
      <c r="D208">
        <v>276.39999999999998</v>
      </c>
    </row>
    <row r="209" spans="1:4" ht="15" x14ac:dyDescent="0.25">
      <c r="A209" s="41">
        <v>404</v>
      </c>
      <c r="B209">
        <v>40389</v>
      </c>
      <c r="C209">
        <v>40571</v>
      </c>
      <c r="D209">
        <v>0</v>
      </c>
    </row>
    <row r="210" spans="1:4" ht="15" x14ac:dyDescent="0.25">
      <c r="A210" s="41">
        <v>255</v>
      </c>
      <c r="B210">
        <v>40921</v>
      </c>
      <c r="C210">
        <v>41287</v>
      </c>
      <c r="D210">
        <v>276.8</v>
      </c>
    </row>
    <row r="211" spans="1:4" ht="15" x14ac:dyDescent="0.25">
      <c r="A211" s="41">
        <v>583</v>
      </c>
      <c r="B211">
        <v>40929</v>
      </c>
      <c r="C211">
        <v>41295</v>
      </c>
      <c r="D211">
        <v>314.5</v>
      </c>
    </row>
    <row r="212" spans="1:4" ht="15" x14ac:dyDescent="0.25">
      <c r="A212" s="41">
        <v>404</v>
      </c>
      <c r="B212">
        <v>40571</v>
      </c>
      <c r="C212">
        <v>40936</v>
      </c>
      <c r="D212">
        <v>192.5</v>
      </c>
    </row>
    <row r="213" spans="1:4" ht="15" x14ac:dyDescent="0.25">
      <c r="A213" s="41">
        <v>1013</v>
      </c>
      <c r="B213">
        <v>40576</v>
      </c>
      <c r="C213">
        <v>40941</v>
      </c>
      <c r="D213">
        <v>229.9</v>
      </c>
    </row>
    <row r="214" spans="1:4" ht="15" x14ac:dyDescent="0.25">
      <c r="A214" s="41">
        <v>755</v>
      </c>
      <c r="B214">
        <v>39493</v>
      </c>
      <c r="C214">
        <v>39859</v>
      </c>
      <c r="D214">
        <v>279.2</v>
      </c>
    </row>
    <row r="215" spans="1:4" ht="15" x14ac:dyDescent="0.25">
      <c r="A215" s="41">
        <v>600</v>
      </c>
      <c r="B215">
        <v>39843</v>
      </c>
      <c r="C215">
        <v>40208</v>
      </c>
      <c r="D215">
        <v>188</v>
      </c>
    </row>
    <row r="216" spans="1:4" ht="15" x14ac:dyDescent="0.25">
      <c r="A216" s="41">
        <v>1188</v>
      </c>
      <c r="B216">
        <v>40572</v>
      </c>
      <c r="C216">
        <v>40937</v>
      </c>
      <c r="D216">
        <v>311.8</v>
      </c>
    </row>
    <row r="217" spans="1:4" ht="15" x14ac:dyDescent="0.25">
      <c r="A217" s="41">
        <v>594</v>
      </c>
      <c r="B217">
        <v>40566</v>
      </c>
      <c r="C217">
        <v>40931</v>
      </c>
      <c r="D217">
        <v>479.8</v>
      </c>
    </row>
    <row r="218" spans="1:4" ht="15" x14ac:dyDescent="0.25">
      <c r="A218" s="41">
        <v>577</v>
      </c>
      <c r="B218">
        <v>40208</v>
      </c>
      <c r="C218">
        <v>40573</v>
      </c>
      <c r="D218">
        <v>104.9</v>
      </c>
    </row>
    <row r="219" spans="1:4" ht="15" x14ac:dyDescent="0.25">
      <c r="A219" s="41">
        <v>1333</v>
      </c>
      <c r="B219">
        <v>39846</v>
      </c>
      <c r="C219">
        <v>40211</v>
      </c>
      <c r="D219">
        <v>261.5</v>
      </c>
    </row>
    <row r="220" spans="1:4" ht="15" x14ac:dyDescent="0.25">
      <c r="A220" s="41">
        <v>1333</v>
      </c>
      <c r="B220">
        <v>39480</v>
      </c>
      <c r="C220">
        <v>39846</v>
      </c>
      <c r="D220">
        <v>244.1</v>
      </c>
    </row>
    <row r="221" spans="1:4" ht="15" x14ac:dyDescent="0.25">
      <c r="A221" s="41">
        <v>548</v>
      </c>
      <c r="B221">
        <v>39812</v>
      </c>
      <c r="C221">
        <v>40177</v>
      </c>
      <c r="D221">
        <v>266.89999999999998</v>
      </c>
    </row>
    <row r="222" spans="1:4" ht="15" x14ac:dyDescent="0.25">
      <c r="A222" s="41">
        <v>26</v>
      </c>
      <c r="B222">
        <v>39103</v>
      </c>
      <c r="C222">
        <v>39468</v>
      </c>
      <c r="D222">
        <v>191</v>
      </c>
    </row>
    <row r="223" spans="1:4" ht="15" x14ac:dyDescent="0.25">
      <c r="A223" s="41">
        <v>281</v>
      </c>
      <c r="B223">
        <v>39105</v>
      </c>
      <c r="C223">
        <v>39470</v>
      </c>
      <c r="D223">
        <v>838.3</v>
      </c>
    </row>
    <row r="224" spans="1:4" ht="15" x14ac:dyDescent="0.25">
      <c r="A224" s="41">
        <v>480</v>
      </c>
      <c r="B224">
        <v>40202</v>
      </c>
      <c r="C224">
        <v>40567</v>
      </c>
      <c r="D224">
        <v>134.5</v>
      </c>
    </row>
    <row r="225" spans="1:4" ht="15" x14ac:dyDescent="0.25">
      <c r="A225" s="41">
        <v>1083</v>
      </c>
      <c r="B225">
        <v>39479</v>
      </c>
      <c r="C225">
        <v>39845</v>
      </c>
      <c r="D225">
        <v>39.299999999999997</v>
      </c>
    </row>
    <row r="226" spans="1:4" ht="15" x14ac:dyDescent="0.25">
      <c r="A226" s="41">
        <v>395</v>
      </c>
      <c r="B226">
        <v>39845</v>
      </c>
      <c r="C226">
        <v>40210</v>
      </c>
      <c r="D226">
        <v>225.6</v>
      </c>
    </row>
    <row r="227" spans="1:4" ht="15" x14ac:dyDescent="0.25">
      <c r="A227" s="41">
        <v>478</v>
      </c>
      <c r="B227">
        <v>40563</v>
      </c>
      <c r="C227">
        <v>40928</v>
      </c>
      <c r="D227">
        <v>30</v>
      </c>
    </row>
    <row r="228" spans="1:4" ht="15" x14ac:dyDescent="0.25">
      <c r="A228" s="41">
        <v>303</v>
      </c>
      <c r="B228">
        <v>40565</v>
      </c>
      <c r="C228">
        <v>40930</v>
      </c>
      <c r="D228">
        <v>224.6</v>
      </c>
    </row>
    <row r="229" spans="1:4" ht="15" x14ac:dyDescent="0.25">
      <c r="A229" s="41">
        <v>774</v>
      </c>
      <c r="B229">
        <v>39463</v>
      </c>
      <c r="C229">
        <v>39829</v>
      </c>
      <c r="D229">
        <v>465.4</v>
      </c>
    </row>
    <row r="230" spans="1:4" ht="15" x14ac:dyDescent="0.25">
      <c r="A230" s="41">
        <v>1075</v>
      </c>
      <c r="B230">
        <v>39092</v>
      </c>
      <c r="C230">
        <v>39457</v>
      </c>
      <c r="D230">
        <v>170.1</v>
      </c>
    </row>
    <row r="231" spans="1:4" ht="15" x14ac:dyDescent="0.25">
      <c r="A231" s="41">
        <v>930</v>
      </c>
      <c r="B231">
        <v>40204</v>
      </c>
      <c r="C231">
        <v>40569</v>
      </c>
      <c r="D231">
        <v>46.2</v>
      </c>
    </row>
    <row r="232" spans="1:4" ht="15" x14ac:dyDescent="0.25">
      <c r="A232" s="41">
        <v>1073</v>
      </c>
      <c r="B232">
        <v>40939</v>
      </c>
      <c r="C232">
        <v>41305</v>
      </c>
      <c r="D232">
        <v>362.1</v>
      </c>
    </row>
    <row r="233" spans="1:4" ht="15" x14ac:dyDescent="0.25">
      <c r="A233" s="41">
        <v>26</v>
      </c>
      <c r="B233">
        <v>40199</v>
      </c>
      <c r="C233">
        <v>40564</v>
      </c>
      <c r="D233">
        <v>207</v>
      </c>
    </row>
    <row r="234" spans="1:4" ht="15" x14ac:dyDescent="0.25">
      <c r="A234" s="41">
        <v>110</v>
      </c>
      <c r="B234">
        <v>39097</v>
      </c>
      <c r="C234">
        <v>39462</v>
      </c>
      <c r="D234">
        <v>301.39999999999998</v>
      </c>
    </row>
    <row r="235" spans="1:4" ht="15" x14ac:dyDescent="0.25">
      <c r="A235" s="41">
        <v>162</v>
      </c>
      <c r="B235">
        <v>40147</v>
      </c>
      <c r="C235">
        <v>40200</v>
      </c>
      <c r="D235">
        <v>0</v>
      </c>
    </row>
    <row r="236" spans="1:4" ht="15" x14ac:dyDescent="0.25">
      <c r="A236" s="41">
        <v>26</v>
      </c>
      <c r="B236">
        <v>40564</v>
      </c>
      <c r="C236">
        <v>40929</v>
      </c>
      <c r="D236">
        <v>211.8</v>
      </c>
    </row>
    <row r="237" spans="1:4" ht="15" x14ac:dyDescent="0.25">
      <c r="A237" s="41">
        <v>594</v>
      </c>
      <c r="B237">
        <v>39836</v>
      </c>
      <c r="C237">
        <v>40201</v>
      </c>
      <c r="D237">
        <v>492.1</v>
      </c>
    </row>
    <row r="238" spans="1:4" ht="15" x14ac:dyDescent="0.25">
      <c r="A238" s="41">
        <v>404</v>
      </c>
      <c r="B238">
        <v>40206</v>
      </c>
      <c r="C238">
        <v>40571</v>
      </c>
      <c r="D238">
        <v>188.1</v>
      </c>
    </row>
    <row r="239" spans="1:4" ht="15" x14ac:dyDescent="0.25">
      <c r="A239" s="41">
        <v>1318</v>
      </c>
      <c r="B239">
        <v>39107</v>
      </c>
      <c r="C239">
        <v>39472</v>
      </c>
      <c r="D239">
        <v>173</v>
      </c>
    </row>
    <row r="240" spans="1:4" ht="15" x14ac:dyDescent="0.25">
      <c r="A240" s="41">
        <v>848</v>
      </c>
      <c r="B240">
        <v>40584</v>
      </c>
      <c r="C240">
        <v>40949</v>
      </c>
      <c r="D240">
        <v>500.9</v>
      </c>
    </row>
    <row r="241" spans="1:4" ht="15" x14ac:dyDescent="0.25">
      <c r="A241" s="41">
        <v>977</v>
      </c>
      <c r="B241">
        <v>39112</v>
      </c>
      <c r="C241">
        <v>39477</v>
      </c>
      <c r="D241">
        <v>308.60000000000002</v>
      </c>
    </row>
    <row r="242" spans="1:4" ht="15" x14ac:dyDescent="0.25">
      <c r="A242" s="41">
        <v>295</v>
      </c>
      <c r="B242">
        <v>40203</v>
      </c>
      <c r="C242">
        <v>40568</v>
      </c>
      <c r="D242">
        <v>273.7</v>
      </c>
    </row>
    <row r="243" spans="1:4" ht="15" x14ac:dyDescent="0.25">
      <c r="A243" s="41">
        <v>790</v>
      </c>
      <c r="B243">
        <v>40238</v>
      </c>
      <c r="C243">
        <v>40603</v>
      </c>
      <c r="D243">
        <v>189.6</v>
      </c>
    </row>
    <row r="244" spans="1:4" ht="15" x14ac:dyDescent="0.25">
      <c r="A244" s="41">
        <v>794</v>
      </c>
      <c r="B244">
        <v>39477</v>
      </c>
      <c r="C244">
        <v>39843</v>
      </c>
      <c r="D244">
        <v>255.6</v>
      </c>
    </row>
    <row r="245" spans="1:4" ht="15" x14ac:dyDescent="0.25">
      <c r="A245" s="41">
        <v>1311</v>
      </c>
      <c r="B245">
        <v>40233</v>
      </c>
      <c r="C245">
        <v>40598</v>
      </c>
      <c r="D245">
        <v>280</v>
      </c>
    </row>
    <row r="246" spans="1:4" ht="15" x14ac:dyDescent="0.25">
      <c r="A246" s="41">
        <v>1101</v>
      </c>
      <c r="B246">
        <v>39133</v>
      </c>
      <c r="C246">
        <v>39487</v>
      </c>
      <c r="D246">
        <v>0</v>
      </c>
    </row>
    <row r="247" spans="1:4" ht="15" x14ac:dyDescent="0.25">
      <c r="A247" s="41">
        <v>1408</v>
      </c>
      <c r="B247">
        <v>39843</v>
      </c>
      <c r="C247">
        <v>40208</v>
      </c>
      <c r="D247">
        <v>231.5</v>
      </c>
    </row>
    <row r="248" spans="1:4" ht="15" x14ac:dyDescent="0.25">
      <c r="A248" s="41">
        <v>120</v>
      </c>
      <c r="B248">
        <v>39811</v>
      </c>
      <c r="C248">
        <v>40176</v>
      </c>
      <c r="D248">
        <v>399.3</v>
      </c>
    </row>
    <row r="249" spans="1:4" ht="15" x14ac:dyDescent="0.25">
      <c r="A249" s="41">
        <v>457</v>
      </c>
      <c r="B249">
        <v>39108</v>
      </c>
      <c r="C249">
        <v>39473</v>
      </c>
      <c r="D249">
        <v>185.5</v>
      </c>
    </row>
    <row r="250" spans="1:4" ht="15" x14ac:dyDescent="0.25">
      <c r="A250" s="41">
        <v>645</v>
      </c>
      <c r="B250">
        <v>39972</v>
      </c>
      <c r="C250">
        <v>40337</v>
      </c>
      <c r="D250">
        <v>177.8</v>
      </c>
    </row>
    <row r="251" spans="1:4" ht="15" x14ac:dyDescent="0.25">
      <c r="A251" s="41">
        <v>898</v>
      </c>
      <c r="B251">
        <v>39165</v>
      </c>
      <c r="C251">
        <v>39531</v>
      </c>
      <c r="D251">
        <v>257.60000000000002</v>
      </c>
    </row>
    <row r="252" spans="1:4" ht="15" x14ac:dyDescent="0.25">
      <c r="A252" s="41">
        <v>1188</v>
      </c>
      <c r="B252">
        <v>39476</v>
      </c>
      <c r="C252">
        <v>39842</v>
      </c>
      <c r="D252">
        <v>284.5</v>
      </c>
    </row>
    <row r="253" spans="1:4" ht="15" x14ac:dyDescent="0.25">
      <c r="A253" s="41">
        <v>730</v>
      </c>
      <c r="B253">
        <v>39128</v>
      </c>
      <c r="C253">
        <v>39493</v>
      </c>
      <c r="D253">
        <v>245.1</v>
      </c>
    </row>
    <row r="254" spans="1:4" ht="15" x14ac:dyDescent="0.25">
      <c r="A254" s="41">
        <v>977</v>
      </c>
      <c r="B254">
        <v>40208</v>
      </c>
      <c r="C254">
        <v>40573</v>
      </c>
      <c r="D254">
        <v>334.2</v>
      </c>
    </row>
    <row r="255" spans="1:4" ht="15" x14ac:dyDescent="0.25">
      <c r="A255" s="41">
        <v>486</v>
      </c>
      <c r="B255">
        <v>39415</v>
      </c>
      <c r="C255">
        <v>39781</v>
      </c>
      <c r="D255">
        <v>29.9</v>
      </c>
    </row>
    <row r="256" spans="1:4" ht="15" x14ac:dyDescent="0.25">
      <c r="A256" s="41">
        <v>1353</v>
      </c>
      <c r="B256">
        <v>39473</v>
      </c>
      <c r="C256">
        <v>39839</v>
      </c>
      <c r="D256">
        <v>94.6</v>
      </c>
    </row>
    <row r="257" spans="1:4" ht="15" x14ac:dyDescent="0.25">
      <c r="A257" s="41">
        <v>232</v>
      </c>
      <c r="B257">
        <v>40922</v>
      </c>
      <c r="C257">
        <v>41288</v>
      </c>
      <c r="D257">
        <v>208.2</v>
      </c>
    </row>
    <row r="258" spans="1:4" ht="15" x14ac:dyDescent="0.25">
      <c r="A258" s="41">
        <v>330</v>
      </c>
      <c r="B258">
        <v>39477</v>
      </c>
      <c r="C258">
        <v>39843</v>
      </c>
      <c r="D258">
        <v>436.9</v>
      </c>
    </row>
    <row r="259" spans="1:4" ht="15" x14ac:dyDescent="0.25">
      <c r="A259" s="41">
        <v>45</v>
      </c>
      <c r="B259">
        <v>40180</v>
      </c>
      <c r="C259">
        <v>40545</v>
      </c>
      <c r="D259">
        <v>231</v>
      </c>
    </row>
    <row r="260" spans="1:4" ht="15" x14ac:dyDescent="0.25">
      <c r="A260" s="41">
        <v>1206</v>
      </c>
      <c r="B260">
        <v>39096</v>
      </c>
      <c r="C260">
        <v>39461</v>
      </c>
      <c r="D260">
        <v>239.2</v>
      </c>
    </row>
    <row r="261" spans="1:4" ht="15" x14ac:dyDescent="0.25">
      <c r="A261" s="41">
        <v>1075</v>
      </c>
      <c r="B261">
        <v>40188</v>
      </c>
      <c r="C261">
        <v>40553</v>
      </c>
      <c r="D261">
        <v>184.4</v>
      </c>
    </row>
    <row r="262" spans="1:4" ht="15" x14ac:dyDescent="0.25">
      <c r="A262" s="41">
        <v>794</v>
      </c>
      <c r="B262">
        <v>39843</v>
      </c>
      <c r="C262">
        <v>40208</v>
      </c>
      <c r="D262">
        <v>273.8</v>
      </c>
    </row>
    <row r="263" spans="1:4" ht="15" x14ac:dyDescent="0.25">
      <c r="A263" s="41">
        <v>1377</v>
      </c>
      <c r="B263">
        <v>40941</v>
      </c>
      <c r="C263">
        <v>41307</v>
      </c>
      <c r="D263">
        <v>250.8</v>
      </c>
    </row>
    <row r="264" spans="1:4" ht="15" x14ac:dyDescent="0.25">
      <c r="A264" s="41">
        <v>812</v>
      </c>
      <c r="B264">
        <v>40709</v>
      </c>
      <c r="C264">
        <v>41075</v>
      </c>
      <c r="D264">
        <v>271.5</v>
      </c>
    </row>
    <row r="265" spans="1:4" ht="15" x14ac:dyDescent="0.25">
      <c r="A265" s="41">
        <v>720</v>
      </c>
      <c r="B265">
        <v>40944</v>
      </c>
      <c r="C265">
        <v>41310</v>
      </c>
      <c r="D265">
        <v>209.5</v>
      </c>
    </row>
    <row r="266" spans="1:4" ht="15" x14ac:dyDescent="0.25">
      <c r="A266" s="41">
        <v>1311</v>
      </c>
      <c r="B266">
        <v>40598</v>
      </c>
      <c r="C266">
        <v>40963</v>
      </c>
      <c r="D266">
        <v>286.5</v>
      </c>
    </row>
    <row r="267" spans="1:4" ht="15" x14ac:dyDescent="0.25">
      <c r="A267" s="41">
        <v>594</v>
      </c>
      <c r="B267">
        <v>40201</v>
      </c>
      <c r="C267">
        <v>40566</v>
      </c>
      <c r="D267">
        <v>469</v>
      </c>
    </row>
    <row r="268" spans="1:4" ht="15" x14ac:dyDescent="0.25">
      <c r="A268" s="41">
        <v>98</v>
      </c>
      <c r="B268">
        <v>39466</v>
      </c>
      <c r="C268">
        <v>39832</v>
      </c>
      <c r="D268">
        <v>214.5</v>
      </c>
    </row>
    <row r="269" spans="1:4" ht="15" x14ac:dyDescent="0.25">
      <c r="A269" s="41">
        <v>1317</v>
      </c>
      <c r="B269">
        <v>39846</v>
      </c>
      <c r="C269">
        <v>40211</v>
      </c>
      <c r="D269">
        <v>174.4</v>
      </c>
    </row>
    <row r="270" spans="1:4" ht="15" x14ac:dyDescent="0.25">
      <c r="A270" s="41">
        <v>1317</v>
      </c>
      <c r="B270">
        <v>40211</v>
      </c>
      <c r="C270">
        <v>40576</v>
      </c>
      <c r="D270">
        <v>174.4</v>
      </c>
    </row>
    <row r="271" spans="1:4" ht="15" x14ac:dyDescent="0.25">
      <c r="A271" s="41">
        <v>480</v>
      </c>
      <c r="B271">
        <v>40932</v>
      </c>
      <c r="C271">
        <v>41298</v>
      </c>
      <c r="D271">
        <v>139.30000000000001</v>
      </c>
    </row>
    <row r="272" spans="1:4" ht="15" x14ac:dyDescent="0.25">
      <c r="A272" s="41">
        <v>692</v>
      </c>
      <c r="B272">
        <v>40177</v>
      </c>
      <c r="C272">
        <v>40542</v>
      </c>
      <c r="D272">
        <v>79.400000000000006</v>
      </c>
    </row>
    <row r="273" spans="1:4" ht="15" x14ac:dyDescent="0.25">
      <c r="A273" s="41">
        <v>110</v>
      </c>
      <c r="B273">
        <v>40193</v>
      </c>
      <c r="C273">
        <v>40558</v>
      </c>
      <c r="D273">
        <v>326.5</v>
      </c>
    </row>
    <row r="274" spans="1:4" ht="15" x14ac:dyDescent="0.25">
      <c r="A274" s="41">
        <v>486</v>
      </c>
      <c r="B274">
        <v>40511</v>
      </c>
      <c r="C274">
        <v>40876</v>
      </c>
      <c r="D274">
        <v>31.6</v>
      </c>
    </row>
    <row r="275" spans="1:4" ht="15" x14ac:dyDescent="0.25">
      <c r="A275" s="41">
        <v>398</v>
      </c>
      <c r="B275">
        <v>39980</v>
      </c>
      <c r="C275">
        <v>40345</v>
      </c>
      <c r="D275">
        <v>280</v>
      </c>
    </row>
    <row r="276" spans="1:4" ht="15" x14ac:dyDescent="0.25">
      <c r="A276" s="41">
        <v>594</v>
      </c>
      <c r="B276">
        <v>40931</v>
      </c>
      <c r="C276">
        <v>41297</v>
      </c>
      <c r="D276">
        <v>485.6</v>
      </c>
    </row>
    <row r="277" spans="1:4" ht="15" x14ac:dyDescent="0.25">
      <c r="A277" s="41">
        <v>1311</v>
      </c>
      <c r="B277">
        <v>39137</v>
      </c>
      <c r="C277">
        <v>39502</v>
      </c>
      <c r="D277">
        <v>258.5</v>
      </c>
    </row>
    <row r="278" spans="1:4" ht="15" x14ac:dyDescent="0.25">
      <c r="A278" s="41">
        <v>1299</v>
      </c>
      <c r="B278">
        <v>39101</v>
      </c>
      <c r="C278">
        <v>39466</v>
      </c>
      <c r="D278">
        <v>246.4</v>
      </c>
    </row>
    <row r="279" spans="1:4" ht="15" x14ac:dyDescent="0.25">
      <c r="A279" s="41">
        <v>977</v>
      </c>
      <c r="B279">
        <v>39477</v>
      </c>
      <c r="C279">
        <v>39843</v>
      </c>
      <c r="D279">
        <v>312</v>
      </c>
    </row>
    <row r="280" spans="1:4" ht="15" x14ac:dyDescent="0.25">
      <c r="A280" s="41">
        <v>255</v>
      </c>
      <c r="B280">
        <v>40191</v>
      </c>
      <c r="C280">
        <v>40556</v>
      </c>
      <c r="D280">
        <v>267.3</v>
      </c>
    </row>
    <row r="281" spans="1:4" ht="15" x14ac:dyDescent="0.25">
      <c r="A281" s="41">
        <v>1149</v>
      </c>
      <c r="B281">
        <v>40210</v>
      </c>
      <c r="C281">
        <v>40575</v>
      </c>
      <c r="D281">
        <v>266.89999999999998</v>
      </c>
    </row>
    <row r="282" spans="1:4" ht="15" x14ac:dyDescent="0.25">
      <c r="A282" s="41">
        <v>912</v>
      </c>
      <c r="B282">
        <v>39477</v>
      </c>
      <c r="C282">
        <v>39843</v>
      </c>
      <c r="D282">
        <v>39.200000000000003</v>
      </c>
    </row>
    <row r="283" spans="1:4" ht="15" x14ac:dyDescent="0.25">
      <c r="A283" s="41">
        <v>330</v>
      </c>
      <c r="B283">
        <v>39112</v>
      </c>
      <c r="C283">
        <v>39477</v>
      </c>
      <c r="D283">
        <v>432.1</v>
      </c>
    </row>
    <row r="284" spans="1:4" ht="15" x14ac:dyDescent="0.25">
      <c r="A284" s="41">
        <v>98</v>
      </c>
      <c r="B284">
        <v>39832</v>
      </c>
      <c r="C284">
        <v>40197</v>
      </c>
      <c r="D284">
        <v>229.8</v>
      </c>
    </row>
    <row r="285" spans="1:4" ht="15" x14ac:dyDescent="0.25">
      <c r="A285" s="41">
        <v>600</v>
      </c>
      <c r="B285">
        <v>40208</v>
      </c>
      <c r="C285">
        <v>40573</v>
      </c>
      <c r="D285">
        <v>188</v>
      </c>
    </row>
    <row r="286" spans="1:4" ht="15" x14ac:dyDescent="0.25">
      <c r="A286" s="41">
        <v>1019</v>
      </c>
      <c r="B286">
        <v>40210</v>
      </c>
      <c r="C286">
        <v>40575</v>
      </c>
      <c r="D286">
        <v>293</v>
      </c>
    </row>
    <row r="287" spans="1:4" ht="15" x14ac:dyDescent="0.25">
      <c r="A287" s="41">
        <v>774</v>
      </c>
      <c r="B287">
        <v>40194</v>
      </c>
      <c r="C287">
        <v>40559</v>
      </c>
      <c r="D287">
        <v>498.5</v>
      </c>
    </row>
    <row r="288" spans="1:4" ht="15" x14ac:dyDescent="0.25">
      <c r="A288" s="41">
        <v>577</v>
      </c>
      <c r="B288">
        <v>39843</v>
      </c>
      <c r="C288">
        <v>40208</v>
      </c>
      <c r="D288">
        <v>104.9</v>
      </c>
    </row>
    <row r="289" spans="1:4" ht="15" x14ac:dyDescent="0.25">
      <c r="A289" s="41">
        <v>1101</v>
      </c>
      <c r="B289">
        <v>40948</v>
      </c>
      <c r="C289">
        <v>41314</v>
      </c>
      <c r="D289">
        <v>357.4</v>
      </c>
    </row>
    <row r="290" spans="1:4" ht="15" x14ac:dyDescent="0.25">
      <c r="A290" s="41">
        <v>548</v>
      </c>
      <c r="B290">
        <v>39081</v>
      </c>
      <c r="C290">
        <v>39446</v>
      </c>
      <c r="D290">
        <v>246.3</v>
      </c>
    </row>
    <row r="291" spans="1:4" ht="15" x14ac:dyDescent="0.25">
      <c r="A291" s="41">
        <v>1101</v>
      </c>
      <c r="B291">
        <v>39122</v>
      </c>
      <c r="C291">
        <v>39487</v>
      </c>
      <c r="D291">
        <v>318.60000000000002</v>
      </c>
    </row>
    <row r="292" spans="1:4" ht="15" x14ac:dyDescent="0.25">
      <c r="A292" s="41">
        <v>395</v>
      </c>
      <c r="B292">
        <v>40210</v>
      </c>
      <c r="C292">
        <v>40575</v>
      </c>
      <c r="D292">
        <v>225.6</v>
      </c>
    </row>
    <row r="293" spans="1:4" ht="15" x14ac:dyDescent="0.25">
      <c r="A293" s="41">
        <v>645</v>
      </c>
      <c r="B293">
        <v>40702</v>
      </c>
      <c r="C293">
        <v>41068</v>
      </c>
      <c r="D293">
        <v>181.9</v>
      </c>
    </row>
    <row r="294" spans="1:4" ht="15" x14ac:dyDescent="0.25">
      <c r="A294" s="41">
        <v>1073</v>
      </c>
      <c r="B294">
        <v>40574</v>
      </c>
      <c r="C294">
        <v>40939</v>
      </c>
      <c r="D294">
        <v>357.8</v>
      </c>
    </row>
    <row r="295" spans="1:4" ht="15" x14ac:dyDescent="0.25">
      <c r="A295" s="41">
        <v>809</v>
      </c>
      <c r="B295">
        <v>40381</v>
      </c>
      <c r="C295">
        <v>40746</v>
      </c>
      <c r="D295">
        <v>214.6</v>
      </c>
    </row>
    <row r="296" spans="1:4" ht="15" x14ac:dyDescent="0.25">
      <c r="A296" s="41">
        <v>1073</v>
      </c>
      <c r="B296">
        <v>39478</v>
      </c>
      <c r="C296">
        <v>39844</v>
      </c>
      <c r="D296">
        <v>326.5</v>
      </c>
    </row>
    <row r="297" spans="1:4" ht="15" x14ac:dyDescent="0.25">
      <c r="A297" s="41">
        <v>162</v>
      </c>
      <c r="B297">
        <v>39104</v>
      </c>
      <c r="C297">
        <v>39469</v>
      </c>
      <c r="D297">
        <v>209.2</v>
      </c>
    </row>
    <row r="298" spans="1:4" ht="15" x14ac:dyDescent="0.25">
      <c r="A298" s="41">
        <v>336</v>
      </c>
      <c r="B298">
        <v>39830</v>
      </c>
      <c r="C298">
        <v>40195</v>
      </c>
      <c r="D298">
        <v>53.5</v>
      </c>
    </row>
    <row r="299" spans="1:4" ht="15" x14ac:dyDescent="0.25">
      <c r="A299" s="41">
        <v>1013</v>
      </c>
      <c r="B299">
        <v>39115</v>
      </c>
      <c r="C299">
        <v>39480</v>
      </c>
      <c r="D299">
        <v>207.5</v>
      </c>
    </row>
    <row r="300" spans="1:4" ht="15" x14ac:dyDescent="0.25">
      <c r="A300" s="41">
        <v>1408</v>
      </c>
      <c r="B300">
        <v>39477</v>
      </c>
      <c r="C300">
        <v>39843</v>
      </c>
      <c r="D300">
        <v>216.1</v>
      </c>
    </row>
    <row r="301" spans="1:4" ht="15" x14ac:dyDescent="0.25">
      <c r="A301" s="41">
        <v>281</v>
      </c>
      <c r="B301">
        <v>39105</v>
      </c>
      <c r="C301">
        <v>39172</v>
      </c>
      <c r="D301">
        <v>0</v>
      </c>
    </row>
    <row r="302" spans="1:4" ht="15" x14ac:dyDescent="0.25">
      <c r="A302" s="41">
        <v>1377</v>
      </c>
      <c r="B302">
        <v>40211</v>
      </c>
      <c r="C302">
        <v>40576</v>
      </c>
      <c r="D302">
        <v>242.2</v>
      </c>
    </row>
    <row r="303" spans="1:4" ht="15" x14ac:dyDescent="0.25">
      <c r="A303" s="41">
        <v>330</v>
      </c>
      <c r="B303">
        <v>40598</v>
      </c>
      <c r="C303">
        <v>40938</v>
      </c>
      <c r="D303">
        <v>-57.009</v>
      </c>
    </row>
    <row r="304" spans="1:4" ht="15" x14ac:dyDescent="0.25">
      <c r="A304" s="41">
        <v>1307</v>
      </c>
      <c r="B304">
        <v>39478</v>
      </c>
      <c r="C304">
        <v>39844</v>
      </c>
      <c r="D304">
        <v>409.8</v>
      </c>
    </row>
    <row r="305" spans="1:4" ht="15" x14ac:dyDescent="0.25">
      <c r="A305" s="41">
        <v>1377</v>
      </c>
      <c r="B305">
        <v>39115</v>
      </c>
      <c r="C305">
        <v>39480</v>
      </c>
      <c r="D305">
        <v>223.4</v>
      </c>
    </row>
    <row r="306" spans="1:4" ht="15" x14ac:dyDescent="0.25">
      <c r="A306" s="41">
        <v>1353</v>
      </c>
      <c r="B306">
        <v>40204</v>
      </c>
      <c r="C306">
        <v>40569</v>
      </c>
      <c r="D306">
        <v>99.7</v>
      </c>
    </row>
    <row r="307" spans="1:4" ht="15" x14ac:dyDescent="0.25">
      <c r="A307" s="41">
        <v>98</v>
      </c>
      <c r="B307">
        <v>40197</v>
      </c>
      <c r="C307">
        <v>40562</v>
      </c>
      <c r="D307">
        <v>229.8</v>
      </c>
    </row>
    <row r="308" spans="1:4" ht="15" x14ac:dyDescent="0.25">
      <c r="A308" s="41">
        <v>548</v>
      </c>
      <c r="B308">
        <v>40542</v>
      </c>
      <c r="C308">
        <v>40907</v>
      </c>
      <c r="D308">
        <v>273.10000000000002</v>
      </c>
    </row>
    <row r="309" spans="1:4" ht="15" x14ac:dyDescent="0.25">
      <c r="A309" s="41">
        <v>237</v>
      </c>
      <c r="B309">
        <v>40908</v>
      </c>
      <c r="C309">
        <v>41274</v>
      </c>
      <c r="D309">
        <v>518.4</v>
      </c>
    </row>
    <row r="310" spans="1:4" ht="15" x14ac:dyDescent="0.25">
      <c r="A310" s="41">
        <v>336</v>
      </c>
      <c r="B310">
        <v>40560</v>
      </c>
      <c r="C310">
        <v>40925</v>
      </c>
      <c r="D310">
        <v>53.5</v>
      </c>
    </row>
    <row r="311" spans="1:4" ht="15" x14ac:dyDescent="0.25">
      <c r="A311" s="41">
        <v>1206</v>
      </c>
      <c r="B311">
        <v>40557</v>
      </c>
      <c r="C311">
        <v>40922</v>
      </c>
      <c r="D311">
        <v>265.10000000000002</v>
      </c>
    </row>
    <row r="312" spans="1:4" ht="15" x14ac:dyDescent="0.25">
      <c r="A312" s="41">
        <v>255</v>
      </c>
      <c r="B312">
        <v>40556</v>
      </c>
      <c r="C312">
        <v>40921</v>
      </c>
      <c r="D312">
        <v>273.5</v>
      </c>
    </row>
    <row r="313" spans="1:4" ht="15" x14ac:dyDescent="0.25">
      <c r="A313" s="41">
        <v>26</v>
      </c>
      <c r="B313">
        <v>40929</v>
      </c>
      <c r="C313">
        <v>41295</v>
      </c>
      <c r="D313">
        <v>214.4</v>
      </c>
    </row>
    <row r="314" spans="1:4" ht="15" x14ac:dyDescent="0.25">
      <c r="A314" s="41">
        <v>796</v>
      </c>
      <c r="B314">
        <v>39843</v>
      </c>
      <c r="C314">
        <v>40208</v>
      </c>
      <c r="D314">
        <v>154</v>
      </c>
    </row>
    <row r="315" spans="1:4" ht="15" x14ac:dyDescent="0.25">
      <c r="A315" s="41">
        <v>1073</v>
      </c>
      <c r="B315">
        <v>39113</v>
      </c>
      <c r="C315">
        <v>39478</v>
      </c>
      <c r="D315">
        <v>322.89999999999998</v>
      </c>
    </row>
    <row r="316" spans="1:4" ht="15" x14ac:dyDescent="0.25">
      <c r="A316" s="41">
        <v>295</v>
      </c>
      <c r="B316">
        <v>39472</v>
      </c>
      <c r="C316">
        <v>39838</v>
      </c>
      <c r="D316">
        <v>255.5</v>
      </c>
    </row>
    <row r="317" spans="1:4" ht="15" x14ac:dyDescent="0.25">
      <c r="A317" s="41">
        <v>1269</v>
      </c>
      <c r="B317">
        <v>40344</v>
      </c>
      <c r="C317">
        <v>40709</v>
      </c>
      <c r="D317">
        <v>196.9</v>
      </c>
    </row>
    <row r="318" spans="1:4" ht="15" x14ac:dyDescent="0.25">
      <c r="A318" s="41">
        <v>232</v>
      </c>
      <c r="B318">
        <v>40192</v>
      </c>
      <c r="C318">
        <v>40557</v>
      </c>
      <c r="D318">
        <v>201</v>
      </c>
    </row>
    <row r="319" spans="1:4" ht="15" x14ac:dyDescent="0.25">
      <c r="A319" s="41">
        <v>1269</v>
      </c>
      <c r="B319">
        <v>40709</v>
      </c>
      <c r="C319">
        <v>41075</v>
      </c>
      <c r="D319">
        <v>201.5</v>
      </c>
    </row>
    <row r="320" spans="1:4" ht="15" x14ac:dyDescent="0.25">
      <c r="A320" s="41">
        <v>115</v>
      </c>
      <c r="B320">
        <v>39568</v>
      </c>
      <c r="C320">
        <v>39933</v>
      </c>
      <c r="D320">
        <v>195.9</v>
      </c>
    </row>
    <row r="321" spans="1:4" ht="15" x14ac:dyDescent="0.25">
      <c r="A321" s="41">
        <v>692</v>
      </c>
      <c r="B321">
        <v>39812</v>
      </c>
      <c r="C321">
        <v>40177</v>
      </c>
      <c r="D321">
        <v>79.400000000000006</v>
      </c>
    </row>
    <row r="322" spans="1:4" ht="15" x14ac:dyDescent="0.25">
      <c r="A322" s="41">
        <v>959</v>
      </c>
      <c r="B322">
        <v>39201</v>
      </c>
      <c r="C322">
        <v>39567</v>
      </c>
      <c r="D322">
        <v>0</v>
      </c>
    </row>
    <row r="323" spans="1:4" ht="15" x14ac:dyDescent="0.25">
      <c r="A323" s="41">
        <v>622</v>
      </c>
      <c r="B323">
        <v>39844</v>
      </c>
      <c r="C323">
        <v>40209</v>
      </c>
      <c r="D323">
        <v>330.2</v>
      </c>
    </row>
    <row r="324" spans="1:4" ht="15" x14ac:dyDescent="0.25">
      <c r="A324" s="41">
        <v>720</v>
      </c>
      <c r="B324">
        <v>40214</v>
      </c>
      <c r="C324">
        <v>40579</v>
      </c>
      <c r="D324">
        <v>202.3</v>
      </c>
    </row>
    <row r="325" spans="1:4" ht="15" x14ac:dyDescent="0.25">
      <c r="A325" s="41">
        <v>774</v>
      </c>
      <c r="B325">
        <v>40924</v>
      </c>
      <c r="C325">
        <v>41290</v>
      </c>
      <c r="D325">
        <v>516.20000000000005</v>
      </c>
    </row>
    <row r="326" spans="1:4" ht="15" x14ac:dyDescent="0.25">
      <c r="A326" s="41">
        <v>929</v>
      </c>
      <c r="B326">
        <v>39479</v>
      </c>
      <c r="C326">
        <v>39845</v>
      </c>
      <c r="D326">
        <v>150.30000000000001</v>
      </c>
    </row>
    <row r="327" spans="1:4" ht="15" x14ac:dyDescent="0.25">
      <c r="A327" s="41">
        <v>347</v>
      </c>
      <c r="B327">
        <v>40556</v>
      </c>
      <c r="C327">
        <v>40921</v>
      </c>
      <c r="D327">
        <v>41.7</v>
      </c>
    </row>
    <row r="328" spans="1:4" ht="15" x14ac:dyDescent="0.25">
      <c r="A328" s="41">
        <v>1083</v>
      </c>
      <c r="B328">
        <v>39845</v>
      </c>
      <c r="C328">
        <v>40210</v>
      </c>
      <c r="D328">
        <v>41.4</v>
      </c>
    </row>
    <row r="329" spans="1:4" ht="15" x14ac:dyDescent="0.25">
      <c r="A329" s="41">
        <v>1373</v>
      </c>
      <c r="B329">
        <v>39478</v>
      </c>
      <c r="C329">
        <v>39844</v>
      </c>
      <c r="D329">
        <v>173.2</v>
      </c>
    </row>
    <row r="330" spans="1:4" ht="15" x14ac:dyDescent="0.25">
      <c r="A330" s="41">
        <v>1206</v>
      </c>
      <c r="B330">
        <v>40922</v>
      </c>
      <c r="C330">
        <v>41288</v>
      </c>
      <c r="D330">
        <v>268.3</v>
      </c>
    </row>
    <row r="331" spans="1:4" ht="15" x14ac:dyDescent="0.25">
      <c r="A331" s="41">
        <v>692</v>
      </c>
      <c r="B331">
        <v>39279</v>
      </c>
      <c r="C331">
        <v>39446</v>
      </c>
      <c r="D331">
        <v>10.797000000000001</v>
      </c>
    </row>
    <row r="332" spans="1:4" ht="15" x14ac:dyDescent="0.25">
      <c r="A332" s="41">
        <v>257</v>
      </c>
      <c r="B332">
        <v>39850</v>
      </c>
      <c r="C332">
        <v>40215</v>
      </c>
      <c r="D332">
        <v>609.70000000000005</v>
      </c>
    </row>
    <row r="333" spans="1:4" ht="15" x14ac:dyDescent="0.25">
      <c r="A333" s="41">
        <v>1149</v>
      </c>
      <c r="B333">
        <v>40575</v>
      </c>
      <c r="C333">
        <v>40940</v>
      </c>
      <c r="D333">
        <v>273.10000000000002</v>
      </c>
    </row>
    <row r="334" spans="1:4" ht="15" x14ac:dyDescent="0.25">
      <c r="A334" s="41">
        <v>45</v>
      </c>
      <c r="B334">
        <v>40545</v>
      </c>
      <c r="C334">
        <v>40910</v>
      </c>
      <c r="D334">
        <v>236.4</v>
      </c>
    </row>
    <row r="335" spans="1:4" ht="15" x14ac:dyDescent="0.25">
      <c r="A335" s="41">
        <v>583</v>
      </c>
      <c r="B335">
        <v>39834</v>
      </c>
      <c r="C335">
        <v>40199</v>
      </c>
      <c r="D335">
        <v>303.7</v>
      </c>
    </row>
    <row r="336" spans="1:4" ht="15" x14ac:dyDescent="0.25">
      <c r="A336" s="41">
        <v>480</v>
      </c>
      <c r="B336">
        <v>40567</v>
      </c>
      <c r="C336">
        <v>40932</v>
      </c>
      <c r="D336">
        <v>137.6</v>
      </c>
    </row>
    <row r="337" spans="1:4" ht="15" x14ac:dyDescent="0.25">
      <c r="A337" s="41">
        <v>577</v>
      </c>
      <c r="B337">
        <v>40573</v>
      </c>
      <c r="C337">
        <v>40938</v>
      </c>
      <c r="D337">
        <v>104.9</v>
      </c>
    </row>
    <row r="338" spans="1:4" ht="15" x14ac:dyDescent="0.25">
      <c r="A338" s="41">
        <v>336</v>
      </c>
      <c r="B338">
        <v>39464</v>
      </c>
      <c r="C338">
        <v>39830</v>
      </c>
      <c r="D338">
        <v>50.7</v>
      </c>
    </row>
    <row r="339" spans="1:4" ht="15" x14ac:dyDescent="0.25">
      <c r="A339" s="41">
        <v>404</v>
      </c>
      <c r="B339">
        <v>39841</v>
      </c>
      <c r="C339">
        <v>40206</v>
      </c>
      <c r="D339">
        <v>188.1</v>
      </c>
    </row>
    <row r="340" spans="1:4" ht="15" x14ac:dyDescent="0.25">
      <c r="A340" s="41">
        <v>255</v>
      </c>
      <c r="B340">
        <v>39826</v>
      </c>
      <c r="C340">
        <v>40191</v>
      </c>
      <c r="D340">
        <v>267.3</v>
      </c>
    </row>
    <row r="341" spans="1:4" ht="15" x14ac:dyDescent="0.25">
      <c r="A341" s="41">
        <v>398</v>
      </c>
      <c r="B341">
        <v>38884</v>
      </c>
      <c r="C341">
        <v>39249</v>
      </c>
      <c r="D341">
        <v>297.60000000000002</v>
      </c>
    </row>
    <row r="342" spans="1:4" ht="15" x14ac:dyDescent="0.25">
      <c r="A342" s="41">
        <v>755</v>
      </c>
      <c r="B342">
        <v>39128</v>
      </c>
      <c r="C342">
        <v>39493</v>
      </c>
      <c r="D342">
        <v>276.10000000000002</v>
      </c>
    </row>
    <row r="343" spans="1:4" ht="15" x14ac:dyDescent="0.25">
      <c r="A343" s="41">
        <v>1377</v>
      </c>
      <c r="B343">
        <v>40576</v>
      </c>
      <c r="C343">
        <v>40941</v>
      </c>
      <c r="D343">
        <v>247.8</v>
      </c>
    </row>
    <row r="344" spans="1:4" ht="15" x14ac:dyDescent="0.25">
      <c r="A344" s="41">
        <v>790</v>
      </c>
      <c r="B344">
        <v>39142</v>
      </c>
      <c r="C344">
        <v>39508</v>
      </c>
      <c r="D344">
        <v>174.8</v>
      </c>
    </row>
    <row r="345" spans="1:4" ht="15" x14ac:dyDescent="0.25">
      <c r="A345" s="41">
        <v>1383</v>
      </c>
      <c r="B345">
        <v>40970</v>
      </c>
      <c r="C345">
        <v>41335</v>
      </c>
      <c r="D345">
        <v>153.30000000000001</v>
      </c>
    </row>
    <row r="346" spans="1:4" ht="15" x14ac:dyDescent="0.25">
      <c r="A346" s="41">
        <v>303</v>
      </c>
      <c r="B346">
        <v>39835</v>
      </c>
      <c r="C346">
        <v>40200</v>
      </c>
      <c r="D346">
        <v>219.5</v>
      </c>
    </row>
    <row r="347" spans="1:4" ht="15" x14ac:dyDescent="0.25">
      <c r="A347" s="41">
        <v>347</v>
      </c>
      <c r="B347">
        <v>39095</v>
      </c>
      <c r="C347">
        <v>39460</v>
      </c>
      <c r="D347">
        <v>38.6</v>
      </c>
    </row>
    <row r="348" spans="1:4" ht="15" x14ac:dyDescent="0.25">
      <c r="A348" s="41">
        <v>1299</v>
      </c>
      <c r="B348">
        <v>39466</v>
      </c>
      <c r="C348">
        <v>39832</v>
      </c>
      <c r="D348">
        <v>249.2</v>
      </c>
    </row>
    <row r="349" spans="1:4" ht="15" x14ac:dyDescent="0.25">
      <c r="A349" s="41">
        <v>45</v>
      </c>
      <c r="B349">
        <v>40910</v>
      </c>
      <c r="C349">
        <v>41276</v>
      </c>
      <c r="D349">
        <v>239.3</v>
      </c>
    </row>
    <row r="350" spans="1:4" ht="15" x14ac:dyDescent="0.25">
      <c r="A350" s="41">
        <v>1311</v>
      </c>
      <c r="B350">
        <v>40963</v>
      </c>
      <c r="C350">
        <v>41329</v>
      </c>
      <c r="D350">
        <v>290</v>
      </c>
    </row>
    <row r="351" spans="1:4" ht="15" x14ac:dyDescent="0.25">
      <c r="A351" s="41">
        <v>185</v>
      </c>
      <c r="B351">
        <v>39667</v>
      </c>
      <c r="C351">
        <v>39829</v>
      </c>
      <c r="D351">
        <v>0</v>
      </c>
    </row>
    <row r="352" spans="1:4" ht="15" x14ac:dyDescent="0.25">
      <c r="A352" s="41">
        <v>720</v>
      </c>
      <c r="B352">
        <v>39849</v>
      </c>
      <c r="C352">
        <v>40214</v>
      </c>
      <c r="D352">
        <v>202.3</v>
      </c>
    </row>
    <row r="353" spans="1:4" ht="15" x14ac:dyDescent="0.25">
      <c r="A353" s="41">
        <v>912</v>
      </c>
      <c r="B353">
        <v>40938</v>
      </c>
      <c r="C353">
        <v>41304</v>
      </c>
      <c r="D353">
        <v>42.6</v>
      </c>
    </row>
    <row r="354" spans="1:4" ht="15" x14ac:dyDescent="0.25">
      <c r="A354" s="41">
        <v>395</v>
      </c>
      <c r="B354">
        <v>40940</v>
      </c>
      <c r="C354">
        <v>41306</v>
      </c>
      <c r="D354">
        <v>233.6</v>
      </c>
    </row>
    <row r="355" spans="1:4" ht="15" x14ac:dyDescent="0.25">
      <c r="A355" s="41">
        <v>812</v>
      </c>
      <c r="B355">
        <v>38883</v>
      </c>
      <c r="C355">
        <v>39248</v>
      </c>
      <c r="D355">
        <v>229</v>
      </c>
    </row>
    <row r="356" spans="1:4" ht="15" x14ac:dyDescent="0.25">
      <c r="A356" s="41">
        <v>594</v>
      </c>
      <c r="B356">
        <v>39863</v>
      </c>
      <c r="C356">
        <v>40201</v>
      </c>
      <c r="D356">
        <v>-456.55900000000003</v>
      </c>
    </row>
    <row r="357" spans="1:4" ht="15" x14ac:dyDescent="0.25">
      <c r="A357" s="41">
        <v>185</v>
      </c>
      <c r="B357">
        <v>39829</v>
      </c>
      <c r="C357">
        <v>40194</v>
      </c>
      <c r="D357">
        <v>236.8</v>
      </c>
    </row>
    <row r="358" spans="1:4" ht="15" x14ac:dyDescent="0.25">
      <c r="A358" s="41">
        <v>1019</v>
      </c>
      <c r="B358">
        <v>39114</v>
      </c>
      <c r="C358">
        <v>39479</v>
      </c>
      <c r="D358">
        <v>270.5</v>
      </c>
    </row>
    <row r="359" spans="1:4" ht="15" x14ac:dyDescent="0.25">
      <c r="A359" s="41">
        <v>577</v>
      </c>
      <c r="B359">
        <v>40938</v>
      </c>
      <c r="C359">
        <v>41304</v>
      </c>
      <c r="D359">
        <v>108.2</v>
      </c>
    </row>
    <row r="360" spans="1:4" ht="15" x14ac:dyDescent="0.25">
      <c r="A360" s="41">
        <v>277</v>
      </c>
      <c r="B360">
        <v>40939</v>
      </c>
      <c r="C360">
        <v>41305</v>
      </c>
      <c r="D360">
        <v>259.89999999999998</v>
      </c>
    </row>
    <row r="361" spans="1:4" ht="15" x14ac:dyDescent="0.25">
      <c r="A361" s="41">
        <v>480</v>
      </c>
      <c r="B361">
        <v>39106</v>
      </c>
      <c r="C361">
        <v>39471</v>
      </c>
      <c r="D361">
        <v>124.1</v>
      </c>
    </row>
    <row r="362" spans="1:4" ht="15" x14ac:dyDescent="0.25">
      <c r="A362" s="41">
        <v>774</v>
      </c>
      <c r="B362">
        <v>39829</v>
      </c>
      <c r="C362">
        <v>40194</v>
      </c>
      <c r="D362">
        <v>498.5</v>
      </c>
    </row>
    <row r="363" spans="1:4" ht="15" x14ac:dyDescent="0.25">
      <c r="A363" s="41">
        <v>162</v>
      </c>
      <c r="B363">
        <v>40500</v>
      </c>
      <c r="C363">
        <v>40565</v>
      </c>
      <c r="D363">
        <v>-40.406999999999996</v>
      </c>
    </row>
    <row r="364" spans="1:4" ht="15" x14ac:dyDescent="0.25">
      <c r="A364" s="41">
        <v>622</v>
      </c>
      <c r="B364">
        <v>40209</v>
      </c>
      <c r="C364">
        <v>40574</v>
      </c>
      <c r="D364">
        <v>330.2</v>
      </c>
    </row>
    <row r="365" spans="1:4" ht="15" x14ac:dyDescent="0.25">
      <c r="A365" s="41">
        <v>1083</v>
      </c>
      <c r="B365">
        <v>39114</v>
      </c>
      <c r="C365">
        <v>39479</v>
      </c>
      <c r="D365">
        <v>38.299999999999997</v>
      </c>
    </row>
    <row r="366" spans="1:4" ht="15" x14ac:dyDescent="0.25">
      <c r="A366" s="41">
        <v>1149</v>
      </c>
      <c r="B366">
        <v>39114</v>
      </c>
      <c r="C366">
        <v>39479</v>
      </c>
      <c r="D366">
        <v>246.4</v>
      </c>
    </row>
    <row r="367" spans="1:4" ht="15" x14ac:dyDescent="0.25">
      <c r="A367" s="41">
        <v>330</v>
      </c>
      <c r="B367">
        <v>39862</v>
      </c>
      <c r="C367">
        <v>40208</v>
      </c>
      <c r="D367">
        <v>-29.545000000000002</v>
      </c>
    </row>
    <row r="368" spans="1:4" ht="15" x14ac:dyDescent="0.25">
      <c r="A368" s="41">
        <v>232</v>
      </c>
      <c r="B368">
        <v>40557</v>
      </c>
      <c r="C368">
        <v>40922</v>
      </c>
      <c r="D368">
        <v>205.7</v>
      </c>
    </row>
    <row r="369" spans="1:4" ht="15" x14ac:dyDescent="0.25">
      <c r="A369" s="41">
        <v>1311</v>
      </c>
      <c r="B369">
        <v>39502</v>
      </c>
      <c r="C369">
        <v>39868</v>
      </c>
      <c r="D369">
        <v>261.39999999999998</v>
      </c>
    </row>
    <row r="370" spans="1:4" ht="15" x14ac:dyDescent="0.25">
      <c r="A370" s="41">
        <v>1318</v>
      </c>
      <c r="B370">
        <v>39472</v>
      </c>
      <c r="C370">
        <v>39838</v>
      </c>
      <c r="D370">
        <v>175</v>
      </c>
    </row>
    <row r="371" spans="1:4" ht="15" x14ac:dyDescent="0.25">
      <c r="A371" s="41">
        <v>692</v>
      </c>
      <c r="B371">
        <v>39081</v>
      </c>
      <c r="C371">
        <v>39446</v>
      </c>
      <c r="D371">
        <v>51.3</v>
      </c>
    </row>
    <row r="372" spans="1:4" ht="15" x14ac:dyDescent="0.25">
      <c r="A372" s="41">
        <v>1269</v>
      </c>
      <c r="B372">
        <v>39248</v>
      </c>
      <c r="C372">
        <v>39614</v>
      </c>
      <c r="D372">
        <v>181.7</v>
      </c>
    </row>
    <row r="373" spans="1:4" ht="15" x14ac:dyDescent="0.25">
      <c r="A373" s="41">
        <v>185</v>
      </c>
      <c r="B373">
        <v>40924</v>
      </c>
      <c r="C373">
        <v>41290</v>
      </c>
      <c r="D373">
        <v>245.3</v>
      </c>
    </row>
    <row r="374" spans="1:4" ht="15" x14ac:dyDescent="0.25">
      <c r="A374" s="41">
        <v>478</v>
      </c>
      <c r="B374">
        <v>39102</v>
      </c>
      <c r="C374">
        <v>39467</v>
      </c>
      <c r="D374">
        <v>56.8</v>
      </c>
    </row>
    <row r="375" spans="1:4" ht="15" x14ac:dyDescent="0.25">
      <c r="A375" s="41">
        <v>115</v>
      </c>
      <c r="B375">
        <v>40298</v>
      </c>
      <c r="C375">
        <v>40663</v>
      </c>
      <c r="D375">
        <v>179</v>
      </c>
    </row>
    <row r="376" spans="1:4" ht="15" x14ac:dyDescent="0.25">
      <c r="A376" s="41">
        <v>717</v>
      </c>
      <c r="B376">
        <v>39465</v>
      </c>
      <c r="C376">
        <v>39475</v>
      </c>
      <c r="D376">
        <v>0</v>
      </c>
    </row>
    <row r="377" spans="1:4" ht="15" x14ac:dyDescent="0.25">
      <c r="A377" s="41">
        <v>495</v>
      </c>
      <c r="B377">
        <v>39438</v>
      </c>
      <c r="C377">
        <v>39804</v>
      </c>
      <c r="D377">
        <v>57.9</v>
      </c>
    </row>
    <row r="378" spans="1:4" ht="15" x14ac:dyDescent="0.25">
      <c r="A378" s="41">
        <v>398</v>
      </c>
      <c r="B378">
        <v>40710</v>
      </c>
      <c r="C378">
        <v>41076</v>
      </c>
      <c r="D378">
        <v>286.5</v>
      </c>
    </row>
    <row r="379" spans="1:4" ht="15" x14ac:dyDescent="0.25">
      <c r="A379" s="41">
        <v>1019</v>
      </c>
      <c r="B379">
        <v>40575</v>
      </c>
      <c r="C379">
        <v>40940</v>
      </c>
      <c r="D379">
        <v>299.8</v>
      </c>
    </row>
    <row r="380" spans="1:4" ht="15" x14ac:dyDescent="0.25">
      <c r="A380" s="41">
        <v>120</v>
      </c>
      <c r="B380">
        <v>40906</v>
      </c>
      <c r="C380">
        <v>41272</v>
      </c>
      <c r="D380">
        <v>413.5</v>
      </c>
    </row>
    <row r="381" spans="1:4" ht="15" x14ac:dyDescent="0.25">
      <c r="A381" s="41">
        <v>794</v>
      </c>
      <c r="B381">
        <v>39112</v>
      </c>
      <c r="C381">
        <v>39477</v>
      </c>
      <c r="D381">
        <v>252.8</v>
      </c>
    </row>
    <row r="382" spans="1:4" ht="15" x14ac:dyDescent="0.25">
      <c r="A382" s="41">
        <v>848</v>
      </c>
      <c r="B382">
        <v>39488</v>
      </c>
      <c r="C382">
        <v>39854</v>
      </c>
      <c r="D382">
        <v>457.1</v>
      </c>
    </row>
    <row r="383" spans="1:4" ht="15" x14ac:dyDescent="0.25">
      <c r="A383" s="41">
        <v>185</v>
      </c>
      <c r="B383">
        <v>39107</v>
      </c>
      <c r="C383">
        <v>39463</v>
      </c>
      <c r="D383">
        <v>0</v>
      </c>
    </row>
    <row r="384" spans="1:4" ht="15" x14ac:dyDescent="0.25">
      <c r="A384" s="41">
        <v>796</v>
      </c>
      <c r="B384">
        <v>39112</v>
      </c>
      <c r="C384">
        <v>39477</v>
      </c>
      <c r="D384">
        <v>142</v>
      </c>
    </row>
    <row r="385" spans="1:4" ht="15" x14ac:dyDescent="0.25">
      <c r="A385" s="41">
        <v>930</v>
      </c>
      <c r="B385">
        <v>39108</v>
      </c>
      <c r="C385">
        <v>39473</v>
      </c>
      <c r="D385">
        <v>42.7</v>
      </c>
    </row>
    <row r="386" spans="1:4" ht="15" x14ac:dyDescent="0.25">
      <c r="A386" s="41">
        <v>720</v>
      </c>
      <c r="B386">
        <v>40579</v>
      </c>
      <c r="C386">
        <v>40944</v>
      </c>
      <c r="D386">
        <v>207</v>
      </c>
    </row>
    <row r="387" spans="1:4" ht="15" x14ac:dyDescent="0.25">
      <c r="A387" s="41">
        <v>1188</v>
      </c>
      <c r="B387">
        <v>40937</v>
      </c>
      <c r="C387">
        <v>41303</v>
      </c>
      <c r="D387">
        <v>315.60000000000002</v>
      </c>
    </row>
    <row r="388" spans="1:4" ht="15" x14ac:dyDescent="0.25">
      <c r="A388" s="41">
        <v>848</v>
      </c>
      <c r="B388">
        <v>40949</v>
      </c>
      <c r="C388">
        <v>41315</v>
      </c>
      <c r="D388">
        <v>507</v>
      </c>
    </row>
    <row r="389" spans="1:4" ht="15" x14ac:dyDescent="0.25">
      <c r="A389" s="41">
        <v>281</v>
      </c>
      <c r="B389">
        <v>39470</v>
      </c>
      <c r="C389">
        <v>39836</v>
      </c>
      <c r="D389">
        <v>847.6</v>
      </c>
    </row>
    <row r="390" spans="1:4" ht="15" x14ac:dyDescent="0.25">
      <c r="A390" s="41">
        <v>347</v>
      </c>
      <c r="B390">
        <v>40939</v>
      </c>
      <c r="C390">
        <v>41287</v>
      </c>
      <c r="D390">
        <v>-17.114999999999998</v>
      </c>
    </row>
    <row r="391" spans="1:4" ht="15" x14ac:dyDescent="0.25">
      <c r="A391" s="41">
        <v>162</v>
      </c>
      <c r="B391">
        <v>40200</v>
      </c>
      <c r="C391">
        <v>40565</v>
      </c>
      <c r="D391">
        <v>226.9</v>
      </c>
    </row>
    <row r="392" spans="1:4" ht="15" x14ac:dyDescent="0.25">
      <c r="A392" s="41">
        <v>577</v>
      </c>
      <c r="B392">
        <v>39477</v>
      </c>
      <c r="C392">
        <v>39843</v>
      </c>
      <c r="D392">
        <v>99.6</v>
      </c>
    </row>
    <row r="393" spans="1:4" ht="15" x14ac:dyDescent="0.25">
      <c r="A393" s="41">
        <v>1353</v>
      </c>
      <c r="B393">
        <v>39839</v>
      </c>
      <c r="C393">
        <v>40204</v>
      </c>
      <c r="D393">
        <v>99.7</v>
      </c>
    </row>
    <row r="394" spans="1:4" ht="15" x14ac:dyDescent="0.25">
      <c r="A394" s="41">
        <v>730</v>
      </c>
      <c r="B394">
        <v>39859</v>
      </c>
      <c r="C394">
        <v>40224</v>
      </c>
      <c r="D394">
        <v>0</v>
      </c>
    </row>
    <row r="395" spans="1:4" ht="15" x14ac:dyDescent="0.25">
      <c r="A395" s="41">
        <v>929</v>
      </c>
      <c r="B395">
        <v>40575</v>
      </c>
      <c r="C395">
        <v>40940</v>
      </c>
      <c r="D395">
        <v>164.8</v>
      </c>
    </row>
    <row r="396" spans="1:4" ht="15" x14ac:dyDescent="0.25">
      <c r="A396" s="41">
        <v>1318</v>
      </c>
      <c r="B396">
        <v>39838</v>
      </c>
      <c r="C396">
        <v>40203</v>
      </c>
      <c r="D396">
        <v>187.5</v>
      </c>
    </row>
    <row r="397" spans="1:4" ht="15" x14ac:dyDescent="0.25">
      <c r="A397" s="41">
        <v>1101</v>
      </c>
      <c r="B397">
        <v>39853</v>
      </c>
      <c r="C397">
        <v>40218</v>
      </c>
      <c r="D397">
        <v>345.1</v>
      </c>
    </row>
    <row r="398" spans="1:4" ht="15" x14ac:dyDescent="0.25">
      <c r="A398" s="41">
        <v>1269</v>
      </c>
      <c r="B398">
        <v>39614</v>
      </c>
      <c r="C398">
        <v>39979</v>
      </c>
      <c r="D398">
        <v>184.5</v>
      </c>
    </row>
    <row r="399" spans="1:4" ht="15" x14ac:dyDescent="0.25">
      <c r="A399" s="41">
        <v>237</v>
      </c>
      <c r="B399">
        <v>40543</v>
      </c>
      <c r="C399">
        <v>40908</v>
      </c>
      <c r="D399">
        <v>512.20000000000005</v>
      </c>
    </row>
    <row r="400" spans="1:4" ht="15" x14ac:dyDescent="0.25">
      <c r="A400" s="41">
        <v>255</v>
      </c>
      <c r="B400">
        <v>39460</v>
      </c>
      <c r="C400">
        <v>39826</v>
      </c>
      <c r="D400">
        <v>249.5</v>
      </c>
    </row>
    <row r="401" spans="1:4" ht="15" x14ac:dyDescent="0.25">
      <c r="A401" s="41">
        <v>1361</v>
      </c>
      <c r="B401">
        <v>40570</v>
      </c>
      <c r="C401">
        <v>40935</v>
      </c>
      <c r="D401">
        <v>272.60000000000002</v>
      </c>
    </row>
    <row r="402" spans="1:4" ht="15" x14ac:dyDescent="0.25">
      <c r="A402" s="41">
        <v>281</v>
      </c>
      <c r="B402">
        <v>40566</v>
      </c>
      <c r="C402">
        <v>40931</v>
      </c>
      <c r="D402">
        <v>769</v>
      </c>
    </row>
    <row r="403" spans="1:4" ht="15" x14ac:dyDescent="0.25">
      <c r="A403" s="41">
        <v>898</v>
      </c>
      <c r="B403">
        <v>39531</v>
      </c>
      <c r="C403">
        <v>39896</v>
      </c>
      <c r="D403">
        <v>260.5</v>
      </c>
    </row>
    <row r="404" spans="1:4" ht="15" x14ac:dyDescent="0.25">
      <c r="A404" s="41">
        <v>974</v>
      </c>
      <c r="B404">
        <v>39877</v>
      </c>
      <c r="C404">
        <v>40242</v>
      </c>
      <c r="D404">
        <v>310.7</v>
      </c>
    </row>
    <row r="405" spans="1:4" ht="15" x14ac:dyDescent="0.25">
      <c r="A405" s="41">
        <v>583</v>
      </c>
      <c r="B405">
        <v>39103</v>
      </c>
      <c r="C405">
        <v>39468</v>
      </c>
      <c r="D405">
        <v>280.2</v>
      </c>
    </row>
    <row r="406" spans="1:4" ht="15" x14ac:dyDescent="0.25">
      <c r="A406" s="41">
        <v>692</v>
      </c>
      <c r="B406">
        <v>39446</v>
      </c>
      <c r="C406">
        <v>39812</v>
      </c>
      <c r="D406">
        <v>75.2</v>
      </c>
    </row>
    <row r="407" spans="1:4" ht="15" x14ac:dyDescent="0.25">
      <c r="A407" s="41">
        <v>1101</v>
      </c>
      <c r="B407">
        <v>39487</v>
      </c>
      <c r="C407">
        <v>39853</v>
      </c>
      <c r="D407">
        <v>322.2</v>
      </c>
    </row>
    <row r="408" spans="1:4" ht="15" x14ac:dyDescent="0.25">
      <c r="A408" s="41">
        <v>912</v>
      </c>
      <c r="B408">
        <v>40573</v>
      </c>
      <c r="C408">
        <v>40938</v>
      </c>
      <c r="D408">
        <v>41.3</v>
      </c>
    </row>
    <row r="409" spans="1:4" ht="15" x14ac:dyDescent="0.25">
      <c r="A409" s="41">
        <v>583</v>
      </c>
      <c r="B409">
        <v>40199</v>
      </c>
      <c r="C409">
        <v>40564</v>
      </c>
      <c r="D409">
        <v>303.7</v>
      </c>
    </row>
    <row r="410" spans="1:4" ht="15" x14ac:dyDescent="0.25">
      <c r="A410" s="41">
        <v>1311</v>
      </c>
      <c r="B410">
        <v>39868</v>
      </c>
      <c r="C410">
        <v>40233</v>
      </c>
      <c r="D410">
        <v>280</v>
      </c>
    </row>
    <row r="411" spans="1:4" ht="15" x14ac:dyDescent="0.25">
      <c r="A411" s="41">
        <v>870</v>
      </c>
      <c r="B411">
        <v>39137</v>
      </c>
      <c r="C411">
        <v>39502</v>
      </c>
      <c r="D411">
        <v>219</v>
      </c>
    </row>
    <row r="412" spans="1:4" ht="15" x14ac:dyDescent="0.25">
      <c r="A412" s="41">
        <v>1075</v>
      </c>
      <c r="B412">
        <v>39823</v>
      </c>
      <c r="C412">
        <v>40188</v>
      </c>
      <c r="D412">
        <v>184.4</v>
      </c>
    </row>
    <row r="413" spans="1:4" ht="15" x14ac:dyDescent="0.25">
      <c r="A413" s="41">
        <v>730</v>
      </c>
      <c r="B413">
        <v>39493</v>
      </c>
      <c r="C413">
        <v>39859</v>
      </c>
      <c r="D413">
        <v>247.8</v>
      </c>
    </row>
    <row r="414" spans="1:4" ht="15" x14ac:dyDescent="0.25">
      <c r="A414" s="41">
        <v>404</v>
      </c>
      <c r="B414">
        <v>40936</v>
      </c>
      <c r="C414">
        <v>41302</v>
      </c>
      <c r="D414">
        <v>194.9</v>
      </c>
    </row>
    <row r="415" spans="1:4" ht="15" x14ac:dyDescent="0.25">
      <c r="A415" s="41">
        <v>237</v>
      </c>
      <c r="B415">
        <v>39447</v>
      </c>
      <c r="C415">
        <v>39813</v>
      </c>
      <c r="D415">
        <v>467.2</v>
      </c>
    </row>
    <row r="416" spans="1:4" ht="15" x14ac:dyDescent="0.25">
      <c r="A416" s="41">
        <v>1318</v>
      </c>
      <c r="B416">
        <v>40568</v>
      </c>
      <c r="C416">
        <v>40933</v>
      </c>
      <c r="D416">
        <v>191.9</v>
      </c>
    </row>
    <row r="417" spans="1:4" ht="15" x14ac:dyDescent="0.25">
      <c r="A417" s="41">
        <v>277</v>
      </c>
      <c r="B417">
        <v>39478</v>
      </c>
      <c r="C417">
        <v>39844</v>
      </c>
      <c r="D417">
        <v>234.3</v>
      </c>
    </row>
    <row r="418" spans="1:4" ht="15" x14ac:dyDescent="0.25">
      <c r="A418" s="41">
        <v>1373</v>
      </c>
      <c r="B418">
        <v>40939</v>
      </c>
      <c r="C418">
        <v>41305</v>
      </c>
      <c r="D418">
        <v>192.3</v>
      </c>
    </row>
    <row r="419" spans="1:4" ht="15" x14ac:dyDescent="0.25">
      <c r="A419" s="41">
        <v>959</v>
      </c>
      <c r="B419">
        <v>38836</v>
      </c>
      <c r="C419">
        <v>39201</v>
      </c>
      <c r="D419">
        <v>147.5</v>
      </c>
    </row>
    <row r="420" spans="1:4" ht="15" x14ac:dyDescent="0.25">
      <c r="A420" s="41">
        <v>548</v>
      </c>
      <c r="B420">
        <v>40907</v>
      </c>
      <c r="C420">
        <v>41273</v>
      </c>
      <c r="D420">
        <v>276.39999999999998</v>
      </c>
    </row>
    <row r="421" spans="1:4" ht="15" x14ac:dyDescent="0.25">
      <c r="A421" s="41">
        <v>870</v>
      </c>
      <c r="B421">
        <v>40233</v>
      </c>
      <c r="C421">
        <v>40598</v>
      </c>
      <c r="D421">
        <v>237.3</v>
      </c>
    </row>
    <row r="422" spans="1:4" ht="15" x14ac:dyDescent="0.25">
      <c r="A422" s="41">
        <v>600</v>
      </c>
      <c r="B422">
        <v>40938</v>
      </c>
      <c r="C422">
        <v>41304</v>
      </c>
      <c r="D422">
        <v>194.8</v>
      </c>
    </row>
    <row r="423" spans="1:4" ht="15" x14ac:dyDescent="0.25">
      <c r="A423" s="41">
        <v>257</v>
      </c>
      <c r="B423">
        <v>39484</v>
      </c>
      <c r="C423">
        <v>39850</v>
      </c>
      <c r="D423">
        <v>569.20000000000005</v>
      </c>
    </row>
    <row r="424" spans="1:4" ht="15" x14ac:dyDescent="0.25">
      <c r="A424" s="41">
        <v>1317</v>
      </c>
      <c r="B424">
        <v>39115</v>
      </c>
      <c r="C424">
        <v>39480</v>
      </c>
      <c r="D424">
        <v>161</v>
      </c>
    </row>
    <row r="425" spans="1:4" ht="15" x14ac:dyDescent="0.25">
      <c r="A425" s="41">
        <v>622</v>
      </c>
      <c r="B425">
        <v>39113</v>
      </c>
      <c r="C425">
        <v>39478</v>
      </c>
      <c r="D425">
        <v>304.89999999999998</v>
      </c>
    </row>
    <row r="426" spans="1:4" ht="15" x14ac:dyDescent="0.25">
      <c r="A426" s="41">
        <v>692</v>
      </c>
      <c r="B426">
        <v>40542</v>
      </c>
      <c r="C426">
        <v>40907</v>
      </c>
      <c r="D426">
        <v>79.400000000000006</v>
      </c>
    </row>
    <row r="427" spans="1:4" ht="15" x14ac:dyDescent="0.25">
      <c r="A427" s="41">
        <v>26</v>
      </c>
      <c r="B427">
        <v>40031</v>
      </c>
      <c r="C427">
        <v>40199</v>
      </c>
      <c r="D427">
        <v>0</v>
      </c>
    </row>
    <row r="428" spans="1:4" ht="15" x14ac:dyDescent="0.25">
      <c r="A428" s="41">
        <v>870</v>
      </c>
      <c r="B428">
        <v>40963</v>
      </c>
      <c r="C428">
        <v>41329</v>
      </c>
      <c r="D428">
        <v>245.8</v>
      </c>
    </row>
    <row r="429" spans="1:4" ht="15" x14ac:dyDescent="0.25">
      <c r="A429" s="41">
        <v>796</v>
      </c>
      <c r="B429">
        <v>40208</v>
      </c>
      <c r="C429">
        <v>40573</v>
      </c>
      <c r="D429">
        <v>154</v>
      </c>
    </row>
    <row r="430" spans="1:4" ht="15" x14ac:dyDescent="0.25">
      <c r="A430" s="41">
        <v>844</v>
      </c>
      <c r="B430">
        <v>39111</v>
      </c>
      <c r="C430">
        <v>39476</v>
      </c>
      <c r="D430">
        <v>0</v>
      </c>
    </row>
    <row r="431" spans="1:4" ht="15" x14ac:dyDescent="0.25">
      <c r="A431" s="41">
        <v>45</v>
      </c>
      <c r="B431">
        <v>39084</v>
      </c>
      <c r="C431">
        <v>39449</v>
      </c>
      <c r="D431">
        <v>213.2</v>
      </c>
    </row>
    <row r="432" spans="1:4" ht="15" x14ac:dyDescent="0.25">
      <c r="A432" s="41">
        <v>717</v>
      </c>
      <c r="B432">
        <v>39110</v>
      </c>
      <c r="C432">
        <v>39475</v>
      </c>
      <c r="D432">
        <v>246.4</v>
      </c>
    </row>
    <row r="433" spans="1:4" ht="15" x14ac:dyDescent="0.25">
      <c r="A433" s="41">
        <v>879</v>
      </c>
      <c r="B433">
        <v>39627</v>
      </c>
      <c r="C433">
        <v>39992</v>
      </c>
      <c r="D433">
        <v>142.69999999999999</v>
      </c>
    </row>
    <row r="434" spans="1:4" ht="15" x14ac:dyDescent="0.25">
      <c r="A434" s="41">
        <v>809</v>
      </c>
      <c r="B434">
        <v>39651</v>
      </c>
      <c r="C434">
        <v>40016</v>
      </c>
      <c r="D434">
        <v>202.5</v>
      </c>
    </row>
    <row r="435" spans="1:4" ht="15" x14ac:dyDescent="0.25">
      <c r="A435" s="41">
        <v>1228</v>
      </c>
      <c r="B435">
        <v>40575</v>
      </c>
      <c r="C435">
        <v>40940</v>
      </c>
      <c r="D435">
        <v>319.2</v>
      </c>
    </row>
    <row r="436" spans="1:4" ht="15" x14ac:dyDescent="0.25">
      <c r="A436" s="41">
        <v>110</v>
      </c>
      <c r="B436">
        <v>40923</v>
      </c>
      <c r="C436">
        <v>41289</v>
      </c>
      <c r="D436">
        <v>338.2</v>
      </c>
    </row>
    <row r="437" spans="1:4" ht="15" x14ac:dyDescent="0.25">
      <c r="A437" s="41">
        <v>185</v>
      </c>
      <c r="B437">
        <v>40194</v>
      </c>
      <c r="C437">
        <v>40559</v>
      </c>
      <c r="D437">
        <v>236.8</v>
      </c>
    </row>
    <row r="438" spans="1:4" ht="15" x14ac:dyDescent="0.25">
      <c r="A438" s="41">
        <v>930</v>
      </c>
      <c r="B438">
        <v>39473</v>
      </c>
      <c r="C438">
        <v>39839</v>
      </c>
      <c r="D438">
        <v>43.8</v>
      </c>
    </row>
    <row r="439" spans="1:4" ht="15" x14ac:dyDescent="0.25">
      <c r="A439" s="41">
        <v>281</v>
      </c>
      <c r="B439">
        <v>39173</v>
      </c>
      <c r="C439">
        <v>39470</v>
      </c>
      <c r="D439">
        <v>0</v>
      </c>
    </row>
    <row r="440" spans="1:4" ht="15" x14ac:dyDescent="0.25">
      <c r="A440" s="41">
        <v>336</v>
      </c>
      <c r="B440">
        <v>40195</v>
      </c>
      <c r="C440">
        <v>40560</v>
      </c>
      <c r="D440">
        <v>53.5</v>
      </c>
    </row>
    <row r="441" spans="1:4" ht="15" x14ac:dyDescent="0.25">
      <c r="A441" s="41">
        <v>398</v>
      </c>
      <c r="B441">
        <v>40345</v>
      </c>
      <c r="C441">
        <v>40710</v>
      </c>
      <c r="D441">
        <v>280</v>
      </c>
    </row>
    <row r="442" spans="1:4" ht="15" x14ac:dyDescent="0.25">
      <c r="A442" s="41">
        <v>1019</v>
      </c>
      <c r="B442">
        <v>40940</v>
      </c>
      <c r="C442">
        <v>41306</v>
      </c>
      <c r="D442">
        <v>300</v>
      </c>
    </row>
    <row r="443" spans="1:4" ht="15" x14ac:dyDescent="0.25">
      <c r="A443" s="41">
        <v>247</v>
      </c>
      <c r="B443">
        <v>40948</v>
      </c>
      <c r="C443">
        <v>41314</v>
      </c>
      <c r="D443">
        <v>268</v>
      </c>
    </row>
    <row r="444" spans="1:4" ht="15" x14ac:dyDescent="0.25">
      <c r="A444" s="41">
        <v>1333</v>
      </c>
      <c r="B444">
        <v>39115</v>
      </c>
      <c r="C444">
        <v>39480</v>
      </c>
      <c r="D444">
        <v>241.4</v>
      </c>
    </row>
    <row r="445" spans="1:4" ht="15" x14ac:dyDescent="0.25">
      <c r="A445" s="41">
        <v>162</v>
      </c>
      <c r="B445">
        <v>40565</v>
      </c>
      <c r="C445">
        <v>40930</v>
      </c>
      <c r="D445">
        <v>0</v>
      </c>
    </row>
    <row r="446" spans="1:4" ht="15" x14ac:dyDescent="0.25">
      <c r="A446" s="41">
        <v>977</v>
      </c>
      <c r="B446">
        <v>40573</v>
      </c>
      <c r="C446">
        <v>40938</v>
      </c>
      <c r="D446">
        <v>341.9</v>
      </c>
    </row>
    <row r="447" spans="1:4" ht="15" x14ac:dyDescent="0.25">
      <c r="A447" s="41">
        <v>237</v>
      </c>
      <c r="B447">
        <v>39813</v>
      </c>
      <c r="C447">
        <v>40178</v>
      </c>
      <c r="D447">
        <v>500.6</v>
      </c>
    </row>
    <row r="448" spans="1:4" ht="15" x14ac:dyDescent="0.25">
      <c r="A448" s="41">
        <v>929</v>
      </c>
      <c r="B448">
        <v>40940</v>
      </c>
      <c r="C448">
        <v>41306</v>
      </c>
      <c r="D448">
        <v>166.8</v>
      </c>
    </row>
    <row r="449" spans="1:4" ht="15" x14ac:dyDescent="0.25">
      <c r="A449" s="41">
        <v>162</v>
      </c>
      <c r="B449">
        <v>39469</v>
      </c>
      <c r="C449">
        <v>39835</v>
      </c>
      <c r="D449">
        <v>211.6</v>
      </c>
    </row>
    <row r="450" spans="1:4" ht="15" x14ac:dyDescent="0.25">
      <c r="A450" s="41">
        <v>404</v>
      </c>
      <c r="B450">
        <v>39475</v>
      </c>
      <c r="C450">
        <v>39841</v>
      </c>
      <c r="D450">
        <v>175.6</v>
      </c>
    </row>
    <row r="451" spans="1:4" ht="15" x14ac:dyDescent="0.25">
      <c r="A451" s="41">
        <v>1101</v>
      </c>
      <c r="B451">
        <v>40583</v>
      </c>
      <c r="C451">
        <v>40948</v>
      </c>
      <c r="D451">
        <v>353.1</v>
      </c>
    </row>
    <row r="452" spans="1:4" ht="15" x14ac:dyDescent="0.25">
      <c r="A452" s="41">
        <v>98</v>
      </c>
      <c r="B452">
        <v>39101</v>
      </c>
      <c r="C452">
        <v>39466</v>
      </c>
      <c r="D452">
        <v>212.1</v>
      </c>
    </row>
    <row r="453" spans="1:4" ht="15" x14ac:dyDescent="0.25">
      <c r="A453" s="41">
        <v>395</v>
      </c>
      <c r="B453">
        <v>39479</v>
      </c>
      <c r="C453">
        <v>39845</v>
      </c>
      <c r="D453">
        <v>210.6</v>
      </c>
    </row>
    <row r="454" spans="1:4" ht="15" x14ac:dyDescent="0.25">
      <c r="A454" s="41">
        <v>257</v>
      </c>
      <c r="B454">
        <v>39119</v>
      </c>
      <c r="C454">
        <v>39484</v>
      </c>
      <c r="D454">
        <v>563</v>
      </c>
    </row>
    <row r="455" spans="1:4" ht="15" x14ac:dyDescent="0.25">
      <c r="A455" s="41">
        <v>1299</v>
      </c>
      <c r="B455">
        <v>39832</v>
      </c>
      <c r="C455">
        <v>40197</v>
      </c>
      <c r="D455">
        <v>266.89999999999998</v>
      </c>
    </row>
    <row r="456" spans="1:4" ht="15" x14ac:dyDescent="0.25">
      <c r="A456" s="41">
        <v>336</v>
      </c>
      <c r="B456">
        <v>40925</v>
      </c>
      <c r="C456">
        <v>41291</v>
      </c>
      <c r="D456">
        <v>55.2</v>
      </c>
    </row>
    <row r="457" spans="1:4" ht="15" x14ac:dyDescent="0.25">
      <c r="A457" s="41">
        <v>486</v>
      </c>
      <c r="B457">
        <v>39050</v>
      </c>
      <c r="C457">
        <v>39415</v>
      </c>
      <c r="D457">
        <v>29.2</v>
      </c>
    </row>
    <row r="458" spans="1:4" ht="15" x14ac:dyDescent="0.25">
      <c r="A458" s="41">
        <v>1228</v>
      </c>
      <c r="B458">
        <v>39479</v>
      </c>
      <c r="C458">
        <v>39845</v>
      </c>
      <c r="D458">
        <v>291.3</v>
      </c>
    </row>
    <row r="459" spans="1:4" ht="15" x14ac:dyDescent="0.25">
      <c r="A459" s="41">
        <v>912</v>
      </c>
      <c r="B459">
        <v>39843</v>
      </c>
      <c r="C459">
        <v>40208</v>
      </c>
      <c r="D459">
        <v>41.3</v>
      </c>
    </row>
    <row r="460" spans="1:4" ht="15" x14ac:dyDescent="0.25">
      <c r="A460" s="41">
        <v>720</v>
      </c>
      <c r="B460">
        <v>39118</v>
      </c>
      <c r="C460">
        <v>39483</v>
      </c>
      <c r="D460">
        <v>186.6</v>
      </c>
    </row>
    <row r="461" spans="1:4" ht="15" x14ac:dyDescent="0.25">
      <c r="A461" s="41">
        <v>495</v>
      </c>
      <c r="B461">
        <v>39073</v>
      </c>
      <c r="C461">
        <v>39438</v>
      </c>
      <c r="D461">
        <v>56.6</v>
      </c>
    </row>
    <row r="462" spans="1:4" ht="15" x14ac:dyDescent="0.25">
      <c r="A462" s="41">
        <v>347</v>
      </c>
      <c r="B462">
        <v>39826</v>
      </c>
      <c r="C462">
        <v>40191</v>
      </c>
      <c r="D462">
        <v>41.7</v>
      </c>
    </row>
    <row r="463" spans="1:4" ht="15" x14ac:dyDescent="0.25">
      <c r="A463" s="41">
        <v>330</v>
      </c>
      <c r="B463">
        <v>40208</v>
      </c>
      <c r="C463">
        <v>40573</v>
      </c>
      <c r="D463">
        <v>400</v>
      </c>
    </row>
    <row r="464" spans="1:4" ht="15" x14ac:dyDescent="0.25">
      <c r="A464" s="41">
        <v>1361</v>
      </c>
      <c r="B464">
        <v>40205</v>
      </c>
      <c r="C464">
        <v>40570</v>
      </c>
      <c r="D464">
        <v>266.39999999999998</v>
      </c>
    </row>
    <row r="465" spans="1:4" ht="15" x14ac:dyDescent="0.25">
      <c r="A465" s="41">
        <v>232</v>
      </c>
      <c r="B465">
        <v>39461</v>
      </c>
      <c r="C465">
        <v>39827</v>
      </c>
      <c r="D465">
        <v>187.6</v>
      </c>
    </row>
    <row r="466" spans="1:4" ht="15" x14ac:dyDescent="0.25">
      <c r="A466" s="41">
        <v>1013</v>
      </c>
      <c r="B466">
        <v>39480</v>
      </c>
      <c r="C466">
        <v>39846</v>
      </c>
      <c r="D466">
        <v>209.8</v>
      </c>
    </row>
    <row r="467" spans="1:4" ht="15" x14ac:dyDescent="0.25">
      <c r="A467" s="41">
        <v>790</v>
      </c>
      <c r="B467">
        <v>39508</v>
      </c>
      <c r="C467">
        <v>39873</v>
      </c>
      <c r="D467">
        <v>176.8</v>
      </c>
    </row>
    <row r="468" spans="1:4" ht="15" x14ac:dyDescent="0.25">
      <c r="A468" s="41">
        <v>115</v>
      </c>
      <c r="B468">
        <v>38837</v>
      </c>
      <c r="C468">
        <v>39202</v>
      </c>
      <c r="D468">
        <v>180.5</v>
      </c>
    </row>
    <row r="469" spans="1:4" ht="15" x14ac:dyDescent="0.25">
      <c r="A469" s="41">
        <v>1013</v>
      </c>
      <c r="B469">
        <v>39846</v>
      </c>
      <c r="C469">
        <v>40211</v>
      </c>
      <c r="D469">
        <v>224.7</v>
      </c>
    </row>
    <row r="470" spans="1:4" ht="15" x14ac:dyDescent="0.25">
      <c r="A470" s="41">
        <v>794</v>
      </c>
      <c r="B470">
        <v>40208</v>
      </c>
      <c r="C470">
        <v>40573</v>
      </c>
      <c r="D470">
        <v>273.8</v>
      </c>
    </row>
    <row r="471" spans="1:4" ht="15" x14ac:dyDescent="0.25">
      <c r="A471" s="41">
        <v>64</v>
      </c>
      <c r="B471">
        <v>39835</v>
      </c>
      <c r="C471">
        <v>40200</v>
      </c>
      <c r="D471">
        <v>55.1</v>
      </c>
    </row>
    <row r="472" spans="1:4" ht="15" x14ac:dyDescent="0.25">
      <c r="A472" s="41">
        <v>930</v>
      </c>
      <c r="B472">
        <v>39839</v>
      </c>
      <c r="C472">
        <v>40204</v>
      </c>
      <c r="D472">
        <v>46.2</v>
      </c>
    </row>
    <row r="473" spans="1:4" ht="15" x14ac:dyDescent="0.25">
      <c r="A473" s="41">
        <v>1307</v>
      </c>
      <c r="B473">
        <v>40574</v>
      </c>
      <c r="C473">
        <v>40939</v>
      </c>
      <c r="D473">
        <v>449</v>
      </c>
    </row>
    <row r="474" spans="1:4" ht="15" x14ac:dyDescent="0.25">
      <c r="A474" s="41">
        <v>330</v>
      </c>
      <c r="B474">
        <v>40573</v>
      </c>
      <c r="C474">
        <v>40938</v>
      </c>
      <c r="D474">
        <v>409.2</v>
      </c>
    </row>
    <row r="475" spans="1:4" ht="15" x14ac:dyDescent="0.25">
      <c r="A475" s="41">
        <v>295</v>
      </c>
      <c r="B475">
        <v>39107</v>
      </c>
      <c r="C475">
        <v>39472</v>
      </c>
      <c r="D475">
        <v>252.7</v>
      </c>
    </row>
    <row r="476" spans="1:4" ht="15" x14ac:dyDescent="0.25">
      <c r="A476" s="41">
        <v>1073</v>
      </c>
      <c r="B476">
        <v>39844</v>
      </c>
      <c r="C476">
        <v>40209</v>
      </c>
      <c r="D476">
        <v>349.7</v>
      </c>
    </row>
    <row r="477" spans="1:4" ht="15" x14ac:dyDescent="0.25">
      <c r="A477" s="41">
        <v>247</v>
      </c>
      <c r="B477">
        <v>40218</v>
      </c>
      <c r="C477">
        <v>40583</v>
      </c>
      <c r="D477">
        <v>258.8</v>
      </c>
    </row>
    <row r="478" spans="1:4" ht="15" x14ac:dyDescent="0.25">
      <c r="A478" s="41">
        <v>796</v>
      </c>
      <c r="B478">
        <v>40573</v>
      </c>
      <c r="C478">
        <v>40938</v>
      </c>
      <c r="D478">
        <v>157.6</v>
      </c>
    </row>
    <row r="479" spans="1:4" ht="15" x14ac:dyDescent="0.25">
      <c r="A479" s="41">
        <v>237</v>
      </c>
      <c r="B479">
        <v>39119</v>
      </c>
      <c r="C479">
        <v>39447</v>
      </c>
      <c r="D479">
        <v>11.736000000000001</v>
      </c>
    </row>
    <row r="480" spans="1:4" ht="15" x14ac:dyDescent="0.25">
      <c r="A480" s="41">
        <v>1307</v>
      </c>
      <c r="B480">
        <v>39113</v>
      </c>
      <c r="C480">
        <v>39478</v>
      </c>
      <c r="D480">
        <v>405.3</v>
      </c>
    </row>
    <row r="481" spans="1:4" ht="15" x14ac:dyDescent="0.25">
      <c r="A481" s="41">
        <v>480</v>
      </c>
      <c r="B481">
        <v>39837</v>
      </c>
      <c r="C481">
        <v>40202</v>
      </c>
      <c r="D481">
        <v>134.5</v>
      </c>
    </row>
    <row r="482" spans="1:4" ht="15" x14ac:dyDescent="0.25">
      <c r="A482" s="41">
        <v>295</v>
      </c>
      <c r="B482">
        <v>39838</v>
      </c>
      <c r="C482">
        <v>40203</v>
      </c>
      <c r="D482">
        <v>273.7</v>
      </c>
    </row>
    <row r="483" spans="1:4" ht="15" x14ac:dyDescent="0.25">
      <c r="A483" s="41">
        <v>1333</v>
      </c>
      <c r="B483">
        <v>40576</v>
      </c>
      <c r="C483">
        <v>40941</v>
      </c>
      <c r="D483">
        <v>267.60000000000002</v>
      </c>
    </row>
    <row r="484" spans="1:4" ht="15" x14ac:dyDescent="0.25">
      <c r="A484" s="41">
        <v>247</v>
      </c>
      <c r="B484">
        <v>39487</v>
      </c>
      <c r="C484">
        <v>39853</v>
      </c>
      <c r="D484">
        <v>241.6</v>
      </c>
    </row>
    <row r="485" spans="1:4" ht="15" x14ac:dyDescent="0.25">
      <c r="A485" s="41">
        <v>237</v>
      </c>
      <c r="B485">
        <v>39082</v>
      </c>
      <c r="C485">
        <v>39447</v>
      </c>
      <c r="D485">
        <v>449</v>
      </c>
    </row>
    <row r="486" spans="1:4" ht="15" x14ac:dyDescent="0.25">
      <c r="A486" s="41">
        <v>1269</v>
      </c>
      <c r="B486">
        <v>39979</v>
      </c>
      <c r="C486">
        <v>40344</v>
      </c>
      <c r="D486">
        <v>196.9</v>
      </c>
    </row>
    <row r="487" spans="1:4" ht="15" x14ac:dyDescent="0.25">
      <c r="A487" s="41">
        <v>720</v>
      </c>
      <c r="B487">
        <v>39483</v>
      </c>
      <c r="C487">
        <v>39849</v>
      </c>
      <c r="D487">
        <v>188.7</v>
      </c>
    </row>
    <row r="488" spans="1:4" ht="15" x14ac:dyDescent="0.25">
      <c r="A488" s="41">
        <v>120</v>
      </c>
      <c r="B488">
        <v>39445</v>
      </c>
      <c r="C488">
        <v>39811</v>
      </c>
      <c r="D488">
        <v>372.7</v>
      </c>
    </row>
    <row r="489" spans="1:4" ht="15" x14ac:dyDescent="0.25">
      <c r="A489" s="41">
        <v>1383</v>
      </c>
      <c r="B489">
        <v>39509</v>
      </c>
      <c r="C489">
        <v>39874</v>
      </c>
      <c r="D489">
        <v>137.9</v>
      </c>
    </row>
    <row r="490" spans="1:4" ht="15" x14ac:dyDescent="0.25">
      <c r="A490" s="41">
        <v>330</v>
      </c>
      <c r="B490">
        <v>40938</v>
      </c>
      <c r="C490">
        <v>41304</v>
      </c>
      <c r="D490">
        <v>352.2</v>
      </c>
    </row>
    <row r="491" spans="1:4" ht="15" x14ac:dyDescent="0.25">
      <c r="A491" s="41">
        <v>0</v>
      </c>
      <c r="B491">
        <v>40452</v>
      </c>
      <c r="C491">
        <v>40909</v>
      </c>
      <c r="D491">
        <v>0</v>
      </c>
    </row>
    <row r="492" spans="1:4" ht="15" x14ac:dyDescent="0.25">
      <c r="A492" s="41">
        <v>548</v>
      </c>
      <c r="B492">
        <v>40177</v>
      </c>
      <c r="C492">
        <v>40542</v>
      </c>
      <c r="D492">
        <v>266.89999999999998</v>
      </c>
    </row>
    <row r="493" spans="1:4" ht="15" x14ac:dyDescent="0.25">
      <c r="A493" s="41">
        <v>1333</v>
      </c>
      <c r="B493">
        <v>40211</v>
      </c>
      <c r="C493">
        <v>40576</v>
      </c>
      <c r="D493">
        <v>261.5</v>
      </c>
    </row>
    <row r="494" spans="1:4" ht="15" x14ac:dyDescent="0.25">
      <c r="A494" s="41">
        <v>1299</v>
      </c>
      <c r="B494">
        <v>39496</v>
      </c>
      <c r="C494">
        <v>39832</v>
      </c>
      <c r="D494">
        <v>0</v>
      </c>
    </row>
    <row r="495" spans="1:4" ht="15" x14ac:dyDescent="0.25">
      <c r="A495" s="41">
        <v>1013</v>
      </c>
      <c r="B495">
        <v>40941</v>
      </c>
      <c r="C495">
        <v>41307</v>
      </c>
      <c r="D495">
        <v>232.7</v>
      </c>
    </row>
    <row r="496" spans="1:4" ht="15" x14ac:dyDescent="0.25">
      <c r="A496" s="41">
        <v>577</v>
      </c>
      <c r="B496">
        <v>39112</v>
      </c>
      <c r="C496">
        <v>39477</v>
      </c>
      <c r="D496">
        <v>97.1</v>
      </c>
    </row>
    <row r="497" spans="1:4" ht="15" x14ac:dyDescent="0.25">
      <c r="A497" s="41">
        <v>717</v>
      </c>
      <c r="B497">
        <v>40571</v>
      </c>
      <c r="C497">
        <v>40936</v>
      </c>
      <c r="D497">
        <v>273.10000000000002</v>
      </c>
    </row>
    <row r="498" spans="1:4" ht="15" x14ac:dyDescent="0.25">
      <c r="A498" s="41">
        <v>717</v>
      </c>
      <c r="B498">
        <v>39841</v>
      </c>
      <c r="C498">
        <v>40206</v>
      </c>
      <c r="D498">
        <v>266.89999999999998</v>
      </c>
    </row>
    <row r="499" spans="1:4" ht="15" x14ac:dyDescent="0.25">
      <c r="A499" s="41">
        <v>45</v>
      </c>
      <c r="B499">
        <v>39449</v>
      </c>
      <c r="C499">
        <v>39815</v>
      </c>
      <c r="D499">
        <v>215.6</v>
      </c>
    </row>
    <row r="500" spans="1:4" ht="15" x14ac:dyDescent="0.25">
      <c r="A500" s="41">
        <v>879</v>
      </c>
      <c r="B500">
        <v>39261</v>
      </c>
      <c r="C500">
        <v>39627</v>
      </c>
      <c r="D500">
        <v>138.5</v>
      </c>
    </row>
    <row r="501" spans="1:4" ht="15" x14ac:dyDescent="0.25">
      <c r="A501" s="41">
        <v>1019</v>
      </c>
      <c r="B501">
        <v>39845</v>
      </c>
      <c r="C501">
        <v>40210</v>
      </c>
      <c r="D501">
        <v>293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57"/>
  <sheetViews>
    <sheetView workbookViewId="0"/>
  </sheetViews>
  <sheetFormatPr defaultRowHeight="12.75" x14ac:dyDescent="0.2"/>
  <cols>
    <col min="1" max="1" width="9.140625" style="15"/>
    <col min="2" max="2" width="1.7109375" style="15" customWidth="1"/>
    <col min="3" max="4" width="9.140625" style="15"/>
    <col min="5" max="5" width="16.7109375" style="23" customWidth="1"/>
    <col min="6" max="6" width="11.140625" style="24" bestFit="1" customWidth="1"/>
    <col min="7" max="7" width="11.140625" style="23" bestFit="1" customWidth="1"/>
    <col min="8" max="8" width="1.7109375" style="15" customWidth="1"/>
    <col min="9" max="10" width="9.140625" style="15"/>
    <col min="11" max="11" width="16" style="23" bestFit="1" customWidth="1"/>
    <col min="12" max="12" width="9.140625" style="24"/>
    <col min="13" max="13" width="9.140625" style="23"/>
    <col min="14" max="14" width="1.7109375" style="15" customWidth="1"/>
    <col min="15" max="16384" width="9.140625" style="15"/>
  </cols>
  <sheetData>
    <row r="1" spans="1:17" x14ac:dyDescent="0.2">
      <c r="A1" s="7"/>
      <c r="B1" s="7"/>
      <c r="C1" s="8" t="s">
        <v>0</v>
      </c>
      <c r="D1" s="8" t="s">
        <v>0</v>
      </c>
      <c r="E1" s="9" t="s">
        <v>0</v>
      </c>
      <c r="F1" s="10"/>
      <c r="G1" s="11"/>
      <c r="H1" s="12"/>
      <c r="I1" s="8" t="s">
        <v>9</v>
      </c>
      <c r="J1" s="8" t="s">
        <v>9</v>
      </c>
      <c r="K1" s="13" t="s">
        <v>9</v>
      </c>
      <c r="L1" s="14"/>
      <c r="M1" s="11"/>
      <c r="N1" s="12"/>
      <c r="O1" s="12"/>
      <c r="P1" s="12"/>
      <c r="Q1" s="12"/>
    </row>
    <row r="2" spans="1:17" x14ac:dyDescent="0.2">
      <c r="A2" s="7"/>
      <c r="B2" s="7"/>
      <c r="C2" s="8"/>
      <c r="D2" s="8"/>
      <c r="E2" s="9"/>
      <c r="F2" s="10"/>
      <c r="G2" s="11"/>
      <c r="H2" s="12"/>
      <c r="I2" s="8"/>
      <c r="J2" s="8"/>
      <c r="K2" s="13"/>
      <c r="L2" s="14"/>
      <c r="M2" s="11"/>
      <c r="N2" s="12"/>
      <c r="O2" s="12"/>
      <c r="P2" s="12"/>
      <c r="Q2" s="12"/>
    </row>
    <row r="3" spans="1:17" x14ac:dyDescent="0.2">
      <c r="C3" s="16" t="s">
        <v>10</v>
      </c>
      <c r="D3" s="16"/>
      <c r="E3" s="17"/>
      <c r="F3" s="18"/>
      <c r="G3" s="17"/>
      <c r="I3" s="16" t="s">
        <v>11</v>
      </c>
      <c r="J3" s="16"/>
      <c r="K3" s="17"/>
      <c r="L3" s="18"/>
      <c r="M3" s="17"/>
    </row>
    <row r="4" spans="1:17" x14ac:dyDescent="0.2">
      <c r="C4" s="19" t="s">
        <v>12</v>
      </c>
      <c r="D4" s="19" t="s">
        <v>13</v>
      </c>
      <c r="E4" s="20" t="s">
        <v>14</v>
      </c>
      <c r="F4" s="21" t="s">
        <v>13</v>
      </c>
      <c r="G4" s="20" t="s">
        <v>15</v>
      </c>
      <c r="H4" s="19"/>
      <c r="I4" s="19" t="s">
        <v>12</v>
      </c>
      <c r="J4" s="19" t="s">
        <v>13</v>
      </c>
      <c r="K4" s="20" t="s">
        <v>14</v>
      </c>
      <c r="L4" s="21" t="s">
        <v>13</v>
      </c>
      <c r="M4" s="20" t="s">
        <v>15</v>
      </c>
      <c r="N4" s="19"/>
      <c r="O4" s="19" t="s">
        <v>16</v>
      </c>
      <c r="P4" s="19" t="s">
        <v>17</v>
      </c>
      <c r="Q4" s="19"/>
    </row>
    <row r="5" spans="1:17" x14ac:dyDescent="0.2">
      <c r="A5" s="7" t="s">
        <v>18</v>
      </c>
      <c r="B5" s="7"/>
      <c r="C5" s="12" t="s">
        <v>19</v>
      </c>
      <c r="D5" s="12" t="s">
        <v>20</v>
      </c>
      <c r="E5" s="11" t="s">
        <v>21</v>
      </c>
      <c r="F5" s="22" t="s">
        <v>16</v>
      </c>
      <c r="G5" s="11" t="s">
        <v>22</v>
      </c>
      <c r="H5" s="12"/>
      <c r="I5" s="12" t="s">
        <v>19</v>
      </c>
      <c r="J5" s="12" t="s">
        <v>20</v>
      </c>
      <c r="K5" s="11" t="s">
        <v>21</v>
      </c>
      <c r="L5" s="22" t="s">
        <v>16</v>
      </c>
      <c r="M5" s="11" t="s">
        <v>22</v>
      </c>
      <c r="N5" s="12"/>
      <c r="O5" s="12" t="s">
        <v>23</v>
      </c>
      <c r="P5" s="12" t="s">
        <v>23</v>
      </c>
      <c r="Q5" s="12"/>
    </row>
    <row r="7" spans="1:17" x14ac:dyDescent="0.2">
      <c r="A7" s="15" t="s">
        <v>24</v>
      </c>
      <c r="C7" s="30">
        <f t="array" ref="C7">SUM(IF(('HW2 data'!A:A=A7)*(RIGHT('HW2 data'!C:C,1)="N"),'HW2 data'!D:D,0))</f>
        <v>201500</v>
      </c>
      <c r="D7" s="30">
        <f t="array" ref="D7">SUM(IF(('HW2 data'!A:A=A7)*(RIGHT('HW2 data'!C:C,1)="N"),'HW2 data'!E:E,0))</f>
        <v>8500</v>
      </c>
      <c r="E7" s="30">
        <f t="array" ref="E7">SUM(IF(('HW2 data'!A:A=A7)*(RIGHT('HW2 data'!C:C,1)="N"),'HW2 data'!F:F,0))</f>
        <v>69567500</v>
      </c>
      <c r="F7" s="25">
        <f>D7/C7</f>
        <v>4.2183622828784122E-2</v>
      </c>
      <c r="G7" s="42">
        <f>E7/C7</f>
        <v>345.24813895781637</v>
      </c>
      <c r="I7" s="30">
        <f t="array" ref="I7">SUM(IF(('HW2 data'!A:A=A7)*(RIGHT('HW2 data'!C:C,1)="W"),'HW2 data'!D:D,0))</f>
        <v>78500</v>
      </c>
      <c r="J7" s="30">
        <f t="array" ref="J7">SUM(IF(('HW2 data'!A:A=A7)*(RIGHT('HW2 data'!C:C,1)="W"),'HW2 data'!E:E,0))</f>
        <v>5100</v>
      </c>
      <c r="K7" s="30">
        <f t="array" ref="K7">SUM(IF(('HW2 data'!A:A=A7)*(RIGHT('HW2 data'!C:C,1)="W"),'HW2 data'!F:F,0))</f>
        <v>43728200</v>
      </c>
      <c r="L7" s="24">
        <f>J7/I7</f>
        <v>6.4968152866242038E-2</v>
      </c>
      <c r="M7" s="23">
        <f>K7/I7</f>
        <v>557.04713375796177</v>
      </c>
      <c r="O7" s="25">
        <f>L7-F7</f>
        <v>2.2784530037457916E-2</v>
      </c>
      <c r="P7" s="26">
        <f>M7-G7</f>
        <v>211.79899480014541</v>
      </c>
      <c r="Q7" s="27"/>
    </row>
    <row r="8" spans="1:17" x14ac:dyDescent="0.2">
      <c r="A8" s="15" t="s">
        <v>25</v>
      </c>
      <c r="C8" s="30">
        <f t="array" ref="C8">SUM(IF(('HW2 data'!A:A=A8)*(RIGHT('HW2 data'!C:C,1)="N"),'HW2 data'!D:D,0))</f>
        <v>21400</v>
      </c>
      <c r="D8" s="30">
        <f t="array" ref="D8">SUM(IF(('HW2 data'!A:A=A8)*(RIGHT('HW2 data'!C:C,1)="N"),'HW2 data'!E:E,0))</f>
        <v>1100</v>
      </c>
      <c r="E8" s="30">
        <f t="array" ref="E8">SUM(IF(('HW2 data'!A:A=A8)*(RIGHT('HW2 data'!C:C,1)="N"),'HW2 data'!F:F,0))</f>
        <v>9021900</v>
      </c>
      <c r="F8" s="25">
        <f t="shared" ref="F8:F57" si="0">D8/C8</f>
        <v>5.1401869158878503E-2</v>
      </c>
      <c r="G8" s="42">
        <f t="shared" ref="G8:G57" si="1">E8/C8</f>
        <v>421.5841121495327</v>
      </c>
      <c r="I8" s="30">
        <f t="array" ref="I8">SUM(IF(('HW2 data'!A:A=A8)*(RIGHT('HW2 data'!C:C,1)="W"),'HW2 data'!D:D,0))</f>
        <v>8800</v>
      </c>
      <c r="J8" s="30">
        <f t="array" ref="J8">SUM(IF(('HW2 data'!A:A=A8)*(RIGHT('HW2 data'!C:C,1)="W"),'HW2 data'!E:E,0))</f>
        <v>700</v>
      </c>
      <c r="K8" s="30">
        <f t="array" ref="K8">SUM(IF(('HW2 data'!A:A=A8)*(RIGHT('HW2 data'!C:C,1)="W"),'HW2 data'!F:F,0))</f>
        <v>5596600</v>
      </c>
      <c r="L8" s="24">
        <f t="shared" ref="L8:L57" si="2">J8/I8</f>
        <v>7.9545454545454544E-2</v>
      </c>
      <c r="M8" s="23">
        <f t="shared" ref="M8:M57" si="3">K8/I8</f>
        <v>635.97727272727275</v>
      </c>
      <c r="O8" s="25">
        <f t="shared" ref="O8:O57" si="4">L8-F8</f>
        <v>2.8143585386576041E-2</v>
      </c>
      <c r="P8" s="26">
        <f t="shared" ref="P8:P57" si="5">M8-G8</f>
        <v>214.39316057774005</v>
      </c>
      <c r="Q8" s="27"/>
    </row>
    <row r="9" spans="1:17" x14ac:dyDescent="0.2">
      <c r="A9" s="15" t="s">
        <v>26</v>
      </c>
      <c r="C9" s="30">
        <f t="array" ref="C9">SUM(IF(('HW2 data'!A:A=A9)*(RIGHT('HW2 data'!C:C,1)="N"),'HW2 data'!D:D,0))</f>
        <v>171900</v>
      </c>
      <c r="D9" s="30">
        <f t="array" ref="D9">SUM(IF(('HW2 data'!A:A=A9)*(RIGHT('HW2 data'!C:C,1)="N"),'HW2 data'!E:E,0))</f>
        <v>9400</v>
      </c>
      <c r="E9" s="30">
        <f t="array" ref="E9">SUM(IF(('HW2 data'!A:A=A9)*(RIGHT('HW2 data'!C:C,1)="N"),'HW2 data'!F:F,0))</f>
        <v>77525300</v>
      </c>
      <c r="F9" s="25">
        <f t="shared" si="0"/>
        <v>5.4682955206515414E-2</v>
      </c>
      <c r="G9" s="42">
        <f t="shared" si="1"/>
        <v>450.99069226294358</v>
      </c>
      <c r="I9" s="30">
        <f t="array" ref="I9">SUM(IF(('HW2 data'!A:A=A9)*(RIGHT('HW2 data'!C:C,1)="W"),'HW2 data'!D:D,0))</f>
        <v>76400</v>
      </c>
      <c r="J9" s="30">
        <f t="array" ref="J9">SUM(IF(('HW2 data'!A:A=A9)*(RIGHT('HW2 data'!C:C,1)="W"),'HW2 data'!E:E,0))</f>
        <v>5200</v>
      </c>
      <c r="K9" s="30">
        <f t="array" ref="K9">SUM(IF(('HW2 data'!A:A=A9)*(RIGHT('HW2 data'!C:C,1)="W"),'HW2 data'!F:F,0))</f>
        <v>39950400</v>
      </c>
      <c r="L9" s="24">
        <f t="shared" si="2"/>
        <v>6.8062827225130892E-2</v>
      </c>
      <c r="M9" s="23">
        <f t="shared" si="3"/>
        <v>522.91099476439786</v>
      </c>
      <c r="O9" s="25">
        <f t="shared" si="4"/>
        <v>1.3379872018615478E-2</v>
      </c>
      <c r="P9" s="26">
        <f t="shared" si="5"/>
        <v>71.920302501454273</v>
      </c>
      <c r="Q9" s="27"/>
    </row>
    <row r="10" spans="1:17" x14ac:dyDescent="0.2">
      <c r="A10" s="15" t="s">
        <v>27</v>
      </c>
      <c r="C10" s="30">
        <f t="array" ref="C10">SUM(IF(('HW2 data'!A:A=A10)*(RIGHT('HW2 data'!C:C,1)="N"),'HW2 data'!D:D,0))</f>
        <v>78700</v>
      </c>
      <c r="D10" s="30">
        <f t="array" ref="D10">SUM(IF(('HW2 data'!A:A=A10)*(RIGHT('HW2 data'!C:C,1)="N"),'HW2 data'!E:E,0))</f>
        <v>4100</v>
      </c>
      <c r="E10" s="30">
        <f t="array" ref="E10">SUM(IF(('HW2 data'!A:A=A10)*(RIGHT('HW2 data'!C:C,1)="N"),'HW2 data'!F:F,0))</f>
        <v>33097700</v>
      </c>
      <c r="F10" s="25">
        <f t="shared" si="0"/>
        <v>5.2096569250317665E-2</v>
      </c>
      <c r="G10" s="42">
        <f t="shared" si="1"/>
        <v>420.55527318932656</v>
      </c>
      <c r="I10" s="30">
        <f t="array" ref="I10">SUM(IF(('HW2 data'!A:A=A10)*(RIGHT('HW2 data'!C:C,1)="W"),'HW2 data'!D:D,0))</f>
        <v>35700</v>
      </c>
      <c r="J10" s="30">
        <f t="array" ref="J10">SUM(IF(('HW2 data'!A:A=A10)*(RIGHT('HW2 data'!C:C,1)="W"),'HW2 data'!E:E,0))</f>
        <v>2800</v>
      </c>
      <c r="K10" s="30">
        <f t="array" ref="K10">SUM(IF(('HW2 data'!A:A=A10)*(RIGHT('HW2 data'!C:C,1)="W"),'HW2 data'!F:F,0))</f>
        <v>24768700</v>
      </c>
      <c r="L10" s="24">
        <f t="shared" si="2"/>
        <v>7.8431372549019607E-2</v>
      </c>
      <c r="M10" s="23">
        <f t="shared" si="3"/>
        <v>693.80112044817929</v>
      </c>
      <c r="O10" s="25">
        <f t="shared" si="4"/>
        <v>2.6334803298701942E-2</v>
      </c>
      <c r="P10" s="26">
        <f t="shared" si="5"/>
        <v>273.24584725885273</v>
      </c>
      <c r="Q10" s="27"/>
    </row>
    <row r="11" spans="1:17" x14ac:dyDescent="0.2">
      <c r="A11" s="15" t="s">
        <v>28</v>
      </c>
      <c r="C11" s="30">
        <f t="array" ref="C11">SUM(IF(('HW2 data'!A:A=A11)*(RIGHT('HW2 data'!C:C,1)="N"),'HW2 data'!D:D,0))</f>
        <v>1187700</v>
      </c>
      <c r="D11" s="30">
        <f t="array" ref="D11">SUM(IF(('HW2 data'!A:A=A11)*(RIGHT('HW2 data'!C:C,1)="N"),'HW2 data'!E:E,0))</f>
        <v>52800</v>
      </c>
      <c r="E11" s="30">
        <f t="array" ref="E11">SUM(IF(('HW2 data'!A:A=A11)*(RIGHT('HW2 data'!C:C,1)="N"),'HW2 data'!F:F,0))</f>
        <v>439639600</v>
      </c>
      <c r="F11" s="25">
        <f t="shared" si="0"/>
        <v>4.4455670623894925E-2</v>
      </c>
      <c r="G11" s="42">
        <f t="shared" si="1"/>
        <v>370.16047823524457</v>
      </c>
      <c r="I11" s="30">
        <f t="array" ref="I11">SUM(IF(('HW2 data'!A:A=A11)*(RIGHT('HW2 data'!C:C,1)="W"),'HW2 data'!D:D,0))</f>
        <v>458600</v>
      </c>
      <c r="J11" s="30">
        <f t="array" ref="J11">SUM(IF(('HW2 data'!A:A=A11)*(RIGHT('HW2 data'!C:C,1)="W"),'HW2 data'!E:E,0))</f>
        <v>29100</v>
      </c>
      <c r="K11" s="30">
        <f t="array" ref="K11">SUM(IF(('HW2 data'!A:A=A11)*(RIGHT('HW2 data'!C:C,1)="W"),'HW2 data'!F:F,0))</f>
        <v>227696200</v>
      </c>
      <c r="L11" s="24">
        <f t="shared" si="2"/>
        <v>6.3453990405582208E-2</v>
      </c>
      <c r="M11" s="23">
        <f t="shared" si="3"/>
        <v>496.50283471434801</v>
      </c>
      <c r="O11" s="25">
        <f t="shared" si="4"/>
        <v>1.8998319781687284E-2</v>
      </c>
      <c r="P11" s="26">
        <f t="shared" si="5"/>
        <v>126.34235647910344</v>
      </c>
      <c r="Q11" s="27"/>
    </row>
    <row r="12" spans="1:17" x14ac:dyDescent="0.2">
      <c r="A12" s="15" t="s">
        <v>29</v>
      </c>
      <c r="C12" s="30">
        <f t="array" ref="C12">SUM(IF(('HW2 data'!A:A=A12)*(RIGHT('HW2 data'!C:C,1)="N"),'HW2 data'!D:D,0))</f>
        <v>170700</v>
      </c>
      <c r="D12" s="30">
        <f t="array" ref="D12">SUM(IF(('HW2 data'!A:A=A12)*(RIGHT('HW2 data'!C:C,1)="N"),'HW2 data'!E:E,0))</f>
        <v>7600</v>
      </c>
      <c r="E12" s="30">
        <f t="array" ref="E12">SUM(IF(('HW2 data'!A:A=A12)*(RIGHT('HW2 data'!C:C,1)="N"),'HW2 data'!F:F,0))</f>
        <v>62953500</v>
      </c>
      <c r="F12" s="25">
        <f t="shared" si="0"/>
        <v>4.452255418863503E-2</v>
      </c>
      <c r="G12" s="42">
        <f t="shared" si="1"/>
        <v>368.79613356766259</v>
      </c>
      <c r="I12" s="30">
        <f t="array" ref="I12">SUM(IF(('HW2 data'!A:A=A12)*(RIGHT('HW2 data'!C:C,1)="W"),'HW2 data'!D:D,0))</f>
        <v>73500</v>
      </c>
      <c r="J12" s="30">
        <f t="array" ref="J12">SUM(IF(('HW2 data'!A:A=A12)*(RIGHT('HW2 data'!C:C,1)="W"),'HW2 data'!E:E,0))</f>
        <v>4600</v>
      </c>
      <c r="K12" s="30">
        <f t="array" ref="K12">SUM(IF(('HW2 data'!A:A=A12)*(RIGHT('HW2 data'!C:C,1)="W"),'HW2 data'!F:F,0))</f>
        <v>37275900</v>
      </c>
      <c r="L12" s="24">
        <f t="shared" si="2"/>
        <v>6.2585034013605448E-2</v>
      </c>
      <c r="M12" s="23">
        <f t="shared" si="3"/>
        <v>507.1551020408163</v>
      </c>
      <c r="O12" s="25">
        <f t="shared" si="4"/>
        <v>1.8062479824970418E-2</v>
      </c>
      <c r="P12" s="26">
        <f t="shared" si="5"/>
        <v>138.35896847315371</v>
      </c>
      <c r="Q12" s="27"/>
    </row>
    <row r="13" spans="1:17" x14ac:dyDescent="0.2">
      <c r="A13" s="15" t="s">
        <v>30</v>
      </c>
      <c r="C13" s="30">
        <f t="array" ref="C13">SUM(IF(('HW2 data'!A:A=A13)*(RIGHT('HW2 data'!C:C,1)="N"),'HW2 data'!D:D,0))</f>
        <v>123800</v>
      </c>
      <c r="D13" s="30">
        <f t="array" ref="D13">SUM(IF(('HW2 data'!A:A=A13)*(RIGHT('HW2 data'!C:C,1)="N"),'HW2 data'!E:E,0))</f>
        <v>5200</v>
      </c>
      <c r="E13" s="30">
        <f t="array" ref="E13">SUM(IF(('HW2 data'!A:A=A13)*(RIGHT('HW2 data'!C:C,1)="N"),'HW2 data'!F:F,0))</f>
        <v>44920300</v>
      </c>
      <c r="F13" s="25">
        <f t="shared" si="0"/>
        <v>4.2003231017770599E-2</v>
      </c>
      <c r="G13" s="42">
        <f t="shared" si="1"/>
        <v>362.84571890145395</v>
      </c>
      <c r="I13" s="30">
        <f t="array" ref="I13">SUM(IF(('HW2 data'!A:A=A13)*(RIGHT('HW2 data'!C:C,1)="W"),'HW2 data'!D:D,0))</f>
        <v>54700</v>
      </c>
      <c r="J13" s="30">
        <f t="array" ref="J13">SUM(IF(('HW2 data'!A:A=A13)*(RIGHT('HW2 data'!C:C,1)="W"),'HW2 data'!E:E,0))</f>
        <v>3100</v>
      </c>
      <c r="K13" s="30">
        <f t="array" ref="K13">SUM(IF(('HW2 data'!A:A=A13)*(RIGHT('HW2 data'!C:C,1)="W"),'HW2 data'!F:F,0))</f>
        <v>26082100</v>
      </c>
      <c r="L13" s="24">
        <f t="shared" si="2"/>
        <v>5.6672760511882997E-2</v>
      </c>
      <c r="M13" s="23">
        <f t="shared" si="3"/>
        <v>476.82084095063988</v>
      </c>
      <c r="O13" s="25">
        <f t="shared" si="4"/>
        <v>1.4669529494112397E-2</v>
      </c>
      <c r="P13" s="26">
        <f t="shared" si="5"/>
        <v>113.97512204918593</v>
      </c>
      <c r="Q13" s="27"/>
    </row>
    <row r="14" spans="1:17" x14ac:dyDescent="0.2">
      <c r="A14" s="15" t="s">
        <v>31</v>
      </c>
      <c r="C14" s="30">
        <f t="array" ref="C14">SUM(IF(('HW2 data'!A:A=A14)*(RIGHT('HW2 data'!C:C,1)="N"),'HW2 data'!D:D,0))</f>
        <v>36600</v>
      </c>
      <c r="D14" s="30">
        <f t="array" ref="D14">SUM(IF(('HW2 data'!A:A=A14)*(RIGHT('HW2 data'!C:C,1)="N"),'HW2 data'!E:E,0))</f>
        <v>1600</v>
      </c>
      <c r="E14" s="30">
        <f t="array" ref="E14">SUM(IF(('HW2 data'!A:A=A14)*(RIGHT('HW2 data'!C:C,1)="N"),'HW2 data'!F:F,0))</f>
        <v>13171000</v>
      </c>
      <c r="F14" s="25">
        <f t="shared" si="0"/>
        <v>4.3715846994535519E-2</v>
      </c>
      <c r="G14" s="42">
        <f t="shared" si="1"/>
        <v>359.8633879781421</v>
      </c>
      <c r="I14" s="30">
        <f t="array" ref="I14">SUM(IF(('HW2 data'!A:A=A14)*(RIGHT('HW2 data'!C:C,1)="W"),'HW2 data'!D:D,0))</f>
        <v>13200</v>
      </c>
      <c r="J14" s="30">
        <f t="array" ref="J14">SUM(IF(('HW2 data'!A:A=A14)*(RIGHT('HW2 data'!C:C,1)="W"),'HW2 data'!E:E,0))</f>
        <v>900</v>
      </c>
      <c r="K14" s="30">
        <f t="array" ref="K14">SUM(IF(('HW2 data'!A:A=A14)*(RIGHT('HW2 data'!C:C,1)="W"),'HW2 data'!F:F,0))</f>
        <v>7152300</v>
      </c>
      <c r="L14" s="24">
        <f t="shared" si="2"/>
        <v>6.8181818181818177E-2</v>
      </c>
      <c r="M14" s="23">
        <f t="shared" si="3"/>
        <v>541.84090909090912</v>
      </c>
      <c r="O14" s="25">
        <f t="shared" si="4"/>
        <v>2.4465971187282658E-2</v>
      </c>
      <c r="P14" s="26">
        <f t="shared" si="5"/>
        <v>181.97752111276702</v>
      </c>
      <c r="Q14" s="27"/>
    </row>
    <row r="15" spans="1:17" x14ac:dyDescent="0.2">
      <c r="A15" s="15" t="s">
        <v>32</v>
      </c>
      <c r="C15" s="30">
        <f t="array" ref="C15">SUM(IF(('HW2 data'!A:A=A15)*(RIGHT('HW2 data'!C:C,1)="N"),'HW2 data'!D:D,0))</f>
        <v>19800</v>
      </c>
      <c r="D15" s="30">
        <f t="array" ref="D15">SUM(IF(('HW2 data'!A:A=A15)*(RIGHT('HW2 data'!C:C,1)="N"),'HW2 data'!E:E,0))</f>
        <v>1000</v>
      </c>
      <c r="E15" s="30">
        <f t="array" ref="E15">SUM(IF(('HW2 data'!A:A=A15)*(RIGHT('HW2 data'!C:C,1)="N"),'HW2 data'!F:F,0))</f>
        <v>8378100</v>
      </c>
      <c r="F15" s="25">
        <f t="shared" si="0"/>
        <v>5.0505050505050504E-2</v>
      </c>
      <c r="G15" s="42">
        <f t="shared" si="1"/>
        <v>423.13636363636363</v>
      </c>
      <c r="I15" s="30">
        <f t="array" ref="I15">SUM(IF(('HW2 data'!A:A=A15)*(RIGHT('HW2 data'!C:C,1)="W"),'HW2 data'!D:D,0))</f>
        <v>9400</v>
      </c>
      <c r="J15" s="30">
        <f t="array" ref="J15">SUM(IF(('HW2 data'!A:A=A15)*(RIGHT('HW2 data'!C:C,1)="W"),'HW2 data'!E:E,0))</f>
        <v>700</v>
      </c>
      <c r="K15" s="30">
        <f t="array" ref="K15">SUM(IF(('HW2 data'!A:A=A15)*(RIGHT('HW2 data'!C:C,1)="W"),'HW2 data'!F:F,0))</f>
        <v>5613100</v>
      </c>
      <c r="L15" s="24">
        <f t="shared" si="2"/>
        <v>7.4468085106382975E-2</v>
      </c>
      <c r="M15" s="23">
        <f t="shared" si="3"/>
        <v>597.13829787234044</v>
      </c>
      <c r="O15" s="25">
        <f t="shared" si="4"/>
        <v>2.3963034601332471E-2</v>
      </c>
      <c r="P15" s="26">
        <f t="shared" si="5"/>
        <v>174.00193423597682</v>
      </c>
      <c r="Q15" s="27"/>
    </row>
    <row r="16" spans="1:17" x14ac:dyDescent="0.2">
      <c r="A16" s="15" t="s">
        <v>33</v>
      </c>
      <c r="C16" s="30">
        <f t="array" ref="C16">SUM(IF(('HW2 data'!A:A=A16)*(RIGHT('HW2 data'!C:C,1)="N"),'HW2 data'!D:D,0))</f>
        <v>424200</v>
      </c>
      <c r="D16" s="30">
        <f t="array" ref="D16">SUM(IF(('HW2 data'!A:A=A16)*(RIGHT('HW2 data'!C:C,1)="N"),'HW2 data'!E:E,0))</f>
        <v>16300</v>
      </c>
      <c r="E16" s="30">
        <f t="array" ref="E16">SUM(IF(('HW2 data'!A:A=A16)*(RIGHT('HW2 data'!C:C,1)="N"),'HW2 data'!F:F,0))</f>
        <v>127874300</v>
      </c>
      <c r="F16" s="25">
        <f t="shared" si="0"/>
        <v>3.8425271098538424E-2</v>
      </c>
      <c r="G16" s="42">
        <f t="shared" si="1"/>
        <v>301.44813767090994</v>
      </c>
      <c r="I16" s="30">
        <f t="array" ref="I16">SUM(IF(('HW2 data'!A:A=A16)*(RIGHT('HW2 data'!C:C,1)="W"),'HW2 data'!D:D,0))</f>
        <v>225100</v>
      </c>
      <c r="J16" s="30">
        <f t="array" ref="J16">SUM(IF(('HW2 data'!A:A=A16)*(RIGHT('HW2 data'!C:C,1)="W"),'HW2 data'!E:E,0))</f>
        <v>15700</v>
      </c>
      <c r="K16" s="30">
        <f t="array" ref="K16">SUM(IF(('HW2 data'!A:A=A16)*(RIGHT('HW2 data'!C:C,1)="W"),'HW2 data'!F:F,0))</f>
        <v>130562100</v>
      </c>
      <c r="L16" s="24">
        <f t="shared" si="2"/>
        <v>6.9746779209240342E-2</v>
      </c>
      <c r="M16" s="23">
        <f t="shared" si="3"/>
        <v>580.01821412705465</v>
      </c>
      <c r="O16" s="25">
        <f t="shared" si="4"/>
        <v>3.1321508110701918E-2</v>
      </c>
      <c r="P16" s="26">
        <f t="shared" si="5"/>
        <v>278.5700764561447</v>
      </c>
      <c r="Q16" s="27"/>
    </row>
    <row r="17" spans="1:17" x14ac:dyDescent="0.2">
      <c r="A17" s="15" t="s">
        <v>34</v>
      </c>
      <c r="C17" s="30">
        <f t="array" ref="C17">SUM(IF(('HW2 data'!A:A=A17)*(RIGHT('HW2 data'!C:C,1)="N"),'HW2 data'!D:D,0))</f>
        <v>322200</v>
      </c>
      <c r="D17" s="30">
        <f t="array" ref="D17">SUM(IF(('HW2 data'!A:A=A17)*(RIGHT('HW2 data'!C:C,1)="N"),'HW2 data'!E:E,0))</f>
        <v>14500</v>
      </c>
      <c r="E17" s="30">
        <f t="array" ref="E17">SUM(IF(('HW2 data'!A:A=A17)*(RIGHT('HW2 data'!C:C,1)="N"),'HW2 data'!F:F,0))</f>
        <v>111198200</v>
      </c>
      <c r="F17" s="25">
        <f t="shared" si="0"/>
        <v>4.5003103662321541E-2</v>
      </c>
      <c r="G17" s="42">
        <f t="shared" si="1"/>
        <v>345.12166356300435</v>
      </c>
      <c r="I17" s="30">
        <f t="array" ref="I17">SUM(IF(('HW2 data'!A:A=A17)*(RIGHT('HW2 data'!C:C,1)="W"),'HW2 data'!D:D,0))</f>
        <v>134700</v>
      </c>
      <c r="J17" s="30">
        <f t="array" ref="J17">SUM(IF(('HW2 data'!A:A=A17)*(RIGHT('HW2 data'!C:C,1)="W"),'HW2 data'!E:E,0))</f>
        <v>9000</v>
      </c>
      <c r="K17" s="30">
        <f t="array" ref="K17">SUM(IF(('HW2 data'!A:A=A17)*(RIGHT('HW2 data'!C:C,1)="W"),'HW2 data'!F:F,0))</f>
        <v>68419700</v>
      </c>
      <c r="L17" s="24">
        <f t="shared" si="2"/>
        <v>6.6815144766147E-2</v>
      </c>
      <c r="M17" s="23">
        <f t="shared" si="3"/>
        <v>507.94135115070526</v>
      </c>
      <c r="O17" s="25">
        <f t="shared" si="4"/>
        <v>2.1812041103825459E-2</v>
      </c>
      <c r="P17" s="26">
        <f t="shared" si="5"/>
        <v>162.81968758770091</v>
      </c>
      <c r="Q17" s="27"/>
    </row>
    <row r="18" spans="1:17" x14ac:dyDescent="0.2">
      <c r="A18" s="15" t="s">
        <v>35</v>
      </c>
      <c r="C18" s="30">
        <f t="array" ref="C18">SUM(IF(('HW2 data'!A:A=A18)*(RIGHT('HW2 data'!C:C,1)="N"),'HW2 data'!D:D,0))</f>
        <v>20300</v>
      </c>
      <c r="D18" s="30">
        <f t="array" ref="D18">SUM(IF(('HW2 data'!A:A=A18)*(RIGHT('HW2 data'!C:C,1)="N"),'HW2 data'!E:E,0))</f>
        <v>1000</v>
      </c>
      <c r="E18" s="30">
        <f t="array" ref="E18">SUM(IF(('HW2 data'!A:A=A18)*(RIGHT('HW2 data'!C:C,1)="N"),'HW2 data'!F:F,0))</f>
        <v>8036600</v>
      </c>
      <c r="F18" s="25">
        <f t="shared" si="0"/>
        <v>4.9261083743842367E-2</v>
      </c>
      <c r="G18" s="42">
        <f t="shared" si="1"/>
        <v>395.89162561576353</v>
      </c>
      <c r="I18" s="30">
        <f t="array" ref="I18">SUM(IF(('HW2 data'!A:A=A18)*(RIGHT('HW2 data'!C:C,1)="W"),'HW2 data'!D:D,0))</f>
        <v>10800</v>
      </c>
      <c r="J18" s="30">
        <f t="array" ref="J18">SUM(IF(('HW2 data'!A:A=A18)*(RIGHT('HW2 data'!C:C,1)="W"),'HW2 data'!E:E,0))</f>
        <v>800</v>
      </c>
      <c r="K18" s="30">
        <f t="array" ref="K18">SUM(IF(('HW2 data'!A:A=A18)*(RIGHT('HW2 data'!C:C,1)="W"),'HW2 data'!F:F,0))</f>
        <v>6602300</v>
      </c>
      <c r="L18" s="24">
        <f t="shared" si="2"/>
        <v>7.407407407407407E-2</v>
      </c>
      <c r="M18" s="23">
        <f t="shared" si="3"/>
        <v>611.32407407407402</v>
      </c>
      <c r="O18" s="25">
        <f t="shared" si="4"/>
        <v>2.4812990330231703E-2</v>
      </c>
      <c r="P18" s="26">
        <f t="shared" si="5"/>
        <v>215.43244845831049</v>
      </c>
      <c r="Q18" s="27"/>
    </row>
    <row r="19" spans="1:17" x14ac:dyDescent="0.2">
      <c r="A19" s="15" t="s">
        <v>36</v>
      </c>
      <c r="C19" s="30">
        <f t="array" ref="C19">SUM(IF(('HW2 data'!A:A=A19)*(RIGHT('HW2 data'!C:C,1)="N"),'HW2 data'!D:D,0))</f>
        <v>48600</v>
      </c>
      <c r="D19" s="30">
        <f t="array" ref="D19">SUM(IF(('HW2 data'!A:A=A19)*(RIGHT('HW2 data'!C:C,1)="N"),'HW2 data'!E:E,0))</f>
        <v>2200</v>
      </c>
      <c r="E19" s="30">
        <f t="array" ref="E19">SUM(IF(('HW2 data'!A:A=A19)*(RIGHT('HW2 data'!C:C,1)="N"),'HW2 data'!F:F,0))</f>
        <v>18017200</v>
      </c>
      <c r="F19" s="25">
        <f t="shared" si="0"/>
        <v>4.5267489711934158E-2</v>
      </c>
      <c r="G19" s="42">
        <f t="shared" si="1"/>
        <v>370.72427983539097</v>
      </c>
      <c r="I19" s="30">
        <f t="array" ref="I19">SUM(IF(('HW2 data'!A:A=A19)*(RIGHT('HW2 data'!C:C,1)="W"),'HW2 data'!D:D,0))</f>
        <v>21400</v>
      </c>
      <c r="J19" s="30">
        <f t="array" ref="J19">SUM(IF(('HW2 data'!A:A=A19)*(RIGHT('HW2 data'!C:C,1)="W"),'HW2 data'!E:E,0))</f>
        <v>1600</v>
      </c>
      <c r="K19" s="30">
        <f t="array" ref="K19">SUM(IF(('HW2 data'!A:A=A19)*(RIGHT('HW2 data'!C:C,1)="W"),'HW2 data'!F:F,0))</f>
        <v>13334000</v>
      </c>
      <c r="L19" s="24">
        <f t="shared" si="2"/>
        <v>7.476635514018691E-2</v>
      </c>
      <c r="M19" s="23">
        <f t="shared" si="3"/>
        <v>623.08411214953276</v>
      </c>
      <c r="O19" s="25">
        <f t="shared" si="4"/>
        <v>2.9498865428252752E-2</v>
      </c>
      <c r="P19" s="26">
        <f t="shared" si="5"/>
        <v>252.35983231414178</v>
      </c>
      <c r="Q19" s="27"/>
    </row>
    <row r="20" spans="1:17" x14ac:dyDescent="0.2">
      <c r="A20" s="15" t="s">
        <v>37</v>
      </c>
      <c r="C20" s="30">
        <f t="array" ref="C20">SUM(IF(('HW2 data'!A:A=A20)*(RIGHT('HW2 data'!C:C,1)="N"),'HW2 data'!D:D,0))</f>
        <v>276000</v>
      </c>
      <c r="D20" s="30">
        <f t="array" ref="D20">SUM(IF(('HW2 data'!A:A=A20)*(RIGHT('HW2 data'!C:C,1)="N"),'HW2 data'!E:E,0))</f>
        <v>11700</v>
      </c>
      <c r="E20" s="30">
        <f t="array" ref="E20">SUM(IF(('HW2 data'!A:A=A20)*(RIGHT('HW2 data'!C:C,1)="N"),'HW2 data'!F:F,0))</f>
        <v>94321200</v>
      </c>
      <c r="F20" s="25">
        <f t="shared" si="0"/>
        <v>4.2391304347826085E-2</v>
      </c>
      <c r="G20" s="42">
        <f t="shared" si="1"/>
        <v>341.74347826086955</v>
      </c>
      <c r="I20" s="30">
        <f t="array" ref="I20">SUM(IF(('HW2 data'!A:A=A20)*(RIGHT('HW2 data'!C:C,1)="W"),'HW2 data'!D:D,0))</f>
        <v>148100</v>
      </c>
      <c r="J20" s="30">
        <f t="array" ref="J20">SUM(IF(('HW2 data'!A:A=A20)*(RIGHT('HW2 data'!C:C,1)="W"),'HW2 data'!E:E,0))</f>
        <v>10600</v>
      </c>
      <c r="K20" s="30">
        <f t="array" ref="K20">SUM(IF(('HW2 data'!A:A=A20)*(RIGHT('HW2 data'!C:C,1)="W"),'HW2 data'!F:F,0))</f>
        <v>83510100</v>
      </c>
      <c r="L20" s="24">
        <f t="shared" si="2"/>
        <v>7.1573261309925723E-2</v>
      </c>
      <c r="M20" s="23">
        <f t="shared" si="3"/>
        <v>563.87643484132343</v>
      </c>
      <c r="O20" s="25">
        <f t="shared" si="4"/>
        <v>2.9181956962099638E-2</v>
      </c>
      <c r="P20" s="26">
        <f t="shared" si="5"/>
        <v>222.13295658045388</v>
      </c>
      <c r="Q20" s="27"/>
    </row>
    <row r="21" spans="1:17" x14ac:dyDescent="0.2">
      <c r="A21" s="15" t="s">
        <v>38</v>
      </c>
      <c r="C21" s="30">
        <f t="array" ref="C21">SUM(IF(('HW2 data'!A:A=A21)*(RIGHT('HW2 data'!C:C,1)="N"),'HW2 data'!D:D,0))</f>
        <v>241600</v>
      </c>
      <c r="D21" s="30">
        <f t="array" ref="D21">SUM(IF(('HW2 data'!A:A=A21)*(RIGHT('HW2 data'!C:C,1)="N"),'HW2 data'!E:E,0))</f>
        <v>7300</v>
      </c>
      <c r="E21" s="30">
        <f t="array" ref="E21">SUM(IF(('HW2 data'!A:A=A21)*(RIGHT('HW2 data'!C:C,1)="N"),'HW2 data'!F:F,0))</f>
        <v>58858300</v>
      </c>
      <c r="F21" s="25">
        <f t="shared" si="0"/>
        <v>3.0215231788079472E-2</v>
      </c>
      <c r="G21" s="42">
        <f t="shared" si="1"/>
        <v>243.61879139072849</v>
      </c>
      <c r="I21" s="30">
        <f t="array" ref="I21">SUM(IF(('HW2 data'!A:A=A21)*(RIGHT('HW2 data'!C:C,1)="W"),'HW2 data'!D:D,0))</f>
        <v>104600</v>
      </c>
      <c r="J21" s="30">
        <f t="array" ref="J21">SUM(IF(('HW2 data'!A:A=A21)*(RIGHT('HW2 data'!C:C,1)="W"),'HW2 data'!E:E,0))</f>
        <v>5800</v>
      </c>
      <c r="K21" s="30">
        <f t="array" ref="K21">SUM(IF(('HW2 data'!A:A=A21)*(RIGHT('HW2 data'!C:C,1)="W"),'HW2 data'!F:F,0))</f>
        <v>46592800</v>
      </c>
      <c r="L21" s="24">
        <f t="shared" si="2"/>
        <v>5.5449330783938815E-2</v>
      </c>
      <c r="M21" s="23">
        <f t="shared" si="3"/>
        <v>445.43785850860422</v>
      </c>
      <c r="O21" s="25">
        <f t="shared" si="4"/>
        <v>2.5234098995859343E-2</v>
      </c>
      <c r="P21" s="26">
        <f t="shared" si="5"/>
        <v>201.81906711787573</v>
      </c>
      <c r="Q21" s="27"/>
    </row>
    <row r="22" spans="1:17" x14ac:dyDescent="0.2">
      <c r="A22" s="15" t="s">
        <v>39</v>
      </c>
      <c r="C22" s="30">
        <f t="array" ref="C22">SUM(IF(('HW2 data'!A:A=A22)*(RIGHT('HW2 data'!C:C,1)="N"),'HW2 data'!D:D,0))</f>
        <v>53400</v>
      </c>
      <c r="D22" s="30">
        <f t="array" ref="D22">SUM(IF(('HW2 data'!A:A=A22)*(RIGHT('HW2 data'!C:C,1)="N"),'HW2 data'!E:E,0))</f>
        <v>1800</v>
      </c>
      <c r="E22" s="30">
        <f t="array" ref="E22">SUM(IF(('HW2 data'!A:A=A22)*(RIGHT('HW2 data'!C:C,1)="N"),'HW2 data'!F:F,0))</f>
        <v>14284300</v>
      </c>
      <c r="F22" s="25">
        <f t="shared" si="0"/>
        <v>3.3707865168539325E-2</v>
      </c>
      <c r="G22" s="42">
        <f t="shared" si="1"/>
        <v>267.49625468164794</v>
      </c>
      <c r="I22" s="30">
        <f t="array" ref="I22">SUM(IF(('HW2 data'!A:A=A22)*(RIGHT('HW2 data'!C:C,1)="W"),'HW2 data'!D:D,0))</f>
        <v>26500</v>
      </c>
      <c r="J22" s="30">
        <f t="array" ref="J22">SUM(IF(('HW2 data'!A:A=A22)*(RIGHT('HW2 data'!C:C,1)="W"),'HW2 data'!E:E,0))</f>
        <v>1600</v>
      </c>
      <c r="K22" s="30">
        <f t="array" ref="K22">SUM(IF(('HW2 data'!A:A=A22)*(RIGHT('HW2 data'!C:C,1)="W"),'HW2 data'!F:F,0))</f>
        <v>13251700</v>
      </c>
      <c r="L22" s="24">
        <f t="shared" si="2"/>
        <v>6.0377358490566038E-2</v>
      </c>
      <c r="M22" s="23">
        <f t="shared" si="3"/>
        <v>500.06415094339621</v>
      </c>
      <c r="O22" s="25">
        <f t="shared" si="4"/>
        <v>2.6669493322026713E-2</v>
      </c>
      <c r="P22" s="26">
        <f t="shared" si="5"/>
        <v>232.56789626174827</v>
      </c>
      <c r="Q22" s="27"/>
    </row>
    <row r="23" spans="1:17" x14ac:dyDescent="0.2">
      <c r="A23" s="15" t="s">
        <v>40</v>
      </c>
      <c r="C23" s="30">
        <f t="array" ref="C23">SUM(IF(('HW2 data'!A:A=A23)*(RIGHT('HW2 data'!C:C,1)="N"),'HW2 data'!D:D,0))</f>
        <v>84800</v>
      </c>
      <c r="D23" s="30">
        <f t="array" ref="D23">SUM(IF(('HW2 data'!A:A=A23)*(RIGHT('HW2 data'!C:C,1)="N"),'HW2 data'!E:E,0))</f>
        <v>4400</v>
      </c>
      <c r="E23" s="30">
        <f t="array" ref="E23">SUM(IF(('HW2 data'!A:A=A23)*(RIGHT('HW2 data'!C:C,1)="N"),'HW2 data'!F:F,0))</f>
        <v>33961600</v>
      </c>
      <c r="F23" s="25">
        <f t="shared" si="0"/>
        <v>5.1886792452830191E-2</v>
      </c>
      <c r="G23" s="42">
        <f t="shared" si="1"/>
        <v>400.49056603773585</v>
      </c>
      <c r="I23" s="30">
        <f t="array" ref="I23">SUM(IF(('HW2 data'!A:A=A23)*(RIGHT('HW2 data'!C:C,1)="W"),'HW2 data'!D:D,0))</f>
        <v>34400</v>
      </c>
      <c r="J23" s="30">
        <f t="array" ref="J23">SUM(IF(('HW2 data'!A:A=A23)*(RIGHT('HW2 data'!C:C,1)="W"),'HW2 data'!E:E,0))</f>
        <v>2400</v>
      </c>
      <c r="K23" s="30">
        <f t="array" ref="K23">SUM(IF(('HW2 data'!A:A=A23)*(RIGHT('HW2 data'!C:C,1)="W"),'HW2 data'!F:F,0))</f>
        <v>21133000</v>
      </c>
      <c r="L23" s="24">
        <f t="shared" si="2"/>
        <v>6.9767441860465115E-2</v>
      </c>
      <c r="M23" s="23">
        <f t="shared" si="3"/>
        <v>614.33139534883719</v>
      </c>
      <c r="O23" s="25">
        <f t="shared" si="4"/>
        <v>1.7880649407634924E-2</v>
      </c>
      <c r="P23" s="26">
        <f t="shared" si="5"/>
        <v>213.84082931110134</v>
      </c>
      <c r="Q23" s="27"/>
    </row>
    <row r="24" spans="1:17" x14ac:dyDescent="0.2">
      <c r="A24" s="15" t="s">
        <v>41</v>
      </c>
      <c r="C24" s="30">
        <f t="array" ref="C24">SUM(IF(('HW2 data'!A:A=A24)*(RIGHT('HW2 data'!C:C,1)="N"),'HW2 data'!D:D,0))</f>
        <v>106600</v>
      </c>
      <c r="D24" s="30">
        <f t="array" ref="D24">SUM(IF(('HW2 data'!A:A=A24)*(RIGHT('HW2 data'!C:C,1)="N"),'HW2 data'!E:E,0))</f>
        <v>5600</v>
      </c>
      <c r="E24" s="30">
        <f t="array" ref="E24">SUM(IF(('HW2 data'!A:A=A24)*(RIGHT('HW2 data'!C:C,1)="N"),'HW2 data'!F:F,0))</f>
        <v>46902300</v>
      </c>
      <c r="F24" s="25">
        <f t="shared" si="0"/>
        <v>5.2532833020637902E-2</v>
      </c>
      <c r="G24" s="42">
        <f t="shared" si="1"/>
        <v>439.984052532833</v>
      </c>
      <c r="I24" s="30">
        <f t="array" ref="I24">SUM(IF(('HW2 data'!A:A=A24)*(RIGHT('HW2 data'!C:C,1)="W"),'HW2 data'!D:D,0))</f>
        <v>42200</v>
      </c>
      <c r="J24" s="30">
        <f t="array" ref="J24">SUM(IF(('HW2 data'!A:A=A24)*(RIGHT('HW2 data'!C:C,1)="W"),'HW2 data'!E:E,0))</f>
        <v>3100</v>
      </c>
      <c r="K24" s="30">
        <f t="array" ref="K24">SUM(IF(('HW2 data'!A:A=A24)*(RIGHT('HW2 data'!C:C,1)="W"),'HW2 data'!F:F,0))</f>
        <v>24898500</v>
      </c>
      <c r="L24" s="24">
        <f t="shared" si="2"/>
        <v>7.3459715639810422E-2</v>
      </c>
      <c r="M24" s="23">
        <f t="shared" si="3"/>
        <v>590.01184834123228</v>
      </c>
      <c r="O24" s="25">
        <f t="shared" si="4"/>
        <v>2.092688261917252E-2</v>
      </c>
      <c r="P24" s="26">
        <f t="shared" si="5"/>
        <v>150.02779580839928</v>
      </c>
      <c r="Q24" s="27"/>
    </row>
    <row r="25" spans="1:17" x14ac:dyDescent="0.2">
      <c r="A25" s="15" t="s">
        <v>42</v>
      </c>
      <c r="C25" s="30">
        <f t="array" ref="C25">SUM(IF(('HW2 data'!A:A=A25)*(RIGHT('HW2 data'!C:C,1)="N"),'HW2 data'!D:D,0))</f>
        <v>134600</v>
      </c>
      <c r="D25" s="30">
        <f t="array" ref="D25">SUM(IF(('HW2 data'!A:A=A25)*(RIGHT('HW2 data'!C:C,1)="N"),'HW2 data'!E:E,0))</f>
        <v>5000</v>
      </c>
      <c r="E25" s="30">
        <f t="array" ref="E25">SUM(IF(('HW2 data'!A:A=A25)*(RIGHT('HW2 data'!C:C,1)="N"),'HW2 data'!F:F,0))</f>
        <v>40955100</v>
      </c>
      <c r="F25" s="25">
        <f t="shared" si="0"/>
        <v>3.7147102526002972E-2</v>
      </c>
      <c r="G25" s="42">
        <f t="shared" si="1"/>
        <v>304.27265973254089</v>
      </c>
      <c r="I25" s="30">
        <f t="array" ref="I25">SUM(IF(('HW2 data'!A:A=A25)*(RIGHT('HW2 data'!C:C,1)="W"),'HW2 data'!D:D,0))</f>
        <v>52600</v>
      </c>
      <c r="J25" s="30">
        <f t="array" ref="J25">SUM(IF(('HW2 data'!A:A=A25)*(RIGHT('HW2 data'!C:C,1)="W"),'HW2 data'!E:E,0))</f>
        <v>3300</v>
      </c>
      <c r="K25" s="30">
        <f t="array" ref="K25">SUM(IF(('HW2 data'!A:A=A25)*(RIGHT('HW2 data'!C:C,1)="W"),'HW2 data'!F:F,0))</f>
        <v>27313700</v>
      </c>
      <c r="L25" s="24">
        <f t="shared" si="2"/>
        <v>6.2737642585551326E-2</v>
      </c>
      <c r="M25" s="23">
        <f t="shared" si="3"/>
        <v>519.27186311787068</v>
      </c>
      <c r="O25" s="25">
        <f t="shared" si="4"/>
        <v>2.5590540059548354E-2</v>
      </c>
      <c r="P25" s="26">
        <f t="shared" si="5"/>
        <v>214.99920338532979</v>
      </c>
      <c r="Q25" s="27"/>
    </row>
    <row r="26" spans="1:17" x14ac:dyDescent="0.2">
      <c r="A26" s="15" t="s">
        <v>43</v>
      </c>
      <c r="C26" s="30">
        <f t="array" ref="C26">SUM(IF(('HW2 data'!A:A=A26)*(RIGHT('HW2 data'!C:C,1)="N"),'HW2 data'!D:D,0))</f>
        <v>50900</v>
      </c>
      <c r="D26" s="30">
        <f t="array" ref="D26">SUM(IF(('HW2 data'!A:A=A26)*(RIGHT('HW2 data'!C:C,1)="N"),'HW2 data'!E:E,0))</f>
        <v>2200</v>
      </c>
      <c r="E26" s="30">
        <f t="array" ref="E26">SUM(IF(('HW2 data'!A:A=A26)*(RIGHT('HW2 data'!C:C,1)="N"),'HW2 data'!F:F,0))</f>
        <v>17916800</v>
      </c>
      <c r="F26" s="25">
        <f t="shared" si="0"/>
        <v>4.3222003929273084E-2</v>
      </c>
      <c r="G26" s="42">
        <f t="shared" si="1"/>
        <v>352</v>
      </c>
      <c r="I26" s="30">
        <f t="array" ref="I26">SUM(IF(('HW2 data'!A:A=A26)*(RIGHT('HW2 data'!C:C,1)="W"),'HW2 data'!D:D,0))</f>
        <v>21900</v>
      </c>
      <c r="J26" s="30">
        <f t="array" ref="J26">SUM(IF(('HW2 data'!A:A=A26)*(RIGHT('HW2 data'!C:C,1)="W"),'HW2 data'!E:E,0))</f>
        <v>1400</v>
      </c>
      <c r="K26" s="30">
        <f t="array" ref="K26">SUM(IF(('HW2 data'!A:A=A26)*(RIGHT('HW2 data'!C:C,1)="W"),'HW2 data'!F:F,0))</f>
        <v>10968800</v>
      </c>
      <c r="L26" s="24">
        <f t="shared" si="2"/>
        <v>6.3926940639269403E-2</v>
      </c>
      <c r="M26" s="23">
        <f t="shared" si="3"/>
        <v>500.85844748858449</v>
      </c>
      <c r="O26" s="25">
        <f t="shared" si="4"/>
        <v>2.0704936709996319E-2</v>
      </c>
      <c r="P26" s="26">
        <f t="shared" si="5"/>
        <v>148.85844748858449</v>
      </c>
      <c r="Q26" s="27"/>
    </row>
    <row r="27" spans="1:17" x14ac:dyDescent="0.2">
      <c r="A27" s="15" t="s">
        <v>44</v>
      </c>
      <c r="C27" s="30">
        <f t="array" ref="C27">SUM(IF(('HW2 data'!A:A=A27)*(RIGHT('HW2 data'!C:C,1)="N"),'HW2 data'!D:D,0))</f>
        <v>173400</v>
      </c>
      <c r="D27" s="30">
        <f t="array" ref="D27">SUM(IF(('HW2 data'!A:A=A27)*(RIGHT('HW2 data'!C:C,1)="N"),'HW2 data'!E:E,0))</f>
        <v>7200</v>
      </c>
      <c r="E27" s="30">
        <f t="array" ref="E27">SUM(IF(('HW2 data'!A:A=A27)*(RIGHT('HW2 data'!C:C,1)="N"),'HW2 data'!F:F,0))</f>
        <v>56252400</v>
      </c>
      <c r="F27" s="25">
        <f t="shared" si="0"/>
        <v>4.1522491349480967E-2</v>
      </c>
      <c r="G27" s="42">
        <f t="shared" si="1"/>
        <v>324.4083044982699</v>
      </c>
      <c r="I27" s="30">
        <f t="array" ref="I27">SUM(IF(('HW2 data'!A:A=A27)*(RIGHT('HW2 data'!C:C,1)="W"),'HW2 data'!D:D,0))</f>
        <v>69500</v>
      </c>
      <c r="J27" s="30">
        <f t="array" ref="J27">SUM(IF(('HW2 data'!A:A=A27)*(RIGHT('HW2 data'!C:C,1)="W"),'HW2 data'!E:E,0))</f>
        <v>5100</v>
      </c>
      <c r="K27" s="30">
        <f t="array" ref="K27">SUM(IF(('HW2 data'!A:A=A27)*(RIGHT('HW2 data'!C:C,1)="W"),'HW2 data'!F:F,0))</f>
        <v>40517000</v>
      </c>
      <c r="L27" s="24">
        <f t="shared" si="2"/>
        <v>7.3381294964028773E-2</v>
      </c>
      <c r="M27" s="23">
        <f t="shared" si="3"/>
        <v>582.97841726618708</v>
      </c>
      <c r="O27" s="25">
        <f t="shared" si="4"/>
        <v>3.1858803614547807E-2</v>
      </c>
      <c r="P27" s="26">
        <f t="shared" si="5"/>
        <v>258.57011276791718</v>
      </c>
      <c r="Q27" s="27"/>
    </row>
    <row r="28" spans="1:17" x14ac:dyDescent="0.2">
      <c r="A28" s="15" t="s">
        <v>45</v>
      </c>
      <c r="C28" s="30">
        <f t="array" ref="C28">SUM(IF(('HW2 data'!A:A=A28)*(RIGHT('HW2 data'!C:C,1)="N"),'HW2 data'!D:D,0))</f>
        <v>232000</v>
      </c>
      <c r="D28" s="30">
        <f t="array" ref="D28">SUM(IF(('HW2 data'!A:A=A28)*(RIGHT('HW2 data'!C:C,1)="N"),'HW2 data'!E:E,0))</f>
        <v>11300</v>
      </c>
      <c r="E28" s="30">
        <f t="array" ref="E28">SUM(IF(('HW2 data'!A:A=A28)*(RIGHT('HW2 data'!C:C,1)="N"),'HW2 data'!F:F,0))</f>
        <v>95320700</v>
      </c>
      <c r="F28" s="25">
        <f t="shared" si="0"/>
        <v>4.8706896551724138E-2</v>
      </c>
      <c r="G28" s="42">
        <f t="shared" si="1"/>
        <v>410.86508620689654</v>
      </c>
      <c r="I28" s="30">
        <f t="array" ref="I28">SUM(IF(('HW2 data'!A:A=A28)*(RIGHT('HW2 data'!C:C,1)="W"),'HW2 data'!D:D,0))</f>
        <v>97400</v>
      </c>
      <c r="J28" s="30">
        <f t="array" ref="J28">SUM(IF(('HW2 data'!A:A=A28)*(RIGHT('HW2 data'!C:C,1)="W"),'HW2 data'!E:E,0))</f>
        <v>7000</v>
      </c>
      <c r="K28" s="30">
        <f t="array" ref="K28">SUM(IF(('HW2 data'!A:A=A28)*(RIGHT('HW2 data'!C:C,1)="W"),'HW2 data'!F:F,0))</f>
        <v>59588800</v>
      </c>
      <c r="L28" s="24">
        <f t="shared" si="2"/>
        <v>7.1868583162217656E-2</v>
      </c>
      <c r="M28" s="23">
        <f t="shared" si="3"/>
        <v>611.79466119096514</v>
      </c>
      <c r="O28" s="25">
        <f t="shared" si="4"/>
        <v>2.3161686610493518E-2</v>
      </c>
      <c r="P28" s="26">
        <f t="shared" si="5"/>
        <v>200.92957498406861</v>
      </c>
      <c r="Q28" s="27"/>
    </row>
    <row r="29" spans="1:17" x14ac:dyDescent="0.2">
      <c r="A29" s="15" t="s">
        <v>46</v>
      </c>
      <c r="C29" s="30">
        <f t="array" ref="C29">SUM(IF(('HW2 data'!A:A=A29)*(RIGHT('HW2 data'!C:C,1)="N"),'HW2 data'!D:D,0))</f>
        <v>206200</v>
      </c>
      <c r="D29" s="30">
        <f t="array" ref="D29">SUM(IF(('HW2 data'!A:A=A29)*(RIGHT('HW2 data'!C:C,1)="N"),'HW2 data'!E:E,0))</f>
        <v>10600</v>
      </c>
      <c r="E29" s="30">
        <f t="array" ref="E29">SUM(IF(('HW2 data'!A:A=A29)*(RIGHT('HW2 data'!C:C,1)="N"),'HW2 data'!F:F,0))</f>
        <v>82135800</v>
      </c>
      <c r="F29" s="25">
        <f t="shared" si="0"/>
        <v>5.140640155189137E-2</v>
      </c>
      <c r="G29" s="42">
        <f t="shared" si="1"/>
        <v>398.33074684772066</v>
      </c>
      <c r="I29" s="30">
        <f t="array" ref="I29">SUM(IF(('HW2 data'!A:A=A29)*(RIGHT('HW2 data'!C:C,1)="W"),'HW2 data'!D:D,0))</f>
        <v>85500</v>
      </c>
      <c r="J29" s="30">
        <f t="array" ref="J29">SUM(IF(('HW2 data'!A:A=A29)*(RIGHT('HW2 data'!C:C,1)="W"),'HW2 data'!E:E,0))</f>
        <v>7100</v>
      </c>
      <c r="K29" s="30">
        <f t="array" ref="K29">SUM(IF(('HW2 data'!A:A=A29)*(RIGHT('HW2 data'!C:C,1)="W"),'HW2 data'!F:F,0))</f>
        <v>58033500</v>
      </c>
      <c r="L29" s="24">
        <f t="shared" si="2"/>
        <v>8.3040935672514624E-2</v>
      </c>
      <c r="M29" s="23">
        <f t="shared" si="3"/>
        <v>678.75438596491233</v>
      </c>
      <c r="O29" s="25">
        <f t="shared" si="4"/>
        <v>3.1634534120623253E-2</v>
      </c>
      <c r="P29" s="26">
        <f t="shared" si="5"/>
        <v>280.42363911719167</v>
      </c>
      <c r="Q29" s="27"/>
    </row>
    <row r="30" spans="1:17" x14ac:dyDescent="0.2">
      <c r="A30" s="15" t="s">
        <v>47</v>
      </c>
      <c r="C30" s="30">
        <f t="array" ref="C30">SUM(IF(('HW2 data'!A:A=A30)*(RIGHT('HW2 data'!C:C,1)="N"),'HW2 data'!D:D,0))</f>
        <v>160200</v>
      </c>
      <c r="D30" s="30">
        <f t="array" ref="D30">SUM(IF(('HW2 data'!A:A=A30)*(RIGHT('HW2 data'!C:C,1)="N"),'HW2 data'!E:E,0))</f>
        <v>7700</v>
      </c>
      <c r="E30" s="30">
        <f t="array" ref="E30">SUM(IF(('HW2 data'!A:A=A30)*(RIGHT('HW2 data'!C:C,1)="N"),'HW2 data'!F:F,0))</f>
        <v>64843600</v>
      </c>
      <c r="F30" s="25">
        <f t="shared" si="0"/>
        <v>4.8064918851435705E-2</v>
      </c>
      <c r="G30" s="42">
        <f t="shared" si="1"/>
        <v>404.76654182272159</v>
      </c>
      <c r="I30" s="30">
        <f t="array" ref="I30">SUM(IF(('HW2 data'!A:A=A30)*(RIGHT('HW2 data'!C:C,1)="W"),'HW2 data'!D:D,0))</f>
        <v>70200</v>
      </c>
      <c r="J30" s="30">
        <f t="array" ref="J30">SUM(IF(('HW2 data'!A:A=A30)*(RIGHT('HW2 data'!C:C,1)="W"),'HW2 data'!E:E,0))</f>
        <v>5200</v>
      </c>
      <c r="K30" s="30">
        <f t="array" ref="K30">SUM(IF(('HW2 data'!A:A=A30)*(RIGHT('HW2 data'!C:C,1)="W"),'HW2 data'!F:F,0))</f>
        <v>41284500</v>
      </c>
      <c r="L30" s="24">
        <f t="shared" si="2"/>
        <v>7.407407407407407E-2</v>
      </c>
      <c r="M30" s="23">
        <f t="shared" si="3"/>
        <v>588.09829059829065</v>
      </c>
      <c r="O30" s="25">
        <f t="shared" si="4"/>
        <v>2.6009155222638365E-2</v>
      </c>
      <c r="P30" s="26">
        <f t="shared" si="5"/>
        <v>183.33174877556905</v>
      </c>
      <c r="Q30" s="27"/>
    </row>
    <row r="31" spans="1:17" x14ac:dyDescent="0.2">
      <c r="A31" s="15" t="s">
        <v>48</v>
      </c>
      <c r="C31" s="30">
        <f t="array" ref="C31">SUM(IF(('HW2 data'!A:A=A31)*(RIGHT('HW2 data'!C:C,1)="N"),'HW2 data'!D:D,0))</f>
        <v>95200</v>
      </c>
      <c r="D31" s="30">
        <f t="array" ref="D31">SUM(IF(('HW2 data'!A:A=A31)*(RIGHT('HW2 data'!C:C,1)="N"),'HW2 data'!E:E,0))</f>
        <v>5000</v>
      </c>
      <c r="E31" s="30">
        <f t="array" ref="E31">SUM(IF(('HW2 data'!A:A=A31)*(RIGHT('HW2 data'!C:C,1)="N"),'HW2 data'!F:F,0))</f>
        <v>38658200</v>
      </c>
      <c r="F31" s="25">
        <f t="shared" si="0"/>
        <v>5.2521008403361345E-2</v>
      </c>
      <c r="G31" s="42">
        <f t="shared" si="1"/>
        <v>406.0735294117647</v>
      </c>
      <c r="I31" s="30">
        <f t="array" ref="I31">SUM(IF(('HW2 data'!A:A=A31)*(RIGHT('HW2 data'!C:C,1)="W"),'HW2 data'!D:D,0))</f>
        <v>37700</v>
      </c>
      <c r="J31" s="30">
        <f t="array" ref="J31">SUM(IF(('HW2 data'!A:A=A31)*(RIGHT('HW2 data'!C:C,1)="W"),'HW2 data'!E:E,0))</f>
        <v>3000</v>
      </c>
      <c r="K31" s="30">
        <f t="array" ref="K31">SUM(IF(('HW2 data'!A:A=A31)*(RIGHT('HW2 data'!C:C,1)="W"),'HW2 data'!F:F,0))</f>
        <v>25422800</v>
      </c>
      <c r="L31" s="24">
        <f t="shared" si="2"/>
        <v>7.9575596816976124E-2</v>
      </c>
      <c r="M31" s="23">
        <f t="shared" si="3"/>
        <v>674.34482758620686</v>
      </c>
      <c r="O31" s="25">
        <f t="shared" si="4"/>
        <v>2.7054588413614779E-2</v>
      </c>
      <c r="P31" s="26">
        <f t="shared" si="5"/>
        <v>268.27129817444217</v>
      </c>
      <c r="Q31" s="27"/>
    </row>
    <row r="32" spans="1:17" x14ac:dyDescent="0.2">
      <c r="A32" s="15" t="s">
        <v>49</v>
      </c>
      <c r="C32" s="30">
        <f t="array" ref="C32">SUM(IF(('HW2 data'!A:A=A32)*(RIGHT('HW2 data'!C:C,1)="N"),'HW2 data'!D:D,0))</f>
        <v>146300</v>
      </c>
      <c r="D32" s="30">
        <f t="array" ref="D32">SUM(IF(('HW2 data'!A:A=A32)*(RIGHT('HW2 data'!C:C,1)="N"),'HW2 data'!E:E,0))</f>
        <v>6700</v>
      </c>
      <c r="E32" s="30">
        <f t="array" ref="E32">SUM(IF(('HW2 data'!A:A=A32)*(RIGHT('HW2 data'!C:C,1)="N"),'HW2 data'!F:F,0))</f>
        <v>52939500</v>
      </c>
      <c r="F32" s="25">
        <f t="shared" si="0"/>
        <v>4.5796308954203689E-2</v>
      </c>
      <c r="G32" s="42">
        <f t="shared" si="1"/>
        <v>361.85577580314424</v>
      </c>
      <c r="I32" s="30">
        <f t="array" ref="I32">SUM(IF(('HW2 data'!A:A=A32)*(RIGHT('HW2 data'!C:C,1)="W"),'HW2 data'!D:D,0))</f>
        <v>75600</v>
      </c>
      <c r="J32" s="30">
        <f t="array" ref="J32">SUM(IF(('HW2 data'!A:A=A32)*(RIGHT('HW2 data'!C:C,1)="W"),'HW2 data'!E:E,0))</f>
        <v>5500</v>
      </c>
      <c r="K32" s="30">
        <f t="array" ref="K32">SUM(IF(('HW2 data'!A:A=A32)*(RIGHT('HW2 data'!C:C,1)="W"),'HW2 data'!F:F,0))</f>
        <v>42948700</v>
      </c>
      <c r="L32" s="24">
        <f t="shared" si="2"/>
        <v>7.2751322751322747E-2</v>
      </c>
      <c r="M32" s="23">
        <f t="shared" si="3"/>
        <v>568.10449735449731</v>
      </c>
      <c r="O32" s="25">
        <f t="shared" si="4"/>
        <v>2.6955013797119058E-2</v>
      </c>
      <c r="P32" s="26">
        <f t="shared" si="5"/>
        <v>206.24872155135307</v>
      </c>
      <c r="Q32" s="27"/>
    </row>
    <row r="33" spans="1:17" x14ac:dyDescent="0.2">
      <c r="A33" s="15" t="s">
        <v>50</v>
      </c>
      <c r="C33" s="30">
        <f t="array" ref="C33">SUM(IF(('HW2 data'!A:A=A33)*(RIGHT('HW2 data'!C:C,1)="N"),'HW2 data'!D:D,0))</f>
        <v>33300</v>
      </c>
      <c r="D33" s="30">
        <f t="array" ref="D33">SUM(IF(('HW2 data'!A:A=A33)*(RIGHT('HW2 data'!C:C,1)="N"),'HW2 data'!E:E,0))</f>
        <v>1400</v>
      </c>
      <c r="E33" s="30">
        <f t="array" ref="E33">SUM(IF(('HW2 data'!A:A=A33)*(RIGHT('HW2 data'!C:C,1)="N"),'HW2 data'!F:F,0))</f>
        <v>11797800</v>
      </c>
      <c r="F33" s="25">
        <f t="shared" si="0"/>
        <v>4.2042042042042045E-2</v>
      </c>
      <c r="G33" s="42">
        <f t="shared" si="1"/>
        <v>354.2882882882883</v>
      </c>
      <c r="I33" s="30">
        <f t="array" ref="I33">SUM(IF(('HW2 data'!A:A=A33)*(RIGHT('HW2 data'!C:C,1)="W"),'HW2 data'!D:D,0))</f>
        <v>13500</v>
      </c>
      <c r="J33" s="30">
        <f t="array" ref="J33">SUM(IF(('HW2 data'!A:A=A33)*(RIGHT('HW2 data'!C:C,1)="W"),'HW2 data'!E:E,0))</f>
        <v>900</v>
      </c>
      <c r="K33" s="30">
        <f t="array" ref="K33">SUM(IF(('HW2 data'!A:A=A33)*(RIGHT('HW2 data'!C:C,1)="W"),'HW2 data'!F:F,0))</f>
        <v>7592200</v>
      </c>
      <c r="L33" s="24">
        <f t="shared" si="2"/>
        <v>6.6666666666666666E-2</v>
      </c>
      <c r="M33" s="23">
        <f t="shared" si="3"/>
        <v>562.38518518518515</v>
      </c>
      <c r="O33" s="25">
        <f t="shared" si="4"/>
        <v>2.4624624624624621E-2</v>
      </c>
      <c r="P33" s="26">
        <f t="shared" si="5"/>
        <v>208.09689689689685</v>
      </c>
      <c r="Q33" s="27"/>
    </row>
    <row r="34" spans="1:17" x14ac:dyDescent="0.2">
      <c r="A34" s="15" t="s">
        <v>51</v>
      </c>
      <c r="C34" s="30">
        <f t="array" ref="C34">SUM(IF(('HW2 data'!A:A=A34)*(RIGHT('HW2 data'!C:C,1)="N"),'HW2 data'!D:D,0))</f>
        <v>56700</v>
      </c>
      <c r="D34" s="30">
        <f t="array" ref="D34">SUM(IF(('HW2 data'!A:A=A34)*(RIGHT('HW2 data'!C:C,1)="N"),'HW2 data'!E:E,0))</f>
        <v>3000</v>
      </c>
      <c r="E34" s="30">
        <f t="array" ref="E34">SUM(IF(('HW2 data'!A:A=A34)*(RIGHT('HW2 data'!C:C,1)="N"),'HW2 data'!F:F,0))</f>
        <v>24021600</v>
      </c>
      <c r="F34" s="25">
        <f t="shared" si="0"/>
        <v>5.2910052910052907E-2</v>
      </c>
      <c r="G34" s="42">
        <f t="shared" si="1"/>
        <v>423.66137566137564</v>
      </c>
      <c r="I34" s="30">
        <f t="array" ref="I34">SUM(IF(('HW2 data'!A:A=A34)*(RIGHT('HW2 data'!C:C,1)="W"),'HW2 data'!D:D,0))</f>
        <v>29700</v>
      </c>
      <c r="J34" s="30">
        <f t="array" ref="J34">SUM(IF(('HW2 data'!A:A=A34)*(RIGHT('HW2 data'!C:C,1)="W"),'HW2 data'!E:E,0))</f>
        <v>2400</v>
      </c>
      <c r="K34" s="30">
        <f t="array" ref="K34">SUM(IF(('HW2 data'!A:A=A34)*(RIGHT('HW2 data'!C:C,1)="W"),'HW2 data'!F:F,0))</f>
        <v>21478700</v>
      </c>
      <c r="L34" s="24">
        <f t="shared" si="2"/>
        <v>8.0808080808080815E-2</v>
      </c>
      <c r="M34" s="23">
        <f t="shared" si="3"/>
        <v>723.18855218855219</v>
      </c>
      <c r="O34" s="25">
        <f t="shared" si="4"/>
        <v>2.7898027898027908E-2</v>
      </c>
      <c r="P34" s="26">
        <f t="shared" si="5"/>
        <v>299.52717652717655</v>
      </c>
      <c r="Q34" s="27"/>
    </row>
    <row r="35" spans="1:17" x14ac:dyDescent="0.2">
      <c r="A35" s="15" t="s">
        <v>52</v>
      </c>
      <c r="C35" s="30">
        <f t="array" ref="C35">SUM(IF(('HW2 data'!A:A=A35)*(RIGHT('HW2 data'!C:C,1)="N"),'HW2 data'!D:D,0))</f>
        <v>69900</v>
      </c>
      <c r="D35" s="30">
        <f t="array" ref="D35">SUM(IF(('HW2 data'!A:A=A35)*(RIGHT('HW2 data'!C:C,1)="N"),'HW2 data'!E:E,0))</f>
        <v>3200</v>
      </c>
      <c r="E35" s="30">
        <f t="array" ref="E35">SUM(IF(('HW2 data'!A:A=A35)*(RIGHT('HW2 data'!C:C,1)="N"),'HW2 data'!F:F,0))</f>
        <v>26424500</v>
      </c>
      <c r="F35" s="25">
        <f t="shared" si="0"/>
        <v>4.5779685264663805E-2</v>
      </c>
      <c r="G35" s="42">
        <f t="shared" si="1"/>
        <v>378.03290414878398</v>
      </c>
      <c r="I35" s="30">
        <f t="array" ref="I35">SUM(IF(('HW2 data'!A:A=A35)*(RIGHT('HW2 data'!C:C,1)="W"),'HW2 data'!D:D,0))</f>
        <v>33300</v>
      </c>
      <c r="J35" s="30">
        <f t="array" ref="J35">SUM(IF(('HW2 data'!A:A=A35)*(RIGHT('HW2 data'!C:C,1)="W"),'HW2 data'!E:E,0))</f>
        <v>2300</v>
      </c>
      <c r="K35" s="30">
        <f t="array" ref="K35">SUM(IF(('HW2 data'!A:A=A35)*(RIGHT('HW2 data'!C:C,1)="W"),'HW2 data'!F:F,0))</f>
        <v>18886900</v>
      </c>
      <c r="L35" s="24">
        <f t="shared" si="2"/>
        <v>6.9069069069069067E-2</v>
      </c>
      <c r="M35" s="23">
        <f t="shared" si="3"/>
        <v>567.17417417417414</v>
      </c>
      <c r="O35" s="25">
        <f t="shared" si="4"/>
        <v>2.3289383804405261E-2</v>
      </c>
      <c r="P35" s="26">
        <f t="shared" si="5"/>
        <v>189.14127002539016</v>
      </c>
      <c r="Q35" s="27"/>
    </row>
    <row r="36" spans="1:17" x14ac:dyDescent="0.2">
      <c r="A36" s="15" t="s">
        <v>53</v>
      </c>
      <c r="C36" s="30">
        <f t="array" ref="C36">SUM(IF(('HW2 data'!A:A=A36)*(RIGHT('HW2 data'!C:C,1)="N"),'HW2 data'!D:D,0))</f>
        <v>42400</v>
      </c>
      <c r="D36" s="30">
        <f t="array" ref="D36">SUM(IF(('HW2 data'!A:A=A36)*(RIGHT('HW2 data'!C:C,1)="N"),'HW2 data'!E:E,0))</f>
        <v>2000</v>
      </c>
      <c r="E36" s="30">
        <f t="array" ref="E36">SUM(IF(('HW2 data'!A:A=A36)*(RIGHT('HW2 data'!C:C,1)="N"),'HW2 data'!F:F,0))</f>
        <v>16503600</v>
      </c>
      <c r="F36" s="25">
        <f t="shared" si="0"/>
        <v>4.716981132075472E-2</v>
      </c>
      <c r="G36" s="42">
        <f t="shared" si="1"/>
        <v>389.2358490566038</v>
      </c>
      <c r="I36" s="30">
        <f t="array" ref="I36">SUM(IF(('HW2 data'!A:A=A36)*(RIGHT('HW2 data'!C:C,1)="W"),'HW2 data'!D:D,0))</f>
        <v>17100</v>
      </c>
      <c r="J36" s="30">
        <f t="array" ref="J36">SUM(IF(('HW2 data'!A:A=A36)*(RIGHT('HW2 data'!C:C,1)="W"),'HW2 data'!E:E,0))</f>
        <v>1200</v>
      </c>
      <c r="K36" s="30">
        <f t="array" ref="K36">SUM(IF(('HW2 data'!A:A=A36)*(RIGHT('HW2 data'!C:C,1)="W"),'HW2 data'!F:F,0))</f>
        <v>9629900</v>
      </c>
      <c r="L36" s="24">
        <f t="shared" si="2"/>
        <v>7.0175438596491224E-2</v>
      </c>
      <c r="M36" s="23">
        <f t="shared" si="3"/>
        <v>563.15204678362568</v>
      </c>
      <c r="O36" s="25">
        <f t="shared" si="4"/>
        <v>2.3005627275736504E-2</v>
      </c>
      <c r="P36" s="26">
        <f t="shared" si="5"/>
        <v>173.91619772702188</v>
      </c>
      <c r="Q36" s="27"/>
    </row>
    <row r="37" spans="1:17" x14ac:dyDescent="0.2">
      <c r="A37" s="15" t="s">
        <v>54</v>
      </c>
      <c r="C37" s="30">
        <f t="array" ref="C37">SUM(IF(('HW2 data'!A:A=A37)*(RIGHT('HW2 data'!C:C,1)="N"),'HW2 data'!D:D,0))</f>
        <v>228400</v>
      </c>
      <c r="D37" s="30">
        <f t="array" ref="D37">SUM(IF(('HW2 data'!A:A=A37)*(RIGHT('HW2 data'!C:C,1)="N"),'HW2 data'!E:E,0))</f>
        <v>8000</v>
      </c>
      <c r="E37" s="30">
        <f t="array" ref="E37">SUM(IF(('HW2 data'!A:A=A37)*(RIGHT('HW2 data'!C:C,1)="N"),'HW2 data'!F:F,0))</f>
        <v>65737600</v>
      </c>
      <c r="F37" s="25">
        <f t="shared" si="0"/>
        <v>3.5026269702276708E-2</v>
      </c>
      <c r="G37" s="42">
        <f t="shared" si="1"/>
        <v>287.81786339754814</v>
      </c>
      <c r="I37" s="30">
        <f t="array" ref="I37">SUM(IF(('HW2 data'!A:A=A37)*(RIGHT('HW2 data'!C:C,1)="W"),'HW2 data'!D:D,0))</f>
        <v>103200</v>
      </c>
      <c r="J37" s="30">
        <f t="array" ref="J37">SUM(IF(('HW2 data'!A:A=A37)*(RIGHT('HW2 data'!C:C,1)="W"),'HW2 data'!E:E,0))</f>
        <v>5900</v>
      </c>
      <c r="K37" s="30">
        <f t="array" ref="K37">SUM(IF(('HW2 data'!A:A=A37)*(RIGHT('HW2 data'!C:C,1)="W"),'HW2 data'!F:F,0))</f>
        <v>45807500</v>
      </c>
      <c r="L37" s="24">
        <f t="shared" si="2"/>
        <v>5.7170542635658912E-2</v>
      </c>
      <c r="M37" s="23">
        <f t="shared" si="3"/>
        <v>443.87112403100775</v>
      </c>
      <c r="O37" s="25">
        <f t="shared" si="4"/>
        <v>2.2144272933382204E-2</v>
      </c>
      <c r="P37" s="26">
        <f t="shared" si="5"/>
        <v>156.05326063345962</v>
      </c>
      <c r="Q37" s="27"/>
    </row>
    <row r="38" spans="1:17" x14ac:dyDescent="0.2">
      <c r="A38" s="15" t="s">
        <v>55</v>
      </c>
      <c r="C38" s="30">
        <f t="array" ref="C38">SUM(IF(('HW2 data'!A:A=A38)*(RIGHT('HW2 data'!C:C,1)="N"),'HW2 data'!D:D,0))</f>
        <v>79800</v>
      </c>
      <c r="D38" s="30">
        <f t="array" ref="D38">SUM(IF(('HW2 data'!A:A=A38)*(RIGHT('HW2 data'!C:C,1)="N"),'HW2 data'!E:E,0))</f>
        <v>4000</v>
      </c>
      <c r="E38" s="30">
        <f t="array" ref="E38">SUM(IF(('HW2 data'!A:A=A38)*(RIGHT('HW2 data'!C:C,1)="N"),'HW2 data'!F:F,0))</f>
        <v>32091200</v>
      </c>
      <c r="F38" s="25">
        <f t="shared" si="0"/>
        <v>5.0125313283208017E-2</v>
      </c>
      <c r="G38" s="42">
        <f t="shared" si="1"/>
        <v>402.14536340852129</v>
      </c>
      <c r="I38" s="30">
        <f t="array" ref="I38">SUM(IF(('HW2 data'!A:A=A38)*(RIGHT('HW2 data'!C:C,1)="W"),'HW2 data'!D:D,0))</f>
        <v>31700</v>
      </c>
      <c r="J38" s="30">
        <f t="array" ref="J38">SUM(IF(('HW2 data'!A:A=A38)*(RIGHT('HW2 data'!C:C,1)="W"),'HW2 data'!E:E,0))</f>
        <v>2500</v>
      </c>
      <c r="K38" s="30">
        <f t="array" ref="K38">SUM(IF(('HW2 data'!A:A=A38)*(RIGHT('HW2 data'!C:C,1)="W"),'HW2 data'!F:F,0))</f>
        <v>20312900</v>
      </c>
      <c r="L38" s="24">
        <f t="shared" si="2"/>
        <v>7.8864353312302835E-2</v>
      </c>
      <c r="M38" s="23">
        <f t="shared" si="3"/>
        <v>640.78548895899053</v>
      </c>
      <c r="O38" s="25">
        <f t="shared" si="4"/>
        <v>2.8739040029094817E-2</v>
      </c>
      <c r="P38" s="26">
        <f t="shared" si="5"/>
        <v>238.64012555046924</v>
      </c>
      <c r="Q38" s="27"/>
    </row>
    <row r="39" spans="1:17" x14ac:dyDescent="0.2">
      <c r="A39" s="15" t="s">
        <v>56</v>
      </c>
      <c r="C39" s="30">
        <f t="array" ref="C39">SUM(IF(('HW2 data'!A:A=A39)*(RIGHT('HW2 data'!C:C,1)="N"),'HW2 data'!D:D,0))</f>
        <v>657500</v>
      </c>
      <c r="D39" s="30">
        <f t="array" ref="D39">SUM(IF(('HW2 data'!A:A=A39)*(RIGHT('HW2 data'!C:C,1)="N"),'HW2 data'!E:E,0))</f>
        <v>29200</v>
      </c>
      <c r="E39" s="30">
        <f t="array" ref="E39">SUM(IF(('HW2 data'!A:A=A39)*(RIGHT('HW2 data'!C:C,1)="N"),'HW2 data'!F:F,0))</f>
        <v>244747900</v>
      </c>
      <c r="F39" s="25">
        <f t="shared" si="0"/>
        <v>4.4410646387832702E-2</v>
      </c>
      <c r="G39" s="42">
        <f t="shared" si="1"/>
        <v>372.24015209125474</v>
      </c>
      <c r="I39" s="30">
        <f t="array" ref="I39">SUM(IF(('HW2 data'!A:A=A39)*(RIGHT('HW2 data'!C:C,1)="W"),'HW2 data'!D:D,0))</f>
        <v>259800</v>
      </c>
      <c r="J39" s="30">
        <f t="array" ref="J39">SUM(IF(('HW2 data'!A:A=A39)*(RIGHT('HW2 data'!C:C,1)="W"),'HW2 data'!E:E,0))</f>
        <v>16600</v>
      </c>
      <c r="K39" s="30">
        <f t="array" ref="K39">SUM(IF(('HW2 data'!A:A=A39)*(RIGHT('HW2 data'!C:C,1)="W"),'HW2 data'!F:F,0))</f>
        <v>139356800</v>
      </c>
      <c r="L39" s="24">
        <f t="shared" si="2"/>
        <v>6.3895304080061582E-2</v>
      </c>
      <c r="M39" s="23">
        <f t="shared" si="3"/>
        <v>536.40030792917628</v>
      </c>
      <c r="O39" s="25">
        <f t="shared" si="4"/>
        <v>1.9484657692228881E-2</v>
      </c>
      <c r="P39" s="26">
        <f t="shared" si="5"/>
        <v>164.16015583792154</v>
      </c>
      <c r="Q39" s="27"/>
    </row>
    <row r="40" spans="1:17" x14ac:dyDescent="0.2">
      <c r="A40" s="15" t="s">
        <v>57</v>
      </c>
      <c r="C40" s="30">
        <f t="array" ref="C40">SUM(IF(('HW2 data'!A:A=A40)*(RIGHT('HW2 data'!C:C,1)="N"),'HW2 data'!D:D,0))</f>
        <v>246800</v>
      </c>
      <c r="D40" s="30">
        <f t="array" ref="D40">SUM(IF(('HW2 data'!A:A=A40)*(RIGHT('HW2 data'!C:C,1)="N"),'HW2 data'!E:E,0))</f>
        <v>12600</v>
      </c>
      <c r="E40" s="30">
        <f t="array" ref="E40">SUM(IF(('HW2 data'!A:A=A40)*(RIGHT('HW2 data'!C:C,1)="N"),'HW2 data'!F:F,0))</f>
        <v>99474800</v>
      </c>
      <c r="F40" s="25">
        <f t="shared" si="0"/>
        <v>5.1053484602917344E-2</v>
      </c>
      <c r="G40" s="42">
        <f t="shared" si="1"/>
        <v>403.05834683954618</v>
      </c>
      <c r="I40" s="30">
        <f t="array" ref="I40">SUM(IF(('HW2 data'!A:A=A40)*(RIGHT('HW2 data'!C:C,1)="W"),'HW2 data'!D:D,0))</f>
        <v>103900</v>
      </c>
      <c r="J40" s="30">
        <f t="array" ref="J40">SUM(IF(('HW2 data'!A:A=A40)*(RIGHT('HW2 data'!C:C,1)="W"),'HW2 data'!E:E,0))</f>
        <v>7800</v>
      </c>
      <c r="K40" s="30">
        <f t="array" ref="K40">SUM(IF(('HW2 data'!A:A=A40)*(RIGHT('HW2 data'!C:C,1)="W"),'HW2 data'!F:F,0))</f>
        <v>68780700</v>
      </c>
      <c r="L40" s="24">
        <f t="shared" si="2"/>
        <v>7.5072184793070262E-2</v>
      </c>
      <c r="M40" s="23">
        <f t="shared" si="3"/>
        <v>661.98941289701634</v>
      </c>
      <c r="O40" s="25">
        <f t="shared" si="4"/>
        <v>2.4018700190152918E-2</v>
      </c>
      <c r="P40" s="26">
        <f t="shared" si="5"/>
        <v>258.93106605747016</v>
      </c>
      <c r="Q40" s="27"/>
    </row>
    <row r="41" spans="1:17" x14ac:dyDescent="0.2">
      <c r="A41" s="15" t="s">
        <v>58</v>
      </c>
      <c r="C41" s="30">
        <f t="array" ref="C41">SUM(IF(('HW2 data'!A:A=A41)*(RIGHT('HW2 data'!C:C,1)="N"),'HW2 data'!D:D,0))</f>
        <v>23100</v>
      </c>
      <c r="D41" s="30">
        <f t="array" ref="D41">SUM(IF(('HW2 data'!A:A=A41)*(RIGHT('HW2 data'!C:C,1)="N"),'HW2 data'!E:E,0))</f>
        <v>1100</v>
      </c>
      <c r="E41" s="30">
        <f t="array" ref="E41">SUM(IF(('HW2 data'!A:A=A41)*(RIGHT('HW2 data'!C:C,1)="N"),'HW2 data'!F:F,0))</f>
        <v>8663600</v>
      </c>
      <c r="F41" s="25">
        <f t="shared" si="0"/>
        <v>4.7619047619047616E-2</v>
      </c>
      <c r="G41" s="42">
        <f t="shared" si="1"/>
        <v>375.04761904761904</v>
      </c>
      <c r="I41" s="30">
        <f t="array" ref="I41">SUM(IF(('HW2 data'!A:A=A41)*(RIGHT('HW2 data'!C:C,1)="W"),'HW2 data'!D:D,0))</f>
        <v>11600</v>
      </c>
      <c r="J41" s="30">
        <f t="array" ref="J41">SUM(IF(('HW2 data'!A:A=A41)*(RIGHT('HW2 data'!C:C,1)="W"),'HW2 data'!E:E,0))</f>
        <v>800</v>
      </c>
      <c r="K41" s="30">
        <f t="array" ref="K41">SUM(IF(('HW2 data'!A:A=A41)*(RIGHT('HW2 data'!C:C,1)="W"),'HW2 data'!F:F,0))</f>
        <v>6681600</v>
      </c>
      <c r="L41" s="24">
        <f t="shared" si="2"/>
        <v>6.8965517241379309E-2</v>
      </c>
      <c r="M41" s="23">
        <f t="shared" si="3"/>
        <v>576</v>
      </c>
      <c r="O41" s="25">
        <f t="shared" si="4"/>
        <v>2.1346469622331693E-2</v>
      </c>
      <c r="P41" s="26">
        <f t="shared" si="5"/>
        <v>200.95238095238096</v>
      </c>
      <c r="Q41" s="27"/>
    </row>
    <row r="42" spans="1:17" x14ac:dyDescent="0.2">
      <c r="A42" s="15" t="s">
        <v>59</v>
      </c>
      <c r="C42" s="30">
        <f t="array" ref="C42">SUM(IF(('HW2 data'!A:A=A42)*(RIGHT('HW2 data'!C:C,1)="N"),'HW2 data'!D:D,0))</f>
        <v>348900</v>
      </c>
      <c r="D42" s="30">
        <f t="array" ref="D42">SUM(IF(('HW2 data'!A:A=A42)*(RIGHT('HW2 data'!C:C,1)="N"),'HW2 data'!E:E,0))</f>
        <v>15500</v>
      </c>
      <c r="E42" s="30">
        <f t="array" ref="E42">SUM(IF(('HW2 data'!A:A=A42)*(RIGHT('HW2 data'!C:C,1)="N"),'HW2 data'!F:F,0))</f>
        <v>127585800</v>
      </c>
      <c r="F42" s="25">
        <f t="shared" si="0"/>
        <v>4.4425336772714243E-2</v>
      </c>
      <c r="G42" s="42">
        <f t="shared" si="1"/>
        <v>365.68013757523647</v>
      </c>
      <c r="I42" s="30">
        <f t="array" ref="I42">SUM(IF(('HW2 data'!A:A=A42)*(RIGHT('HW2 data'!C:C,1)="W"),'HW2 data'!D:D,0))</f>
        <v>152600</v>
      </c>
      <c r="J42" s="30">
        <f t="array" ref="J42">SUM(IF(('HW2 data'!A:A=A42)*(RIGHT('HW2 data'!C:C,1)="W"),'HW2 data'!E:E,0))</f>
        <v>9900</v>
      </c>
      <c r="K42" s="30">
        <f t="array" ref="K42">SUM(IF(('HW2 data'!A:A=A42)*(RIGHT('HW2 data'!C:C,1)="W"),'HW2 data'!F:F,0))</f>
        <v>80366100</v>
      </c>
      <c r="L42" s="24">
        <f t="shared" si="2"/>
        <v>6.487549148099607E-2</v>
      </c>
      <c r="M42" s="23">
        <f t="shared" si="3"/>
        <v>526.64547837483622</v>
      </c>
      <c r="O42" s="25">
        <f t="shared" si="4"/>
        <v>2.0450154708281827E-2</v>
      </c>
      <c r="P42" s="26">
        <f t="shared" si="5"/>
        <v>160.96534079959974</v>
      </c>
      <c r="Q42" s="27"/>
    </row>
    <row r="43" spans="1:17" x14ac:dyDescent="0.2">
      <c r="A43" s="15" t="s">
        <v>60</v>
      </c>
      <c r="C43" s="30">
        <f t="array" ref="C43">SUM(IF(('HW2 data'!A:A=A43)*(RIGHT('HW2 data'!C:C,1)="N"),'HW2 data'!D:D,0))</f>
        <v>101900</v>
      </c>
      <c r="D43" s="30">
        <f t="array" ref="D43">SUM(IF(('HW2 data'!A:A=A43)*(RIGHT('HW2 data'!C:C,1)="N"),'HW2 data'!E:E,0))</f>
        <v>4500</v>
      </c>
      <c r="E43" s="30">
        <f t="array" ref="E43">SUM(IF(('HW2 data'!A:A=A43)*(RIGHT('HW2 data'!C:C,1)="N"),'HW2 data'!F:F,0))</f>
        <v>35591200</v>
      </c>
      <c r="F43" s="25">
        <f t="shared" si="0"/>
        <v>4.4160942100098133E-2</v>
      </c>
      <c r="G43" s="42">
        <f t="shared" si="1"/>
        <v>349.27576054955841</v>
      </c>
      <c r="I43" s="30">
        <f t="array" ref="I43">SUM(IF(('HW2 data'!A:A=A43)*(RIGHT('HW2 data'!C:C,1)="W"),'HW2 data'!D:D,0))</f>
        <v>46900</v>
      </c>
      <c r="J43" s="30">
        <f t="array" ref="J43">SUM(IF(('HW2 data'!A:A=A43)*(RIGHT('HW2 data'!C:C,1)="W"),'HW2 data'!E:E,0))</f>
        <v>3100</v>
      </c>
      <c r="K43" s="30">
        <f t="array" ref="K43">SUM(IF(('HW2 data'!A:A=A43)*(RIGHT('HW2 data'!C:C,1)="W"),'HW2 data'!F:F,0))</f>
        <v>25249600</v>
      </c>
      <c r="L43" s="24">
        <f t="shared" si="2"/>
        <v>6.6098081023454158E-2</v>
      </c>
      <c r="M43" s="23">
        <f t="shared" si="3"/>
        <v>538.37100213219617</v>
      </c>
      <c r="O43" s="25">
        <f t="shared" si="4"/>
        <v>2.1937138923356025E-2</v>
      </c>
      <c r="P43" s="26">
        <f t="shared" si="5"/>
        <v>189.09524158263775</v>
      </c>
      <c r="Q43" s="27"/>
    </row>
    <row r="44" spans="1:17" x14ac:dyDescent="0.2">
      <c r="A44" s="15" t="s">
        <v>61</v>
      </c>
      <c r="C44" s="30">
        <f t="array" ref="C44">SUM(IF(('HW2 data'!A:A=A44)*(RIGHT('HW2 data'!C:C,1)="N"),'HW2 data'!D:D,0))</f>
        <v>109700</v>
      </c>
      <c r="D44" s="30">
        <f t="array" ref="D44">SUM(IF(('HW2 data'!A:A=A44)*(RIGHT('HW2 data'!C:C,1)="N"),'HW2 data'!E:E,0))</f>
        <v>6800</v>
      </c>
      <c r="E44" s="30">
        <f t="array" ref="E44">SUM(IF(('HW2 data'!A:A=A44)*(RIGHT('HW2 data'!C:C,1)="N"),'HW2 data'!F:F,0))</f>
        <v>54709500</v>
      </c>
      <c r="F44" s="25">
        <f t="shared" si="0"/>
        <v>6.1987237921604377E-2</v>
      </c>
      <c r="G44" s="42">
        <f t="shared" si="1"/>
        <v>498.71923427529629</v>
      </c>
      <c r="I44" s="30">
        <f t="array" ref="I44">SUM(IF(('HW2 data'!A:A=A44)*(RIGHT('HW2 data'!C:C,1)="W"),'HW2 data'!D:D,0))</f>
        <v>50400</v>
      </c>
      <c r="J44" s="30">
        <f t="array" ref="J44">SUM(IF(('HW2 data'!A:A=A44)*(RIGHT('HW2 data'!C:C,1)="W"),'HW2 data'!E:E,0))</f>
        <v>4500</v>
      </c>
      <c r="K44" s="30">
        <f t="array" ref="K44">SUM(IF(('HW2 data'!A:A=A44)*(RIGHT('HW2 data'!C:C,1)="W"),'HW2 data'!F:F,0))</f>
        <v>36050300</v>
      </c>
      <c r="L44" s="24">
        <f t="shared" si="2"/>
        <v>8.9285714285714288E-2</v>
      </c>
      <c r="M44" s="23">
        <f t="shared" si="3"/>
        <v>715.28373015873012</v>
      </c>
      <c r="O44" s="25">
        <f t="shared" si="4"/>
        <v>2.7298476364109911E-2</v>
      </c>
      <c r="P44" s="26">
        <f t="shared" si="5"/>
        <v>216.56449588343384</v>
      </c>
      <c r="Q44" s="27"/>
    </row>
    <row r="45" spans="1:17" x14ac:dyDescent="0.2">
      <c r="A45" s="15" t="s">
        <v>62</v>
      </c>
      <c r="C45" s="30">
        <f t="array" ref="C45">SUM(IF(('HW2 data'!A:A=A45)*(RIGHT('HW2 data'!C:C,1)="N"),'HW2 data'!D:D,0))</f>
        <v>329500</v>
      </c>
      <c r="D45" s="30">
        <f t="array" ref="D45">SUM(IF(('HW2 data'!A:A=A45)*(RIGHT('HW2 data'!C:C,1)="N"),'HW2 data'!E:E,0))</f>
        <v>19800</v>
      </c>
      <c r="E45" s="30">
        <f t="array" ref="E45">SUM(IF(('HW2 data'!A:A=A45)*(RIGHT('HW2 data'!C:C,1)="N"),'HW2 data'!F:F,0))</f>
        <v>162799900</v>
      </c>
      <c r="F45" s="25">
        <f t="shared" si="0"/>
        <v>6.0091047040971166E-2</v>
      </c>
      <c r="G45" s="42">
        <f t="shared" si="1"/>
        <v>494.08163884673746</v>
      </c>
      <c r="I45" s="30">
        <f t="array" ref="I45">SUM(IF(('HW2 data'!A:A=A45)*(RIGHT('HW2 data'!C:C,1)="W"),'HW2 data'!D:D,0))</f>
        <v>137000</v>
      </c>
      <c r="J45" s="30">
        <f t="array" ref="J45">SUM(IF(('HW2 data'!A:A=A45)*(RIGHT('HW2 data'!C:C,1)="W"),'HW2 data'!E:E,0))</f>
        <v>10700</v>
      </c>
      <c r="K45" s="30">
        <f t="array" ref="K45">SUM(IF(('HW2 data'!A:A=A45)*(RIGHT('HW2 data'!C:C,1)="W"),'HW2 data'!F:F,0))</f>
        <v>81017700</v>
      </c>
      <c r="L45" s="24">
        <f t="shared" si="2"/>
        <v>7.8102189781021902E-2</v>
      </c>
      <c r="M45" s="23">
        <f t="shared" si="3"/>
        <v>591.37007299270078</v>
      </c>
      <c r="O45" s="25">
        <f t="shared" si="4"/>
        <v>1.8011142740050737E-2</v>
      </c>
      <c r="P45" s="26">
        <f t="shared" si="5"/>
        <v>97.288434145963322</v>
      </c>
      <c r="Q45" s="27"/>
    </row>
    <row r="46" spans="1:17" x14ac:dyDescent="0.2">
      <c r="A46" s="15" t="s">
        <v>63</v>
      </c>
      <c r="C46" s="30">
        <f t="array" ref="C46">SUM(IF(('HW2 data'!A:A=A46)*(RIGHT('HW2 data'!C:C,1)="N"),'HW2 data'!D:D,0))</f>
        <v>23300</v>
      </c>
      <c r="D46" s="30">
        <f t="array" ref="D46">SUM(IF(('HW2 data'!A:A=A46)*(RIGHT('HW2 data'!C:C,1)="N"),'HW2 data'!E:E,0))</f>
        <v>900</v>
      </c>
      <c r="E46" s="30">
        <f t="array" ref="E46">SUM(IF(('HW2 data'!A:A=A46)*(RIGHT('HW2 data'!C:C,1)="N"),'HW2 data'!F:F,0))</f>
        <v>7183700</v>
      </c>
      <c r="F46" s="25">
        <f t="shared" si="0"/>
        <v>3.8626609442060089E-2</v>
      </c>
      <c r="G46" s="42">
        <f t="shared" si="1"/>
        <v>308.31330472103002</v>
      </c>
      <c r="I46" s="30">
        <f t="array" ref="I46">SUM(IF(('HW2 data'!A:A=A46)*(RIGHT('HW2 data'!C:C,1)="W"),'HW2 data'!D:D,0))</f>
        <v>10200</v>
      </c>
      <c r="J46" s="30">
        <f t="array" ref="J46">SUM(IF(('HW2 data'!A:A=A46)*(RIGHT('HW2 data'!C:C,1)="W"),'HW2 data'!E:E,0))</f>
        <v>700</v>
      </c>
      <c r="K46" s="30">
        <f t="array" ref="K46">SUM(IF(('HW2 data'!A:A=A46)*(RIGHT('HW2 data'!C:C,1)="W"),'HW2 data'!F:F,0))</f>
        <v>6020000</v>
      </c>
      <c r="L46" s="24">
        <f t="shared" si="2"/>
        <v>6.8627450980392163E-2</v>
      </c>
      <c r="M46" s="23">
        <f t="shared" si="3"/>
        <v>590.1960784313726</v>
      </c>
      <c r="O46" s="25">
        <f t="shared" si="4"/>
        <v>3.0000841538332074E-2</v>
      </c>
      <c r="P46" s="26">
        <f t="shared" si="5"/>
        <v>281.88277371034258</v>
      </c>
      <c r="Q46" s="27"/>
    </row>
    <row r="47" spans="1:17" x14ac:dyDescent="0.2">
      <c r="A47" s="15" t="s">
        <v>64</v>
      </c>
      <c r="C47" s="30">
        <f t="array" ref="C47">SUM(IF(('HW2 data'!A:A=A47)*(RIGHT('HW2 data'!C:C,1)="N"),'HW2 data'!D:D,0))</f>
        <v>105700</v>
      </c>
      <c r="D47" s="30">
        <f t="array" ref="D47">SUM(IF(('HW2 data'!A:A=A47)*(RIGHT('HW2 data'!C:C,1)="N"),'HW2 data'!E:E,0))</f>
        <v>4700</v>
      </c>
      <c r="E47" s="30">
        <f t="array" ref="E47">SUM(IF(('HW2 data'!A:A=A47)*(RIGHT('HW2 data'!C:C,1)="N"),'HW2 data'!F:F,0))</f>
        <v>38829700</v>
      </c>
      <c r="F47" s="25">
        <f t="shared" si="0"/>
        <v>4.4465468306527908E-2</v>
      </c>
      <c r="G47" s="42">
        <f t="shared" si="1"/>
        <v>367.35761589403972</v>
      </c>
      <c r="I47" s="30">
        <f t="array" ref="I47">SUM(IF(('HW2 data'!A:A=A47)*(RIGHT('HW2 data'!C:C,1)="W"),'HW2 data'!D:D,0))</f>
        <v>48000</v>
      </c>
      <c r="J47" s="30">
        <f t="array" ref="J47">SUM(IF(('HW2 data'!A:A=A47)*(RIGHT('HW2 data'!C:C,1)="W"),'HW2 data'!E:E,0))</f>
        <v>3300</v>
      </c>
      <c r="K47" s="30">
        <f t="array" ref="K47">SUM(IF(('HW2 data'!A:A=A47)*(RIGHT('HW2 data'!C:C,1)="W"),'HW2 data'!F:F,0))</f>
        <v>27532100</v>
      </c>
      <c r="L47" s="24">
        <f t="shared" si="2"/>
        <v>6.8750000000000006E-2</v>
      </c>
      <c r="M47" s="23">
        <f t="shared" si="3"/>
        <v>573.58541666666667</v>
      </c>
      <c r="O47" s="25">
        <f t="shared" si="4"/>
        <v>2.4284531693472097E-2</v>
      </c>
      <c r="P47" s="26">
        <f t="shared" si="5"/>
        <v>206.22780077262695</v>
      </c>
      <c r="Q47" s="27"/>
    </row>
    <row r="48" spans="1:17" x14ac:dyDescent="0.2">
      <c r="A48" s="15" t="s">
        <v>65</v>
      </c>
      <c r="C48" s="30">
        <f t="array" ref="C48">SUM(IF(('HW2 data'!A:A=A48)*(RIGHT('HW2 data'!C:C,1)="N"),'HW2 data'!D:D,0))</f>
        <v>27800</v>
      </c>
      <c r="D48" s="30">
        <f t="array" ref="D48">SUM(IF(('HW2 data'!A:A=A48)*(RIGHT('HW2 data'!C:C,1)="N"),'HW2 data'!E:E,0))</f>
        <v>1400</v>
      </c>
      <c r="E48" s="30">
        <f t="array" ref="E48">SUM(IF(('HW2 data'!A:A=A48)*(RIGHT('HW2 data'!C:C,1)="N"),'HW2 data'!F:F,0))</f>
        <v>11038800</v>
      </c>
      <c r="F48" s="25">
        <f t="shared" si="0"/>
        <v>5.0359712230215826E-2</v>
      </c>
      <c r="G48" s="42">
        <f t="shared" si="1"/>
        <v>397.07913669064749</v>
      </c>
      <c r="I48" s="30">
        <f t="array" ref="I48">SUM(IF(('HW2 data'!A:A=A48)*(RIGHT('HW2 data'!C:C,1)="W"),'HW2 data'!D:D,0))</f>
        <v>10600</v>
      </c>
      <c r="J48" s="30">
        <f t="array" ref="J48">SUM(IF(('HW2 data'!A:A=A48)*(RIGHT('HW2 data'!C:C,1)="W"),'HW2 data'!E:E,0))</f>
        <v>900</v>
      </c>
      <c r="K48" s="30">
        <f t="array" ref="K48">SUM(IF(('HW2 data'!A:A=A48)*(RIGHT('HW2 data'!C:C,1)="W"),'HW2 data'!F:F,0))</f>
        <v>7532700</v>
      </c>
      <c r="L48" s="24">
        <f t="shared" si="2"/>
        <v>8.4905660377358486E-2</v>
      </c>
      <c r="M48" s="23">
        <f t="shared" si="3"/>
        <v>710.63207547169816</v>
      </c>
      <c r="O48" s="25">
        <f t="shared" si="4"/>
        <v>3.4545948147142659E-2</v>
      </c>
      <c r="P48" s="26">
        <f t="shared" si="5"/>
        <v>313.55293878105067</v>
      </c>
      <c r="Q48" s="27"/>
    </row>
    <row r="49" spans="1:17" x14ac:dyDescent="0.2">
      <c r="A49" s="15" t="s">
        <v>66</v>
      </c>
      <c r="C49" s="30">
        <f t="array" ref="C49">SUM(IF(('HW2 data'!A:A=A49)*(RIGHT('HW2 data'!C:C,1)="N"),'HW2 data'!D:D,0))</f>
        <v>210100</v>
      </c>
      <c r="D49" s="30">
        <f t="array" ref="D49">SUM(IF(('HW2 data'!A:A=A49)*(RIGHT('HW2 data'!C:C,1)="N"),'HW2 data'!E:E,0))</f>
        <v>8500</v>
      </c>
      <c r="E49" s="30">
        <f t="array" ref="E49">SUM(IF(('HW2 data'!A:A=A49)*(RIGHT('HW2 data'!C:C,1)="N"),'HW2 data'!F:F,0))</f>
        <v>68928500</v>
      </c>
      <c r="F49" s="25">
        <f t="shared" si="0"/>
        <v>4.0456925273679202E-2</v>
      </c>
      <c r="G49" s="42">
        <f t="shared" si="1"/>
        <v>328.07472632079964</v>
      </c>
      <c r="I49" s="30">
        <f t="array" ref="I49">SUM(IF(('HW2 data'!A:A=A49)*(RIGHT('HW2 data'!C:C,1)="W"),'HW2 data'!D:D,0))</f>
        <v>85600</v>
      </c>
      <c r="J49" s="30">
        <f t="array" ref="J49">SUM(IF(('HW2 data'!A:A=A49)*(RIGHT('HW2 data'!C:C,1)="W"),'HW2 data'!E:E,0))</f>
        <v>5400</v>
      </c>
      <c r="K49" s="30">
        <f t="array" ref="K49">SUM(IF(('HW2 data'!A:A=A49)*(RIGHT('HW2 data'!C:C,1)="W"),'HW2 data'!F:F,0))</f>
        <v>44878800</v>
      </c>
      <c r="L49" s="24">
        <f t="shared" si="2"/>
        <v>6.3084112149532703E-2</v>
      </c>
      <c r="M49" s="23">
        <f t="shared" si="3"/>
        <v>524.28504672897191</v>
      </c>
      <c r="O49" s="25">
        <f t="shared" si="4"/>
        <v>2.2627186875853501E-2</v>
      </c>
      <c r="P49" s="26">
        <f t="shared" si="5"/>
        <v>196.21032040817227</v>
      </c>
      <c r="Q49" s="27"/>
    </row>
    <row r="50" spans="1:17" x14ac:dyDescent="0.2">
      <c r="A50" s="15" t="s">
        <v>67</v>
      </c>
      <c r="C50" s="30">
        <f t="array" ref="C50">SUM(IF(('HW2 data'!A:A=A50)*(RIGHT('HW2 data'!C:C,1)="N"),'HW2 data'!D:D,0))</f>
        <v>586700</v>
      </c>
      <c r="D50" s="30">
        <f t="array" ref="D50">SUM(IF(('HW2 data'!A:A=A50)*(RIGHT('HW2 data'!C:C,1)="N"),'HW2 data'!E:E,0))</f>
        <v>25300</v>
      </c>
      <c r="E50" s="30">
        <f t="array" ref="E50">SUM(IF(('HW2 data'!A:A=A50)*(RIGHT('HW2 data'!C:C,1)="N"),'HW2 data'!F:F,0))</f>
        <v>211003200</v>
      </c>
      <c r="F50" s="25">
        <f t="shared" si="0"/>
        <v>4.3122549855121865E-2</v>
      </c>
      <c r="G50" s="42">
        <f t="shared" si="1"/>
        <v>359.64411113004945</v>
      </c>
      <c r="I50" s="30">
        <f t="array" ref="I50">SUM(IF(('HW2 data'!A:A=A50)*(RIGHT('HW2 data'!C:C,1)="W"),'HW2 data'!D:D,0))</f>
        <v>226500</v>
      </c>
      <c r="J50" s="30">
        <f t="array" ref="J50">SUM(IF(('HW2 data'!A:A=A50)*(RIGHT('HW2 data'!C:C,1)="W"),'HW2 data'!E:E,0))</f>
        <v>15800</v>
      </c>
      <c r="K50" s="30">
        <f t="array" ref="K50">SUM(IF(('HW2 data'!A:A=A50)*(RIGHT('HW2 data'!C:C,1)="W"),'HW2 data'!F:F,0))</f>
        <v>128402000</v>
      </c>
      <c r="L50" s="24">
        <f t="shared" si="2"/>
        <v>6.9757174392935981E-2</v>
      </c>
      <c r="M50" s="23">
        <f t="shared" si="3"/>
        <v>566.8962472406181</v>
      </c>
      <c r="O50" s="25">
        <f t="shared" si="4"/>
        <v>2.6634624537814115E-2</v>
      </c>
      <c r="P50" s="26">
        <f t="shared" si="5"/>
        <v>207.25213611056864</v>
      </c>
      <c r="Q50" s="27"/>
    </row>
    <row r="51" spans="1:17" x14ac:dyDescent="0.2">
      <c r="A51" s="15" t="s">
        <v>68</v>
      </c>
      <c r="C51" s="30">
        <f t="array" ref="C51">SUM(IF(('HW2 data'!A:A=A51)*(RIGHT('HW2 data'!C:C,1)="N"),'HW2 data'!D:D,0))</f>
        <v>56600</v>
      </c>
      <c r="D51" s="30">
        <f t="array" ref="D51">SUM(IF(('HW2 data'!A:A=A51)*(RIGHT('HW2 data'!C:C,1)="N"),'HW2 data'!E:E,0))</f>
        <v>2800</v>
      </c>
      <c r="E51" s="30">
        <f t="array" ref="E51">SUM(IF(('HW2 data'!A:A=A51)*(RIGHT('HW2 data'!C:C,1)="N"),'HW2 data'!F:F,0))</f>
        <v>23254400</v>
      </c>
      <c r="F51" s="25">
        <f t="shared" si="0"/>
        <v>4.9469964664310952E-2</v>
      </c>
      <c r="G51" s="42">
        <f t="shared" si="1"/>
        <v>410.85512367491168</v>
      </c>
      <c r="I51" s="30">
        <f t="array" ref="I51">SUM(IF(('HW2 data'!A:A=A51)*(RIGHT('HW2 data'!C:C,1)="W"),'HW2 data'!D:D,0))</f>
        <v>22000</v>
      </c>
      <c r="J51" s="30">
        <f t="array" ref="J51">SUM(IF(('HW2 data'!A:A=A51)*(RIGHT('HW2 data'!C:C,1)="W"),'HW2 data'!E:E,0))</f>
        <v>1600</v>
      </c>
      <c r="K51" s="30">
        <f t="array" ref="K51">SUM(IF(('HW2 data'!A:A=A51)*(RIGHT('HW2 data'!C:C,1)="W"),'HW2 data'!F:F,0))</f>
        <v>12727600</v>
      </c>
      <c r="L51" s="24">
        <f t="shared" si="2"/>
        <v>7.2727272727272724E-2</v>
      </c>
      <c r="M51" s="23">
        <f t="shared" si="3"/>
        <v>578.5272727272727</v>
      </c>
      <c r="O51" s="25">
        <f t="shared" si="4"/>
        <v>2.3257308062961772E-2</v>
      </c>
      <c r="P51" s="26">
        <f t="shared" si="5"/>
        <v>167.67214905236102</v>
      </c>
      <c r="Q51" s="27"/>
    </row>
    <row r="52" spans="1:17" x14ac:dyDescent="0.2">
      <c r="A52" s="15" t="s">
        <v>69</v>
      </c>
      <c r="C52" s="30">
        <f t="array" ref="C52">SUM(IF(('HW2 data'!A:A=A52)*(RIGHT('HW2 data'!C:C,1)="N"),'HW2 data'!D:D,0))</f>
        <v>21900</v>
      </c>
      <c r="D52" s="30">
        <f t="array" ref="D52">SUM(IF(('HW2 data'!A:A=A52)*(RIGHT('HW2 data'!C:C,1)="N"),'HW2 data'!E:E,0))</f>
        <v>900</v>
      </c>
      <c r="E52" s="30">
        <f t="array" ref="E52">SUM(IF(('HW2 data'!A:A=A52)*(RIGHT('HW2 data'!C:C,1)="N"),'HW2 data'!F:F,0))</f>
        <v>7211700</v>
      </c>
      <c r="F52" s="25">
        <f t="shared" si="0"/>
        <v>4.1095890410958902E-2</v>
      </c>
      <c r="G52" s="42">
        <f t="shared" si="1"/>
        <v>329.30136986301369</v>
      </c>
      <c r="I52" s="30">
        <f t="array" ref="I52">SUM(IF(('HW2 data'!A:A=A52)*(RIGHT('HW2 data'!C:C,1)="W"),'HW2 data'!D:D,0))</f>
        <v>9700</v>
      </c>
      <c r="J52" s="30">
        <f t="array" ref="J52">SUM(IF(('HW2 data'!A:A=A52)*(RIGHT('HW2 data'!C:C,1)="W"),'HW2 data'!E:E,0))</f>
        <v>600</v>
      </c>
      <c r="K52" s="30">
        <f t="array" ref="K52">SUM(IF(('HW2 data'!A:A=A52)*(RIGHT('HW2 data'!C:C,1)="W"),'HW2 data'!F:F,0))</f>
        <v>5018300</v>
      </c>
      <c r="L52" s="24">
        <f t="shared" si="2"/>
        <v>6.1855670103092786E-2</v>
      </c>
      <c r="M52" s="23">
        <f t="shared" si="3"/>
        <v>517.35051546391753</v>
      </c>
      <c r="O52" s="25">
        <f t="shared" si="4"/>
        <v>2.0759779692133884E-2</v>
      </c>
      <c r="P52" s="26">
        <f t="shared" si="5"/>
        <v>188.04914560090384</v>
      </c>
      <c r="Q52" s="27"/>
    </row>
    <row r="53" spans="1:17" x14ac:dyDescent="0.2">
      <c r="A53" s="15" t="s">
        <v>70</v>
      </c>
      <c r="C53" s="30">
        <f t="array" ref="C53">SUM(IF(('HW2 data'!A:A=A53)*(RIGHT('HW2 data'!C:C,1)="N"),'HW2 data'!D:D,0))</f>
        <v>277700</v>
      </c>
      <c r="D53" s="30">
        <f t="array" ref="D53">SUM(IF(('HW2 data'!A:A=A53)*(RIGHT('HW2 data'!C:C,1)="N"),'HW2 data'!E:E,0))</f>
        <v>15200</v>
      </c>
      <c r="E53" s="30">
        <f t="array" ref="E53">SUM(IF(('HW2 data'!A:A=A53)*(RIGHT('HW2 data'!C:C,1)="N"),'HW2 data'!F:F,0))</f>
        <v>127684900</v>
      </c>
      <c r="F53" s="25">
        <f t="shared" si="0"/>
        <v>5.4735325891249548E-2</v>
      </c>
      <c r="G53" s="42">
        <f t="shared" si="1"/>
        <v>459.7943824270796</v>
      </c>
      <c r="I53" s="30">
        <f t="array" ref="I53">SUM(IF(('HW2 data'!A:A=A53)*(RIGHT('HW2 data'!C:C,1)="W"),'HW2 data'!D:D,0))</f>
        <v>94400</v>
      </c>
      <c r="J53" s="30">
        <f t="array" ref="J53">SUM(IF(('HW2 data'!A:A=A53)*(RIGHT('HW2 data'!C:C,1)="W"),'HW2 data'!E:E,0))</f>
        <v>7700</v>
      </c>
      <c r="K53" s="30">
        <f t="array" ref="K53">SUM(IF(('HW2 data'!A:A=A53)*(RIGHT('HW2 data'!C:C,1)="W"),'HW2 data'!F:F,0))</f>
        <v>64102800</v>
      </c>
      <c r="L53" s="24">
        <f t="shared" si="2"/>
        <v>8.1567796610169496E-2</v>
      </c>
      <c r="M53" s="23">
        <f t="shared" si="3"/>
        <v>679.05508474576266</v>
      </c>
      <c r="O53" s="25">
        <f t="shared" si="4"/>
        <v>2.6832470718919949E-2</v>
      </c>
      <c r="P53" s="26">
        <f t="shared" si="5"/>
        <v>219.26070231868306</v>
      </c>
      <c r="Q53" s="27"/>
    </row>
    <row r="54" spans="1:17" x14ac:dyDescent="0.2">
      <c r="A54" s="15" t="s">
        <v>71</v>
      </c>
      <c r="C54" s="30">
        <f t="array" ref="C54">SUM(IF(('HW2 data'!A:A=A54)*(RIGHT('HW2 data'!C:C,1)="N"),'HW2 data'!D:D,0))</f>
        <v>131300</v>
      </c>
      <c r="D54" s="30">
        <f t="array" ref="D54">SUM(IF(('HW2 data'!A:A=A54)*(RIGHT('HW2 data'!C:C,1)="N"),'HW2 data'!E:E,0))</f>
        <v>6100</v>
      </c>
      <c r="E54" s="30">
        <f t="array" ref="E54">SUM(IF(('HW2 data'!A:A=A54)*(RIGHT('HW2 data'!C:C,1)="N"),'HW2 data'!F:F,0))</f>
        <v>51537300</v>
      </c>
      <c r="F54" s="25">
        <f t="shared" si="0"/>
        <v>4.6458492003046456E-2</v>
      </c>
      <c r="G54" s="42">
        <f t="shared" si="1"/>
        <v>392.51561309977154</v>
      </c>
      <c r="I54" s="30">
        <f t="array" ref="I54">SUM(IF(('HW2 data'!A:A=A54)*(RIGHT('HW2 data'!C:C,1)="W"),'HW2 data'!D:D,0))</f>
        <v>59500</v>
      </c>
      <c r="J54" s="30">
        <f t="array" ref="J54">SUM(IF(('HW2 data'!A:A=A54)*(RIGHT('HW2 data'!C:C,1)="W"),'HW2 data'!E:E,0))</f>
        <v>3800</v>
      </c>
      <c r="K54" s="30">
        <f t="array" ref="K54">SUM(IF(('HW2 data'!A:A=A54)*(RIGHT('HW2 data'!C:C,1)="W"),'HW2 data'!F:F,0))</f>
        <v>31678100</v>
      </c>
      <c r="L54" s="24">
        <f t="shared" si="2"/>
        <v>6.386554621848739E-2</v>
      </c>
      <c r="M54" s="23">
        <f t="shared" si="3"/>
        <v>532.40504201680676</v>
      </c>
      <c r="O54" s="25">
        <f t="shared" si="4"/>
        <v>1.7407054215440934E-2</v>
      </c>
      <c r="P54" s="26">
        <f t="shared" si="5"/>
        <v>139.88942891703522</v>
      </c>
      <c r="Q54" s="27"/>
    </row>
    <row r="55" spans="1:17" x14ac:dyDescent="0.2">
      <c r="A55" s="15" t="s">
        <v>72</v>
      </c>
      <c r="C55" s="30">
        <f t="array" ref="C55">SUM(IF(('HW2 data'!A:A=A55)*(RIGHT('HW2 data'!C:C,1)="N"),'HW2 data'!D:D,0))</f>
        <v>57700</v>
      </c>
      <c r="D55" s="30">
        <f t="array" ref="D55">SUM(IF(('HW2 data'!A:A=A55)*(RIGHT('HW2 data'!C:C,1)="N"),'HW2 data'!E:E,0))</f>
        <v>2100</v>
      </c>
      <c r="E55" s="30">
        <f t="array" ref="E55">SUM(IF(('HW2 data'!A:A=A55)*(RIGHT('HW2 data'!C:C,1)="N"),'HW2 data'!F:F,0))</f>
        <v>18293600</v>
      </c>
      <c r="F55" s="25">
        <f t="shared" si="0"/>
        <v>3.6395147313691506E-2</v>
      </c>
      <c r="G55" s="42">
        <f t="shared" si="1"/>
        <v>317.04679376083186</v>
      </c>
      <c r="I55" s="30">
        <f t="array" ref="I55">SUM(IF(('HW2 data'!A:A=A55)*(RIGHT('HW2 data'!C:C,1)="W"),'HW2 data'!D:D,0))</f>
        <v>27300</v>
      </c>
      <c r="J55" s="30">
        <f t="array" ref="J55">SUM(IF(('HW2 data'!A:A=A55)*(RIGHT('HW2 data'!C:C,1)="W"),'HW2 data'!E:E,0))</f>
        <v>1600</v>
      </c>
      <c r="K55" s="30">
        <f t="array" ref="K55">SUM(IF(('HW2 data'!A:A=A55)*(RIGHT('HW2 data'!C:C,1)="W"),'HW2 data'!F:F,0))</f>
        <v>12659100</v>
      </c>
      <c r="L55" s="24">
        <f t="shared" si="2"/>
        <v>5.8608058608058608E-2</v>
      </c>
      <c r="M55" s="23">
        <f t="shared" si="3"/>
        <v>463.7032967032967</v>
      </c>
      <c r="O55" s="25">
        <f t="shared" si="4"/>
        <v>2.2212911294367102E-2</v>
      </c>
      <c r="P55" s="26">
        <f t="shared" si="5"/>
        <v>146.65650294246484</v>
      </c>
      <c r="Q55" s="27"/>
    </row>
    <row r="56" spans="1:17" x14ac:dyDescent="0.2">
      <c r="A56" s="15" t="s">
        <v>73</v>
      </c>
      <c r="C56" s="30">
        <f t="array" ref="C56">SUM(IF(('HW2 data'!A:A=A56)*(RIGHT('HW2 data'!C:C,1)="N"),'HW2 data'!D:D,0))</f>
        <v>164200</v>
      </c>
      <c r="D56" s="30">
        <f t="array" ref="D56">SUM(IF(('HW2 data'!A:A=A56)*(RIGHT('HW2 data'!C:C,1)="N"),'HW2 data'!E:E,0))</f>
        <v>7800</v>
      </c>
      <c r="E56" s="30">
        <f t="array" ref="E56">SUM(IF(('HW2 data'!A:A=A56)*(RIGHT('HW2 data'!C:C,1)="N"),'HW2 data'!F:F,0))</f>
        <v>60179800</v>
      </c>
      <c r="F56" s="25">
        <f t="shared" si="0"/>
        <v>4.7503045066991476E-2</v>
      </c>
      <c r="G56" s="42">
        <f t="shared" si="1"/>
        <v>366.50304506699149</v>
      </c>
      <c r="I56" s="30">
        <f t="array" ref="I56">SUM(IF(('HW2 data'!A:A=A56)*(RIGHT('HW2 data'!C:C,1)="W"),'HW2 data'!D:D,0))</f>
        <v>65000</v>
      </c>
      <c r="J56" s="30">
        <f t="array" ref="J56">SUM(IF(('HW2 data'!A:A=A56)*(RIGHT('HW2 data'!C:C,1)="W"),'HW2 data'!E:E,0))</f>
        <v>4900</v>
      </c>
      <c r="K56" s="30">
        <f t="array" ref="K56">SUM(IF(('HW2 data'!A:A=A56)*(RIGHT('HW2 data'!C:C,1)="W"),'HW2 data'!F:F,0))</f>
        <v>35945000</v>
      </c>
      <c r="L56" s="24">
        <f t="shared" si="2"/>
        <v>7.5384615384615383E-2</v>
      </c>
      <c r="M56" s="23">
        <f t="shared" si="3"/>
        <v>553</v>
      </c>
      <c r="O56" s="25">
        <f t="shared" si="4"/>
        <v>2.7881570317623908E-2</v>
      </c>
      <c r="P56" s="26">
        <f t="shared" si="5"/>
        <v>186.49695493300851</v>
      </c>
      <c r="Q56" s="27"/>
    </row>
    <row r="57" spans="1:17" x14ac:dyDescent="0.2">
      <c r="A57" s="15" t="s">
        <v>74</v>
      </c>
      <c r="C57" s="30">
        <f t="array" ref="C57">SUM(IF(('HW2 data'!A:A=A57)*(RIGHT('HW2 data'!C:C,1)="N"),'HW2 data'!D:D,0))</f>
        <v>16800</v>
      </c>
      <c r="D57" s="30">
        <f t="array" ref="D57">SUM(IF(('HW2 data'!A:A=A57)*(RIGHT('HW2 data'!C:C,1)="N"),'HW2 data'!E:E,0))</f>
        <v>900</v>
      </c>
      <c r="E57" s="30">
        <f t="array" ref="E57">SUM(IF(('HW2 data'!A:A=A57)*(RIGHT('HW2 data'!C:C,1)="N"),'HW2 data'!F:F,0))</f>
        <v>7318800</v>
      </c>
      <c r="F57" s="25">
        <f t="shared" si="0"/>
        <v>5.3571428571428568E-2</v>
      </c>
      <c r="G57" s="42">
        <f t="shared" si="1"/>
        <v>435.64285714285717</v>
      </c>
      <c r="I57" s="30">
        <f t="array" ref="I57">SUM(IF(('HW2 data'!A:A=A57)*(RIGHT('HW2 data'!C:C,1)="W"),'HW2 data'!D:D,0))</f>
        <v>7200</v>
      </c>
      <c r="J57" s="30">
        <f t="array" ref="J57">SUM(IF(('HW2 data'!A:A=A57)*(RIGHT('HW2 data'!C:C,1)="W"),'HW2 data'!E:E,0))</f>
        <v>600</v>
      </c>
      <c r="K57" s="30">
        <f t="array" ref="K57">SUM(IF(('HW2 data'!A:A=A57)*(RIGHT('HW2 data'!C:C,1)="W"),'HW2 data'!F:F,0))</f>
        <v>4941200</v>
      </c>
      <c r="L57" s="24">
        <f t="shared" si="2"/>
        <v>8.3333333333333329E-2</v>
      </c>
      <c r="M57" s="23">
        <f t="shared" si="3"/>
        <v>686.27777777777783</v>
      </c>
      <c r="O57" s="25">
        <f t="shared" si="4"/>
        <v>2.976190476190476E-2</v>
      </c>
      <c r="P57" s="26">
        <f t="shared" si="5"/>
        <v>250.63492063492066</v>
      </c>
      <c r="Q57" s="27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2"/>
  <sheetViews>
    <sheetView workbookViewId="0"/>
  </sheetViews>
  <sheetFormatPr defaultRowHeight="12.75" x14ac:dyDescent="0.2"/>
  <cols>
    <col min="1" max="1" width="9.140625" style="15"/>
    <col min="2" max="2" width="7.28515625" style="15" customWidth="1"/>
    <col min="3" max="3" width="6.5703125" style="15" bestFit="1" customWidth="1"/>
    <col min="4" max="4" width="7.85546875" style="15" bestFit="1" customWidth="1"/>
    <col min="5" max="5" width="9.5703125" style="15" bestFit="1" customWidth="1"/>
    <col min="6" max="6" width="11.140625" style="15" bestFit="1" customWidth="1"/>
    <col min="7" max="7" width="11.85546875" style="15" bestFit="1" customWidth="1"/>
    <col min="8" max="9" width="12" style="15" bestFit="1" customWidth="1"/>
    <col min="10" max="10" width="13.140625" style="15" bestFit="1" customWidth="1"/>
    <col min="11" max="12" width="10.85546875" style="15" customWidth="1"/>
    <col min="13" max="16384" width="9.140625" style="15"/>
  </cols>
  <sheetData>
    <row r="1" spans="1:12" x14ac:dyDescent="0.2">
      <c r="A1" s="19" t="s">
        <v>124</v>
      </c>
      <c r="B1" s="39" t="s">
        <v>75</v>
      </c>
      <c r="C1" s="39" t="s">
        <v>123</v>
      </c>
      <c r="D1" s="39" t="s">
        <v>122</v>
      </c>
      <c r="E1" s="38" t="s">
        <v>121</v>
      </c>
      <c r="F1" s="38" t="s">
        <v>120</v>
      </c>
      <c r="G1" s="38" t="s">
        <v>119</v>
      </c>
      <c r="H1" s="38" t="s">
        <v>16</v>
      </c>
      <c r="I1" s="38" t="s">
        <v>118</v>
      </c>
      <c r="J1" s="38" t="s">
        <v>117</v>
      </c>
      <c r="K1" s="38" t="s">
        <v>116</v>
      </c>
      <c r="L1" s="38" t="s">
        <v>115</v>
      </c>
    </row>
    <row r="2" spans="1:12" x14ac:dyDescent="0.2">
      <c r="A2" s="19">
        <v>1</v>
      </c>
      <c r="B2" s="15" t="s">
        <v>40</v>
      </c>
      <c r="C2" s="15" t="s">
        <v>97</v>
      </c>
      <c r="D2" s="15" t="s">
        <v>114</v>
      </c>
      <c r="E2" s="15">
        <v>945700</v>
      </c>
      <c r="F2" s="15">
        <v>109933</v>
      </c>
      <c r="G2" s="15">
        <v>118949411</v>
      </c>
      <c r="H2" s="15">
        <v>11.624510944274082</v>
      </c>
      <c r="I2" s="15">
        <v>1082.0173287365942</v>
      </c>
      <c r="J2" s="15">
        <v>125.77922279792746</v>
      </c>
      <c r="K2" s="27">
        <f t="shared" ref="K2:K19" si="0">H$21*$A2+H$22</f>
        <v>10.901826471062108</v>
      </c>
      <c r="L2" s="27">
        <f t="shared" ref="L2:L19" si="1">I$21*$A2+I$22</f>
        <v>1124.4081453641311</v>
      </c>
    </row>
    <row r="3" spans="1:12" x14ac:dyDescent="0.2">
      <c r="A3" s="19">
        <v>2</v>
      </c>
      <c r="B3" s="15" t="s">
        <v>40</v>
      </c>
      <c r="C3" s="15" t="s">
        <v>97</v>
      </c>
      <c r="D3" s="15" t="s">
        <v>113</v>
      </c>
      <c r="E3" s="15">
        <v>947266</v>
      </c>
      <c r="F3" s="15">
        <v>110307</v>
      </c>
      <c r="G3" s="15">
        <v>123748920</v>
      </c>
      <c r="H3" s="15">
        <v>11.644775596295021</v>
      </c>
      <c r="I3" s="15">
        <v>1121.8591748483777</v>
      </c>
      <c r="J3" s="15">
        <v>130.6379834175406</v>
      </c>
      <c r="K3" s="27">
        <f t="shared" si="0"/>
        <v>10.611086975665467</v>
      </c>
      <c r="L3" s="27">
        <f t="shared" si="1"/>
        <v>1128.3846565312824</v>
      </c>
    </row>
    <row r="4" spans="1:12" x14ac:dyDescent="0.2">
      <c r="A4" s="19">
        <v>3</v>
      </c>
      <c r="B4" s="15" t="s">
        <v>40</v>
      </c>
      <c r="C4" s="15" t="s">
        <v>97</v>
      </c>
      <c r="D4" s="15" t="s">
        <v>112</v>
      </c>
      <c r="E4" s="15">
        <v>948493</v>
      </c>
      <c r="F4" s="15">
        <v>102986</v>
      </c>
      <c r="G4" s="15">
        <v>117512739</v>
      </c>
      <c r="H4" s="15">
        <v>10.857855566672606</v>
      </c>
      <c r="I4" s="15">
        <v>1141.0554735595128</v>
      </c>
      <c r="J4" s="15">
        <v>123.89415525470405</v>
      </c>
      <c r="K4" s="27">
        <f t="shared" si="0"/>
        <v>10.320347480268826</v>
      </c>
      <c r="L4" s="27">
        <f t="shared" si="1"/>
        <v>1132.3611676984337</v>
      </c>
    </row>
    <row r="5" spans="1:12" x14ac:dyDescent="0.2">
      <c r="A5" s="19">
        <v>4</v>
      </c>
      <c r="B5" s="15" t="s">
        <v>40</v>
      </c>
      <c r="C5" s="15" t="s">
        <v>97</v>
      </c>
      <c r="D5" s="15" t="s">
        <v>111</v>
      </c>
      <c r="E5" s="15">
        <v>948674</v>
      </c>
      <c r="F5" s="15">
        <v>93299</v>
      </c>
      <c r="G5" s="15">
        <v>103550074</v>
      </c>
      <c r="H5" s="15">
        <v>9.8346745035702465</v>
      </c>
      <c r="I5" s="15">
        <v>1109.8733534121479</v>
      </c>
      <c r="J5" s="15">
        <v>109.15243170994462</v>
      </c>
      <c r="K5" s="27">
        <f t="shared" si="0"/>
        <v>10.029607984872184</v>
      </c>
      <c r="L5" s="27">
        <f t="shared" si="1"/>
        <v>1136.3376788655851</v>
      </c>
    </row>
    <row r="6" spans="1:12" x14ac:dyDescent="0.2">
      <c r="A6" s="19">
        <v>5</v>
      </c>
      <c r="B6" s="15" t="s">
        <v>40</v>
      </c>
      <c r="C6" s="15" t="s">
        <v>97</v>
      </c>
      <c r="D6" s="15" t="s">
        <v>110</v>
      </c>
      <c r="E6" s="15">
        <v>947408</v>
      </c>
      <c r="F6" s="15">
        <v>88460</v>
      </c>
      <c r="G6" s="15">
        <v>96827433</v>
      </c>
      <c r="H6" s="15">
        <v>9.3370543630621654</v>
      </c>
      <c r="I6" s="15">
        <v>1094.5900180872711</v>
      </c>
      <c r="J6" s="15">
        <v>102.20246504146048</v>
      </c>
      <c r="K6" s="27">
        <f t="shared" si="0"/>
        <v>9.7388684894755428</v>
      </c>
      <c r="L6" s="27">
        <f t="shared" si="1"/>
        <v>1140.3141900327362</v>
      </c>
    </row>
    <row r="7" spans="1:12" x14ac:dyDescent="0.2">
      <c r="A7" s="19">
        <v>6</v>
      </c>
      <c r="B7" s="15" t="s">
        <v>40</v>
      </c>
      <c r="C7" s="15" t="s">
        <v>97</v>
      </c>
      <c r="D7" s="15" t="s">
        <v>109</v>
      </c>
      <c r="E7" s="15">
        <v>944704</v>
      </c>
      <c r="F7" s="15">
        <v>83528</v>
      </c>
      <c r="G7" s="15">
        <v>91649341</v>
      </c>
      <c r="H7" s="15">
        <v>8.8417112661743786</v>
      </c>
      <c r="I7" s="15">
        <v>1097.228965137439</v>
      </c>
      <c r="J7" s="15">
        <v>97.01381702628548</v>
      </c>
      <c r="K7" s="27">
        <f t="shared" si="0"/>
        <v>9.4481289940789015</v>
      </c>
      <c r="L7" s="27">
        <f t="shared" si="1"/>
        <v>1144.2907011998875</v>
      </c>
    </row>
    <row r="8" spans="1:12" x14ac:dyDescent="0.2">
      <c r="A8" s="19">
        <v>7</v>
      </c>
      <c r="B8" s="15" t="s">
        <v>40</v>
      </c>
      <c r="C8" s="15" t="s">
        <v>97</v>
      </c>
      <c r="D8" s="15" t="s">
        <v>108</v>
      </c>
      <c r="E8" s="15">
        <v>941128</v>
      </c>
      <c r="F8" s="15">
        <v>74626</v>
      </c>
      <c r="G8" s="15">
        <v>78456767</v>
      </c>
      <c r="H8" s="15">
        <v>7.9294208651745564</v>
      </c>
      <c r="I8" s="15">
        <v>1051.3328732613297</v>
      </c>
      <c r="J8" s="15">
        <v>83.364608214823065</v>
      </c>
      <c r="K8" s="27">
        <f t="shared" si="0"/>
        <v>9.1573894986822602</v>
      </c>
      <c r="L8" s="27">
        <f t="shared" si="1"/>
        <v>1148.2672123670388</v>
      </c>
    </row>
    <row r="9" spans="1:12" x14ac:dyDescent="0.2">
      <c r="A9" s="19">
        <v>8</v>
      </c>
      <c r="B9" s="15" t="s">
        <v>40</v>
      </c>
      <c r="C9" s="15" t="s">
        <v>97</v>
      </c>
      <c r="D9" s="15" t="s">
        <v>107</v>
      </c>
      <c r="E9" s="15">
        <v>938018</v>
      </c>
      <c r="F9" s="15">
        <v>81809</v>
      </c>
      <c r="G9" s="15">
        <v>104623348</v>
      </c>
      <c r="H9" s="15">
        <v>8.7214744279960517</v>
      </c>
      <c r="I9" s="15">
        <v>1278.8733268955739</v>
      </c>
      <c r="J9" s="15">
        <v>111.53661017165982</v>
      </c>
      <c r="K9" s="27">
        <f t="shared" si="0"/>
        <v>8.8666500032856188</v>
      </c>
      <c r="L9" s="27">
        <f t="shared" si="1"/>
        <v>1152.2437235341902</v>
      </c>
    </row>
    <row r="10" spans="1:12" x14ac:dyDescent="0.2">
      <c r="A10" s="19">
        <v>9</v>
      </c>
      <c r="B10" s="15" t="s">
        <v>40</v>
      </c>
      <c r="C10" s="15" t="s">
        <v>97</v>
      </c>
      <c r="D10" s="15" t="s">
        <v>106</v>
      </c>
      <c r="E10" s="15">
        <v>935698</v>
      </c>
      <c r="F10" s="15">
        <v>79453</v>
      </c>
      <c r="G10" s="15">
        <v>104064913</v>
      </c>
      <c r="H10" s="15">
        <v>8.4913080929958173</v>
      </c>
      <c r="I10" s="15">
        <v>1309.7669439794595</v>
      </c>
      <c r="J10" s="15">
        <v>111.21634651351184</v>
      </c>
      <c r="K10" s="27">
        <f t="shared" si="0"/>
        <v>8.5759105078889775</v>
      </c>
      <c r="L10" s="27">
        <f t="shared" si="1"/>
        <v>1156.2202347013415</v>
      </c>
    </row>
    <row r="11" spans="1:12" x14ac:dyDescent="0.2">
      <c r="A11" s="19">
        <v>10</v>
      </c>
      <c r="B11" s="15" t="s">
        <v>40</v>
      </c>
      <c r="C11" s="15" t="s">
        <v>97</v>
      </c>
      <c r="D11" s="15" t="s">
        <v>105</v>
      </c>
      <c r="E11" s="15">
        <v>933961</v>
      </c>
      <c r="F11" s="15">
        <v>77839</v>
      </c>
      <c r="G11" s="15">
        <v>101602741</v>
      </c>
      <c r="H11" s="15">
        <v>8.3342880484302881</v>
      </c>
      <c r="I11" s="15">
        <v>1305.2935032567223</v>
      </c>
      <c r="J11" s="15">
        <v>108.78692043886201</v>
      </c>
      <c r="K11" s="27">
        <f t="shared" si="0"/>
        <v>8.2851710124923361</v>
      </c>
      <c r="L11" s="27">
        <f t="shared" si="1"/>
        <v>1160.1967458684928</v>
      </c>
    </row>
    <row r="12" spans="1:12" x14ac:dyDescent="0.2">
      <c r="A12" s="19">
        <v>11</v>
      </c>
      <c r="B12" s="15" t="s">
        <v>40</v>
      </c>
      <c r="C12" s="15" t="s">
        <v>97</v>
      </c>
      <c r="D12" s="15" t="s">
        <v>104</v>
      </c>
      <c r="E12" s="15">
        <v>932967</v>
      </c>
      <c r="F12" s="15">
        <v>74598</v>
      </c>
      <c r="G12" s="15">
        <v>96197484</v>
      </c>
      <c r="H12" s="15">
        <v>7.9957812012643537</v>
      </c>
      <c r="I12" s="15">
        <v>1289.5450816375774</v>
      </c>
      <c r="J12" s="15">
        <v>103.10920321940647</v>
      </c>
      <c r="K12" s="27">
        <f t="shared" si="0"/>
        <v>7.9944315170956948</v>
      </c>
      <c r="L12" s="27">
        <f t="shared" si="1"/>
        <v>1164.1732570356442</v>
      </c>
    </row>
    <row r="13" spans="1:12" x14ac:dyDescent="0.2">
      <c r="A13" s="19">
        <v>12</v>
      </c>
      <c r="B13" s="15" t="s">
        <v>40</v>
      </c>
      <c r="C13" s="15" t="s">
        <v>97</v>
      </c>
      <c r="D13" s="15" t="s">
        <v>103</v>
      </c>
      <c r="E13" s="15">
        <v>932067</v>
      </c>
      <c r="F13" s="15">
        <v>65226</v>
      </c>
      <c r="G13" s="15">
        <v>72351017</v>
      </c>
      <c r="H13" s="15">
        <v>6.9979947793452615</v>
      </c>
      <c r="I13" s="15">
        <v>1109.2358415355839</v>
      </c>
      <c r="J13" s="15">
        <v>77.624266281286651</v>
      </c>
      <c r="K13" s="27">
        <f t="shared" si="0"/>
        <v>7.7036920216990534</v>
      </c>
      <c r="L13" s="27">
        <f t="shared" si="1"/>
        <v>1168.1497682027955</v>
      </c>
    </row>
    <row r="14" spans="1:12" x14ac:dyDescent="0.2">
      <c r="A14" s="19">
        <v>13</v>
      </c>
      <c r="B14" s="15" t="s">
        <v>40</v>
      </c>
      <c r="C14" s="15" t="s">
        <v>97</v>
      </c>
      <c r="D14" s="15" t="s">
        <v>102</v>
      </c>
      <c r="E14" s="15">
        <v>931957</v>
      </c>
      <c r="F14" s="15">
        <v>64224</v>
      </c>
      <c r="G14" s="15">
        <v>70943335</v>
      </c>
      <c r="H14" s="15">
        <v>6.8913050709421144</v>
      </c>
      <c r="I14" s="15">
        <v>1104.6234273791729</v>
      </c>
      <c r="J14" s="15">
        <v>76.12297026579553</v>
      </c>
      <c r="K14" s="27">
        <f t="shared" si="0"/>
        <v>7.4129525263024121</v>
      </c>
      <c r="L14" s="27">
        <f t="shared" si="1"/>
        <v>1172.1262793699468</v>
      </c>
    </row>
    <row r="15" spans="1:12" x14ac:dyDescent="0.2">
      <c r="A15" s="19">
        <v>14</v>
      </c>
      <c r="B15" s="15" t="s">
        <v>40</v>
      </c>
      <c r="C15" s="15" t="s">
        <v>97</v>
      </c>
      <c r="D15" s="15" t="s">
        <v>101</v>
      </c>
      <c r="E15" s="15">
        <v>933337</v>
      </c>
      <c r="F15" s="15">
        <v>65024</v>
      </c>
      <c r="G15" s="15">
        <v>72469814</v>
      </c>
      <c r="H15" s="15">
        <v>6.9668297731687483</v>
      </c>
      <c r="I15" s="15">
        <v>1114.5087044783465</v>
      </c>
      <c r="J15" s="15">
        <v>77.645924248154742</v>
      </c>
      <c r="K15" s="27">
        <f t="shared" si="0"/>
        <v>7.1222130309057707</v>
      </c>
      <c r="L15" s="27">
        <f t="shared" si="1"/>
        <v>1176.1027905370981</v>
      </c>
    </row>
    <row r="16" spans="1:12" x14ac:dyDescent="0.2">
      <c r="A16" s="19">
        <v>15</v>
      </c>
      <c r="B16" s="15" t="s">
        <v>40</v>
      </c>
      <c r="C16" s="15" t="s">
        <v>97</v>
      </c>
      <c r="D16" s="15" t="s">
        <v>100</v>
      </c>
      <c r="E16" s="15">
        <v>935298</v>
      </c>
      <c r="F16" s="15">
        <v>64267</v>
      </c>
      <c r="G16" s="15">
        <v>69615891</v>
      </c>
      <c r="H16" s="15">
        <v>6.8712859430897959</v>
      </c>
      <c r="I16" s="15">
        <v>1083.2292000560162</v>
      </c>
      <c r="J16" s="15">
        <v>74.431775754893096</v>
      </c>
      <c r="K16" s="27">
        <f t="shared" si="0"/>
        <v>6.8314735355091294</v>
      </c>
      <c r="L16" s="27">
        <f t="shared" si="1"/>
        <v>1180.0793017042492</v>
      </c>
    </row>
    <row r="17" spans="1:12" x14ac:dyDescent="0.2">
      <c r="A17" s="19">
        <v>16</v>
      </c>
      <c r="B17" s="15" t="s">
        <v>40</v>
      </c>
      <c r="C17" s="15" t="s">
        <v>97</v>
      </c>
      <c r="D17" s="15" t="s">
        <v>99</v>
      </c>
      <c r="E17" s="15">
        <v>938067</v>
      </c>
      <c r="F17" s="15">
        <v>63689</v>
      </c>
      <c r="G17" s="15">
        <v>71017650</v>
      </c>
      <c r="H17" s="15">
        <v>6.7893871120079909</v>
      </c>
      <c r="I17" s="15">
        <v>1115.0693212328661</v>
      </c>
      <c r="J17" s="15">
        <v>75.706372785739191</v>
      </c>
      <c r="K17" s="27">
        <f t="shared" si="0"/>
        <v>6.540734040112488</v>
      </c>
      <c r="L17" s="27">
        <f t="shared" si="1"/>
        <v>1184.0558128714006</v>
      </c>
    </row>
    <row r="18" spans="1:12" x14ac:dyDescent="0.2">
      <c r="A18" s="19">
        <v>17</v>
      </c>
      <c r="B18" s="15" t="s">
        <v>40</v>
      </c>
      <c r="C18" s="15" t="s">
        <v>97</v>
      </c>
      <c r="D18" s="15" t="s">
        <v>98</v>
      </c>
      <c r="E18" s="15">
        <v>941234</v>
      </c>
      <c r="F18" s="15">
        <v>63609</v>
      </c>
      <c r="G18" s="15">
        <v>73653299</v>
      </c>
      <c r="H18" s="15">
        <v>6.7580431646115633</v>
      </c>
      <c r="I18" s="15">
        <v>1157.9068842459401</v>
      </c>
      <c r="J18" s="15">
        <v>78.251847043349471</v>
      </c>
      <c r="K18" s="27">
        <f t="shared" si="0"/>
        <v>6.2499945447158467</v>
      </c>
      <c r="L18" s="27">
        <f t="shared" si="1"/>
        <v>1188.0323240385519</v>
      </c>
    </row>
    <row r="19" spans="1:12" x14ac:dyDescent="0.2">
      <c r="A19" s="19">
        <v>18</v>
      </c>
      <c r="B19" s="15" t="s">
        <v>40</v>
      </c>
      <c r="C19" s="15" t="s">
        <v>97</v>
      </c>
      <c r="D19" s="15" t="s">
        <v>96</v>
      </c>
      <c r="E19" s="15">
        <v>944414</v>
      </c>
      <c r="F19" s="15">
        <v>64806</v>
      </c>
      <c r="G19" s="15">
        <v>83064663</v>
      </c>
      <c r="H19" s="15">
        <v>6.8620329643567333</v>
      </c>
      <c r="I19" s="15">
        <v>1281.7434033885752</v>
      </c>
      <c r="J19" s="15">
        <v>87.953654858991925</v>
      </c>
      <c r="K19" s="27">
        <f t="shared" si="0"/>
        <v>5.9592550493192054</v>
      </c>
      <c r="L19" s="27">
        <f t="shared" si="1"/>
        <v>1192.0088352057032</v>
      </c>
    </row>
    <row r="20" spans="1:12" ht="13.5" thickBot="1" x14ac:dyDescent="0.25"/>
    <row r="21" spans="1:12" x14ac:dyDescent="0.2">
      <c r="G21" s="15" t="s">
        <v>95</v>
      </c>
      <c r="H21" s="37">
        <f>LINEST(H$2:H$19,$A$2:$A$19)</f>
        <v>-0.29073949539664135</v>
      </c>
      <c r="I21" s="36">
        <f>LINEST(I$2:I$19,$A$2:$A$19)</f>
        <v>3.9765111671513056</v>
      </c>
    </row>
    <row r="22" spans="1:12" ht="13.5" thickBot="1" x14ac:dyDescent="0.25">
      <c r="G22" s="15" t="s">
        <v>94</v>
      </c>
      <c r="H22" s="35">
        <f>INTERCEPT(H$2:H$19,$A$2:$A$19)</f>
        <v>11.19256596645875</v>
      </c>
      <c r="I22" s="34">
        <f>INTERCEPT(I$2:I$19,$A$2:$A$19)</f>
        <v>1120.4316341969798</v>
      </c>
    </row>
  </sheetData>
  <pageMargins left="0.75" right="0.75" top="1" bottom="1" header="0.5" footer="0.5"/>
  <headerFooter alignWithMargins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213"/>
  <sheetViews>
    <sheetView workbookViewId="0">
      <selection activeCell="I2" sqref="I2"/>
    </sheetView>
  </sheetViews>
  <sheetFormatPr defaultRowHeight="12.75" x14ac:dyDescent="0.2"/>
  <cols>
    <col min="1" max="3" width="9.140625" style="15"/>
    <col min="4" max="4" width="17.42578125" style="15" bestFit="1" customWidth="1"/>
    <col min="5" max="5" width="15" style="15" bestFit="1" customWidth="1"/>
    <col min="6" max="6" width="14.7109375" style="15" bestFit="1" customWidth="1"/>
    <col min="7" max="7" width="14" style="15" customWidth="1"/>
    <col min="8" max="8" width="9.140625" style="15"/>
    <col min="9" max="9" width="24.5703125" style="15" customWidth="1"/>
    <col min="10" max="16384" width="9.140625" style="15"/>
  </cols>
  <sheetData>
    <row r="1" spans="1:9" x14ac:dyDescent="0.2">
      <c r="A1" s="28" t="s">
        <v>75</v>
      </c>
      <c r="B1" s="28" t="s">
        <v>76</v>
      </c>
      <c r="C1" s="28" t="s">
        <v>77</v>
      </c>
      <c r="D1" s="28" t="s">
        <v>78</v>
      </c>
      <c r="E1" s="28" t="s">
        <v>79</v>
      </c>
      <c r="F1" s="28" t="s">
        <v>80</v>
      </c>
      <c r="G1" s="28" t="s">
        <v>81</v>
      </c>
    </row>
    <row r="2" spans="1:9" x14ac:dyDescent="0.2">
      <c r="A2" s="15" t="s">
        <v>24</v>
      </c>
      <c r="B2" s="15">
        <v>0</v>
      </c>
      <c r="C2" s="29" t="s">
        <v>82</v>
      </c>
      <c r="D2" s="30">
        <v>122400</v>
      </c>
      <c r="E2" s="30">
        <v>5400</v>
      </c>
      <c r="F2" s="30">
        <v>43103600</v>
      </c>
      <c r="G2" s="30">
        <v>73117700</v>
      </c>
    </row>
    <row r="3" spans="1:9" x14ac:dyDescent="0.2">
      <c r="A3" s="15" t="s">
        <v>25</v>
      </c>
      <c r="B3" s="15">
        <v>0</v>
      </c>
      <c r="C3" s="29" t="s">
        <v>82</v>
      </c>
      <c r="D3" s="30">
        <v>11400</v>
      </c>
      <c r="E3" s="30">
        <v>700</v>
      </c>
      <c r="F3" s="30">
        <v>5632700</v>
      </c>
      <c r="G3" s="30">
        <v>10132300</v>
      </c>
    </row>
    <row r="4" spans="1:9" x14ac:dyDescent="0.2">
      <c r="A4" s="15" t="s">
        <v>26</v>
      </c>
      <c r="B4" s="15">
        <v>0</v>
      </c>
      <c r="C4" s="29" t="s">
        <v>82</v>
      </c>
      <c r="D4" s="30">
        <v>92000</v>
      </c>
      <c r="E4" s="30">
        <v>4700</v>
      </c>
      <c r="F4" s="30">
        <v>37928200</v>
      </c>
      <c r="G4" s="30">
        <v>65612400</v>
      </c>
    </row>
    <row r="5" spans="1:9" x14ac:dyDescent="0.2">
      <c r="A5" s="15" t="s">
        <v>27</v>
      </c>
      <c r="B5" s="15">
        <v>0</v>
      </c>
      <c r="C5" s="29" t="s">
        <v>82</v>
      </c>
      <c r="D5" s="30">
        <v>41000</v>
      </c>
      <c r="E5" s="30">
        <v>2000</v>
      </c>
      <c r="F5" s="30">
        <v>14995900</v>
      </c>
      <c r="G5" s="30">
        <v>23753200</v>
      </c>
    </row>
    <row r="6" spans="1:9" x14ac:dyDescent="0.2">
      <c r="A6" s="15" t="s">
        <v>28</v>
      </c>
      <c r="B6" s="15">
        <v>1</v>
      </c>
      <c r="C6" s="29" t="s">
        <v>82</v>
      </c>
      <c r="D6" s="30">
        <v>302400</v>
      </c>
      <c r="E6" s="30">
        <v>13700</v>
      </c>
      <c r="F6" s="30">
        <v>108215900</v>
      </c>
      <c r="G6" s="30">
        <v>188687500</v>
      </c>
      <c r="I6" s="30"/>
    </row>
    <row r="7" spans="1:9" x14ac:dyDescent="0.2">
      <c r="A7" s="15" t="s">
        <v>28</v>
      </c>
      <c r="B7" s="15">
        <v>2</v>
      </c>
      <c r="C7" s="29" t="s">
        <v>82</v>
      </c>
      <c r="D7" s="30">
        <v>369700</v>
      </c>
      <c r="E7" s="30">
        <v>16800</v>
      </c>
      <c r="F7" s="30">
        <v>143593600</v>
      </c>
      <c r="G7" s="30">
        <v>232150200</v>
      </c>
    </row>
    <row r="8" spans="1:9" x14ac:dyDescent="0.2">
      <c r="A8" s="15" t="s">
        <v>29</v>
      </c>
      <c r="B8" s="15">
        <v>0</v>
      </c>
      <c r="C8" s="29" t="s">
        <v>82</v>
      </c>
      <c r="D8" s="30">
        <v>100700</v>
      </c>
      <c r="E8" s="30">
        <v>5800</v>
      </c>
      <c r="F8" s="30">
        <v>47591200</v>
      </c>
      <c r="G8" s="30">
        <v>78294500</v>
      </c>
    </row>
    <row r="9" spans="1:9" x14ac:dyDescent="0.2">
      <c r="A9" s="15" t="s">
        <v>30</v>
      </c>
      <c r="B9" s="15">
        <v>0</v>
      </c>
      <c r="C9" s="29" t="s">
        <v>82</v>
      </c>
      <c r="D9" s="30">
        <v>81500</v>
      </c>
      <c r="E9" s="30">
        <v>3700</v>
      </c>
      <c r="F9" s="30">
        <v>30747600</v>
      </c>
      <c r="G9" s="30">
        <v>52696600</v>
      </c>
    </row>
    <row r="10" spans="1:9" x14ac:dyDescent="0.2">
      <c r="A10" s="15" t="s">
        <v>31</v>
      </c>
      <c r="B10" s="15">
        <v>0</v>
      </c>
      <c r="C10" s="29" t="s">
        <v>82</v>
      </c>
      <c r="D10" s="30">
        <v>20700</v>
      </c>
      <c r="E10" s="30">
        <v>1100</v>
      </c>
      <c r="F10" s="30">
        <v>8877600</v>
      </c>
      <c r="G10" s="30">
        <v>14288600</v>
      </c>
    </row>
    <row r="11" spans="1:9" x14ac:dyDescent="0.2">
      <c r="A11" s="15" t="s">
        <v>32</v>
      </c>
      <c r="B11" s="15">
        <v>0</v>
      </c>
      <c r="C11" s="29" t="s">
        <v>82</v>
      </c>
      <c r="D11" s="30">
        <v>11500</v>
      </c>
      <c r="E11" s="30">
        <v>600</v>
      </c>
      <c r="F11" s="30">
        <v>4967300</v>
      </c>
      <c r="G11" s="30">
        <v>8298600</v>
      </c>
      <c r="I11" s="30"/>
    </row>
    <row r="12" spans="1:9" x14ac:dyDescent="0.2">
      <c r="A12" s="15" t="s">
        <v>33</v>
      </c>
      <c r="B12" s="15">
        <v>0</v>
      </c>
      <c r="C12" s="29" t="s">
        <v>82</v>
      </c>
      <c r="D12" s="30">
        <v>220100</v>
      </c>
      <c r="E12" s="30">
        <v>9300</v>
      </c>
      <c r="F12" s="30">
        <v>70358900</v>
      </c>
      <c r="G12" s="30">
        <v>108936500</v>
      </c>
      <c r="I12" s="30"/>
    </row>
    <row r="13" spans="1:9" x14ac:dyDescent="0.2">
      <c r="A13" s="15" t="s">
        <v>34</v>
      </c>
      <c r="B13" s="15">
        <v>0</v>
      </c>
      <c r="C13" s="29" t="s">
        <v>82</v>
      </c>
      <c r="D13" s="30">
        <v>178900</v>
      </c>
      <c r="E13" s="30">
        <v>8800</v>
      </c>
      <c r="F13" s="30">
        <v>61342000</v>
      </c>
      <c r="G13" s="30">
        <v>108635800</v>
      </c>
      <c r="I13" s="30"/>
    </row>
    <row r="14" spans="1:9" x14ac:dyDescent="0.2">
      <c r="A14" s="15" t="s">
        <v>35</v>
      </c>
      <c r="B14" s="15">
        <v>0</v>
      </c>
      <c r="C14" s="29" t="s">
        <v>82</v>
      </c>
      <c r="D14" s="30">
        <v>12400</v>
      </c>
      <c r="E14" s="30">
        <v>700</v>
      </c>
      <c r="F14" s="30">
        <v>5378100</v>
      </c>
      <c r="G14" s="30">
        <v>9374100</v>
      </c>
      <c r="I14" s="30"/>
    </row>
    <row r="15" spans="1:9" x14ac:dyDescent="0.2">
      <c r="A15" s="15" t="s">
        <v>36</v>
      </c>
      <c r="B15" s="15">
        <v>0</v>
      </c>
      <c r="C15" s="29" t="s">
        <v>82</v>
      </c>
      <c r="D15" s="30">
        <v>24400</v>
      </c>
      <c r="E15" s="30">
        <v>1200</v>
      </c>
      <c r="F15" s="30">
        <v>10131200</v>
      </c>
      <c r="G15" s="30">
        <v>17315700</v>
      </c>
      <c r="I15" s="30"/>
    </row>
    <row r="16" spans="1:9" x14ac:dyDescent="0.2">
      <c r="A16" s="15" t="s">
        <v>37</v>
      </c>
      <c r="B16" s="15">
        <v>0</v>
      </c>
      <c r="C16" s="29" t="s">
        <v>82</v>
      </c>
      <c r="D16" s="30">
        <v>147600</v>
      </c>
      <c r="E16" s="30">
        <v>7100</v>
      </c>
      <c r="F16" s="30">
        <v>55154600</v>
      </c>
      <c r="G16" s="30">
        <v>96125300</v>
      </c>
    </row>
    <row r="17" spans="1:7" x14ac:dyDescent="0.2">
      <c r="A17" s="15" t="s">
        <v>38</v>
      </c>
      <c r="B17" s="15">
        <v>0</v>
      </c>
      <c r="C17" s="29" t="s">
        <v>82</v>
      </c>
      <c r="D17" s="30">
        <v>133300</v>
      </c>
      <c r="E17" s="30">
        <v>3700</v>
      </c>
      <c r="F17" s="30">
        <v>28160400</v>
      </c>
      <c r="G17" s="30">
        <v>46831700</v>
      </c>
    </row>
    <row r="18" spans="1:7" x14ac:dyDescent="0.2">
      <c r="A18" s="15" t="s">
        <v>39</v>
      </c>
      <c r="B18" s="15">
        <v>0</v>
      </c>
      <c r="C18" s="29" t="s">
        <v>82</v>
      </c>
      <c r="D18" s="30">
        <v>28200</v>
      </c>
      <c r="E18" s="30">
        <v>1300</v>
      </c>
      <c r="F18" s="30">
        <v>10075900</v>
      </c>
      <c r="G18" s="30">
        <v>16378400</v>
      </c>
    </row>
    <row r="19" spans="1:7" x14ac:dyDescent="0.2">
      <c r="A19" s="15" t="s">
        <v>40</v>
      </c>
      <c r="B19" s="15">
        <v>0</v>
      </c>
      <c r="C19" s="29" t="s">
        <v>82</v>
      </c>
      <c r="D19" s="30">
        <v>43200</v>
      </c>
      <c r="E19" s="30">
        <v>2600</v>
      </c>
      <c r="F19" s="30">
        <v>19299300</v>
      </c>
      <c r="G19" s="30">
        <v>30477700</v>
      </c>
    </row>
    <row r="20" spans="1:7" x14ac:dyDescent="0.2">
      <c r="A20" s="15" t="s">
        <v>41</v>
      </c>
      <c r="B20" s="15">
        <v>0</v>
      </c>
      <c r="C20" s="29" t="s">
        <v>82</v>
      </c>
      <c r="D20" s="30">
        <v>65200</v>
      </c>
      <c r="E20" s="30">
        <v>4000</v>
      </c>
      <c r="F20" s="30">
        <v>32082900</v>
      </c>
      <c r="G20" s="30">
        <v>52508700</v>
      </c>
    </row>
    <row r="21" spans="1:7" x14ac:dyDescent="0.2">
      <c r="A21" s="15" t="s">
        <v>42</v>
      </c>
      <c r="B21" s="15">
        <v>0</v>
      </c>
      <c r="C21" s="29" t="s">
        <v>82</v>
      </c>
      <c r="D21" s="30">
        <v>74500</v>
      </c>
      <c r="E21" s="30">
        <v>2100</v>
      </c>
      <c r="F21" s="30">
        <v>17208600</v>
      </c>
      <c r="G21" s="30">
        <v>27281700</v>
      </c>
    </row>
    <row r="22" spans="1:7" x14ac:dyDescent="0.2">
      <c r="A22" s="15" t="s">
        <v>43</v>
      </c>
      <c r="B22" s="15">
        <v>0</v>
      </c>
      <c r="C22" s="29" t="s">
        <v>82</v>
      </c>
      <c r="D22" s="30">
        <v>27500</v>
      </c>
      <c r="E22" s="30">
        <v>1400</v>
      </c>
      <c r="F22" s="30">
        <v>11149400</v>
      </c>
      <c r="G22" s="30">
        <v>18714500</v>
      </c>
    </row>
    <row r="23" spans="1:7" x14ac:dyDescent="0.2">
      <c r="A23" s="15" t="s">
        <v>44</v>
      </c>
      <c r="B23" s="15">
        <v>0</v>
      </c>
      <c r="C23" s="29" t="s">
        <v>82</v>
      </c>
      <c r="D23" s="30">
        <v>109100</v>
      </c>
      <c r="E23" s="30">
        <v>5400</v>
      </c>
      <c r="F23" s="30">
        <v>42744100</v>
      </c>
      <c r="G23" s="30">
        <v>65809400</v>
      </c>
    </row>
    <row r="24" spans="1:7" x14ac:dyDescent="0.2">
      <c r="A24" s="15" t="s">
        <v>45</v>
      </c>
      <c r="B24" s="15">
        <v>0</v>
      </c>
      <c r="C24" s="29" t="s">
        <v>82</v>
      </c>
      <c r="D24" s="30">
        <v>139900</v>
      </c>
      <c r="E24" s="30">
        <v>6700</v>
      </c>
      <c r="F24" s="30">
        <v>55642500</v>
      </c>
      <c r="G24" s="30">
        <v>97136300</v>
      </c>
    </row>
    <row r="25" spans="1:7" x14ac:dyDescent="0.2">
      <c r="A25" s="15" t="s">
        <v>46</v>
      </c>
      <c r="B25" s="15">
        <v>0</v>
      </c>
      <c r="C25" s="29" t="s">
        <v>82</v>
      </c>
      <c r="D25" s="30">
        <v>121100</v>
      </c>
      <c r="E25" s="30">
        <v>7400</v>
      </c>
      <c r="F25" s="30">
        <v>55802500</v>
      </c>
      <c r="G25" s="30">
        <v>100545800</v>
      </c>
    </row>
    <row r="26" spans="1:7" x14ac:dyDescent="0.2">
      <c r="A26" s="15" t="s">
        <v>47</v>
      </c>
      <c r="B26" s="15">
        <v>0</v>
      </c>
      <c r="C26" s="29" t="s">
        <v>82</v>
      </c>
      <c r="D26" s="30">
        <v>84100</v>
      </c>
      <c r="E26" s="30">
        <v>5500</v>
      </c>
      <c r="F26" s="30">
        <v>45489100</v>
      </c>
      <c r="G26" s="30">
        <v>72212500</v>
      </c>
    </row>
    <row r="27" spans="1:7" x14ac:dyDescent="0.2">
      <c r="A27" s="15" t="s">
        <v>48</v>
      </c>
      <c r="B27" s="15">
        <v>0</v>
      </c>
      <c r="C27" s="29" t="s">
        <v>82</v>
      </c>
      <c r="D27" s="30">
        <v>55400</v>
      </c>
      <c r="E27" s="30">
        <v>3400</v>
      </c>
      <c r="F27" s="30">
        <v>23870800</v>
      </c>
      <c r="G27" s="30">
        <v>38986500</v>
      </c>
    </row>
    <row r="28" spans="1:7" x14ac:dyDescent="0.2">
      <c r="A28" s="15" t="s">
        <v>49</v>
      </c>
      <c r="B28" s="15">
        <v>0</v>
      </c>
      <c r="C28" s="29" t="s">
        <v>82</v>
      </c>
      <c r="D28" s="30">
        <v>86900</v>
      </c>
      <c r="E28" s="30">
        <v>4500</v>
      </c>
      <c r="F28" s="30">
        <v>34629100</v>
      </c>
      <c r="G28" s="30">
        <v>58167200</v>
      </c>
    </row>
    <row r="29" spans="1:7" x14ac:dyDescent="0.2">
      <c r="A29" s="15" t="s">
        <v>50</v>
      </c>
      <c r="B29" s="15">
        <v>0</v>
      </c>
      <c r="C29" s="29" t="s">
        <v>82</v>
      </c>
      <c r="D29" s="30">
        <v>18700</v>
      </c>
      <c r="E29" s="30">
        <v>700</v>
      </c>
      <c r="F29" s="30">
        <v>5511300</v>
      </c>
      <c r="G29" s="30">
        <v>8861900</v>
      </c>
    </row>
    <row r="30" spans="1:7" x14ac:dyDescent="0.2">
      <c r="A30" s="15" t="s">
        <v>51</v>
      </c>
      <c r="B30" s="15">
        <v>0</v>
      </c>
      <c r="C30" s="29" t="s">
        <v>82</v>
      </c>
      <c r="D30" s="30">
        <v>32400</v>
      </c>
      <c r="E30" s="30">
        <v>2100</v>
      </c>
      <c r="F30" s="30">
        <v>16118700</v>
      </c>
      <c r="G30" s="30">
        <v>24349800</v>
      </c>
    </row>
    <row r="31" spans="1:7" x14ac:dyDescent="0.2">
      <c r="A31" s="15" t="s">
        <v>52</v>
      </c>
      <c r="B31" s="15">
        <v>0</v>
      </c>
      <c r="C31" s="29" t="s">
        <v>82</v>
      </c>
      <c r="D31" s="30">
        <v>38500</v>
      </c>
      <c r="E31" s="30">
        <v>1800</v>
      </c>
      <c r="F31" s="30">
        <v>14478400</v>
      </c>
      <c r="G31" s="30">
        <v>22301300</v>
      </c>
    </row>
    <row r="32" spans="1:7" x14ac:dyDescent="0.2">
      <c r="A32" s="15" t="s">
        <v>53</v>
      </c>
      <c r="B32" s="15">
        <v>0</v>
      </c>
      <c r="C32" s="29" t="s">
        <v>82</v>
      </c>
      <c r="D32" s="30">
        <v>24200</v>
      </c>
      <c r="E32" s="30">
        <v>1100</v>
      </c>
      <c r="F32" s="30">
        <v>8753600</v>
      </c>
      <c r="G32" s="30">
        <v>14177300</v>
      </c>
    </row>
    <row r="33" spans="1:7" x14ac:dyDescent="0.2">
      <c r="A33" s="15" t="s">
        <v>54</v>
      </c>
      <c r="B33" s="15">
        <v>0</v>
      </c>
      <c r="C33" s="29" t="s">
        <v>82</v>
      </c>
      <c r="D33" s="30">
        <v>137300</v>
      </c>
      <c r="E33" s="30">
        <v>4700</v>
      </c>
      <c r="F33" s="30">
        <v>38453900</v>
      </c>
      <c r="G33" s="30">
        <v>62766800</v>
      </c>
    </row>
    <row r="34" spans="1:7" x14ac:dyDescent="0.2">
      <c r="A34" s="15" t="s">
        <v>55</v>
      </c>
      <c r="B34" s="15">
        <v>0</v>
      </c>
      <c r="C34" s="29" t="s">
        <v>82</v>
      </c>
      <c r="D34" s="30">
        <v>45000</v>
      </c>
      <c r="E34" s="30">
        <v>2400</v>
      </c>
      <c r="F34" s="30">
        <v>18281000</v>
      </c>
      <c r="G34" s="30">
        <v>30040900</v>
      </c>
    </row>
    <row r="35" spans="1:7" x14ac:dyDescent="0.2">
      <c r="A35" s="15" t="s">
        <v>56</v>
      </c>
      <c r="B35" s="15">
        <v>0</v>
      </c>
      <c r="C35" s="29" t="s">
        <v>82</v>
      </c>
      <c r="D35" s="30">
        <v>413900</v>
      </c>
      <c r="E35" s="30">
        <v>20700</v>
      </c>
      <c r="F35" s="30">
        <v>171574100</v>
      </c>
      <c r="G35" s="30">
        <v>280975400</v>
      </c>
    </row>
    <row r="36" spans="1:7" x14ac:dyDescent="0.2">
      <c r="A36" s="15" t="s">
        <v>57</v>
      </c>
      <c r="B36" s="15">
        <v>0</v>
      </c>
      <c r="C36" s="29" t="s">
        <v>82</v>
      </c>
      <c r="D36" s="30">
        <v>148800</v>
      </c>
      <c r="E36" s="30">
        <v>9000</v>
      </c>
      <c r="F36" s="30">
        <v>69969300</v>
      </c>
      <c r="G36" s="30">
        <v>122718700</v>
      </c>
    </row>
    <row r="37" spans="1:7" x14ac:dyDescent="0.2">
      <c r="A37" s="15" t="s">
        <v>58</v>
      </c>
      <c r="B37" s="15">
        <v>0</v>
      </c>
      <c r="C37" s="29" t="s">
        <v>82</v>
      </c>
      <c r="D37" s="30">
        <v>13500</v>
      </c>
      <c r="E37" s="30">
        <v>800</v>
      </c>
      <c r="F37" s="30">
        <v>6150100</v>
      </c>
      <c r="G37" s="30">
        <v>10215500</v>
      </c>
    </row>
    <row r="38" spans="1:7" x14ac:dyDescent="0.2">
      <c r="A38" s="15" t="s">
        <v>59</v>
      </c>
      <c r="B38" s="15">
        <v>0</v>
      </c>
      <c r="C38" s="29" t="s">
        <v>82</v>
      </c>
      <c r="D38" s="30">
        <v>196700</v>
      </c>
      <c r="E38" s="30">
        <v>11300</v>
      </c>
      <c r="F38" s="30">
        <v>93858800</v>
      </c>
      <c r="G38" s="30">
        <v>155975900</v>
      </c>
    </row>
    <row r="39" spans="1:7" x14ac:dyDescent="0.2">
      <c r="A39" s="15" t="s">
        <v>60</v>
      </c>
      <c r="B39" s="15">
        <v>0</v>
      </c>
      <c r="C39" s="29" t="s">
        <v>82</v>
      </c>
      <c r="D39" s="30">
        <v>59900</v>
      </c>
      <c r="E39" s="30">
        <v>2900</v>
      </c>
      <c r="F39" s="30">
        <v>22876700</v>
      </c>
      <c r="G39" s="30">
        <v>39177200</v>
      </c>
    </row>
    <row r="40" spans="1:7" x14ac:dyDescent="0.2">
      <c r="A40" s="15" t="s">
        <v>61</v>
      </c>
      <c r="B40" s="15">
        <v>0</v>
      </c>
      <c r="C40" s="29" t="s">
        <v>82</v>
      </c>
      <c r="D40" s="30">
        <v>62900</v>
      </c>
      <c r="E40" s="30">
        <v>4700</v>
      </c>
      <c r="F40" s="30">
        <v>36600400</v>
      </c>
      <c r="G40" s="30">
        <v>62820800</v>
      </c>
    </row>
    <row r="41" spans="1:7" x14ac:dyDescent="0.2">
      <c r="A41" s="15" t="s">
        <v>62</v>
      </c>
      <c r="B41" s="15">
        <v>0</v>
      </c>
      <c r="C41" s="29" t="s">
        <v>82</v>
      </c>
      <c r="D41" s="30">
        <v>184100</v>
      </c>
      <c r="E41" s="30">
        <v>11800</v>
      </c>
      <c r="F41" s="30">
        <v>94768200</v>
      </c>
      <c r="G41" s="30">
        <v>162801800</v>
      </c>
    </row>
    <row r="42" spans="1:7" x14ac:dyDescent="0.2">
      <c r="A42" s="15" t="s">
        <v>63</v>
      </c>
      <c r="B42" s="15">
        <v>0</v>
      </c>
      <c r="C42" s="29" t="s">
        <v>82</v>
      </c>
      <c r="D42" s="30">
        <v>13700</v>
      </c>
      <c r="E42" s="30">
        <v>500</v>
      </c>
      <c r="F42" s="30">
        <v>3803200</v>
      </c>
      <c r="G42" s="30">
        <v>6568900</v>
      </c>
    </row>
    <row r="43" spans="1:7" x14ac:dyDescent="0.2">
      <c r="A43" s="15" t="s">
        <v>64</v>
      </c>
      <c r="B43" s="15">
        <v>0</v>
      </c>
      <c r="C43" s="29" t="s">
        <v>82</v>
      </c>
      <c r="D43" s="30">
        <v>58300</v>
      </c>
      <c r="E43" s="30">
        <v>2700</v>
      </c>
      <c r="F43" s="30">
        <v>20631500</v>
      </c>
      <c r="G43" s="30">
        <v>35089000</v>
      </c>
    </row>
    <row r="44" spans="1:7" x14ac:dyDescent="0.2">
      <c r="A44" s="15" t="s">
        <v>65</v>
      </c>
      <c r="B44" s="15">
        <v>0</v>
      </c>
      <c r="C44" s="29" t="s">
        <v>82</v>
      </c>
      <c r="D44" s="30">
        <v>15400</v>
      </c>
      <c r="E44" s="30">
        <v>800</v>
      </c>
      <c r="F44" s="30">
        <v>6055900</v>
      </c>
      <c r="G44" s="30">
        <v>9588600</v>
      </c>
    </row>
    <row r="45" spans="1:7" x14ac:dyDescent="0.2">
      <c r="A45" s="15" t="s">
        <v>66</v>
      </c>
      <c r="B45" s="15">
        <v>0</v>
      </c>
      <c r="C45" s="29" t="s">
        <v>82</v>
      </c>
      <c r="D45" s="30">
        <v>127200</v>
      </c>
      <c r="E45" s="30">
        <v>5000</v>
      </c>
      <c r="F45" s="30">
        <v>41105200</v>
      </c>
      <c r="G45" s="30">
        <v>65854800</v>
      </c>
    </row>
    <row r="46" spans="1:7" x14ac:dyDescent="0.2">
      <c r="A46" s="15" t="s">
        <v>67</v>
      </c>
      <c r="B46" s="15">
        <v>1</v>
      </c>
      <c r="C46" s="29" t="s">
        <v>82</v>
      </c>
      <c r="D46" s="30">
        <v>217400</v>
      </c>
      <c r="E46" s="30">
        <v>10200</v>
      </c>
      <c r="F46" s="30">
        <v>82997000</v>
      </c>
      <c r="G46" s="30">
        <v>142188600</v>
      </c>
    </row>
    <row r="47" spans="1:7" x14ac:dyDescent="0.2">
      <c r="A47" s="15" t="s">
        <v>67</v>
      </c>
      <c r="B47" s="15">
        <v>2</v>
      </c>
      <c r="C47" s="29" t="s">
        <v>82</v>
      </c>
      <c r="D47" s="30">
        <v>144900</v>
      </c>
      <c r="E47" s="30">
        <v>6800</v>
      </c>
      <c r="F47" s="30">
        <v>55978800</v>
      </c>
      <c r="G47" s="30">
        <v>91559900</v>
      </c>
    </row>
    <row r="48" spans="1:7" x14ac:dyDescent="0.2">
      <c r="A48" s="15" t="s">
        <v>68</v>
      </c>
      <c r="B48" s="15">
        <v>0</v>
      </c>
      <c r="C48" s="29" t="s">
        <v>82</v>
      </c>
      <c r="D48" s="30">
        <v>34800</v>
      </c>
      <c r="E48" s="30">
        <v>1900</v>
      </c>
      <c r="F48" s="30">
        <v>15381800</v>
      </c>
      <c r="G48" s="30">
        <v>25759900</v>
      </c>
    </row>
    <row r="49" spans="1:7" x14ac:dyDescent="0.2">
      <c r="A49" s="15" t="s">
        <v>69</v>
      </c>
      <c r="B49" s="15">
        <v>0</v>
      </c>
      <c r="C49" s="29" t="s">
        <v>82</v>
      </c>
      <c r="D49" s="30">
        <v>12600</v>
      </c>
      <c r="E49" s="30">
        <v>500</v>
      </c>
      <c r="F49" s="30">
        <v>4050400</v>
      </c>
      <c r="G49" s="30">
        <v>7034100</v>
      </c>
    </row>
    <row r="50" spans="1:7" x14ac:dyDescent="0.2">
      <c r="A50" s="15" t="s">
        <v>70</v>
      </c>
      <c r="B50" s="15">
        <v>0</v>
      </c>
      <c r="C50" s="29" t="s">
        <v>82</v>
      </c>
      <c r="D50" s="30">
        <v>144500</v>
      </c>
      <c r="E50" s="30">
        <v>8200</v>
      </c>
      <c r="F50" s="30">
        <v>68881100</v>
      </c>
      <c r="G50" s="30">
        <v>115571500</v>
      </c>
    </row>
    <row r="51" spans="1:7" x14ac:dyDescent="0.2">
      <c r="A51" s="15" t="s">
        <v>71</v>
      </c>
      <c r="B51" s="15">
        <v>0</v>
      </c>
      <c r="C51" s="29" t="s">
        <v>82</v>
      </c>
      <c r="D51" s="30">
        <v>74700</v>
      </c>
      <c r="E51" s="30">
        <v>4500</v>
      </c>
      <c r="F51" s="30">
        <v>37059200</v>
      </c>
      <c r="G51" s="30">
        <v>61586100</v>
      </c>
    </row>
    <row r="52" spans="1:7" x14ac:dyDescent="0.2">
      <c r="A52" s="15" t="s">
        <v>72</v>
      </c>
      <c r="B52" s="15">
        <v>0</v>
      </c>
      <c r="C52" s="29" t="s">
        <v>82</v>
      </c>
      <c r="D52" s="30">
        <v>35200</v>
      </c>
      <c r="E52" s="30">
        <v>1300</v>
      </c>
      <c r="F52" s="30">
        <v>10902600</v>
      </c>
      <c r="G52" s="30">
        <v>17903900</v>
      </c>
    </row>
    <row r="53" spans="1:7" x14ac:dyDescent="0.2">
      <c r="A53" s="15" t="s">
        <v>73</v>
      </c>
      <c r="B53" s="15">
        <v>0</v>
      </c>
      <c r="C53" s="29" t="s">
        <v>82</v>
      </c>
      <c r="D53" s="30">
        <v>85400</v>
      </c>
      <c r="E53" s="30">
        <v>4800</v>
      </c>
      <c r="F53" s="30">
        <v>35457200</v>
      </c>
      <c r="G53" s="30">
        <v>57508700</v>
      </c>
    </row>
    <row r="54" spans="1:7" x14ac:dyDescent="0.2">
      <c r="A54" s="15" t="s">
        <v>74</v>
      </c>
      <c r="B54" s="15">
        <v>0</v>
      </c>
      <c r="C54" s="29" t="s">
        <v>82</v>
      </c>
      <c r="D54" s="30">
        <v>9400</v>
      </c>
      <c r="E54" s="30">
        <v>600</v>
      </c>
      <c r="F54" s="30">
        <v>4817800</v>
      </c>
      <c r="G54" s="30">
        <v>7289000</v>
      </c>
    </row>
    <row r="55" spans="1:7" s="31" customFormat="1" ht="15" x14ac:dyDescent="0.25">
      <c r="A55" s="31" t="s">
        <v>24</v>
      </c>
      <c r="B55" s="31">
        <v>0</v>
      </c>
      <c r="C55" s="31" t="s">
        <v>83</v>
      </c>
      <c r="D55" s="32">
        <v>51100</v>
      </c>
      <c r="E55" s="32">
        <v>3400</v>
      </c>
      <c r="F55" s="32">
        <v>29152100</v>
      </c>
      <c r="G55" s="32">
        <v>50804300</v>
      </c>
    </row>
    <row r="56" spans="1:7" x14ac:dyDescent="0.2">
      <c r="A56" s="15" t="s">
        <v>25</v>
      </c>
      <c r="B56" s="15">
        <v>0</v>
      </c>
      <c r="C56" s="15" t="s">
        <v>83</v>
      </c>
      <c r="D56" s="30">
        <v>5900</v>
      </c>
      <c r="E56" s="30">
        <v>500</v>
      </c>
      <c r="F56" s="30">
        <v>3947500</v>
      </c>
      <c r="G56" s="30">
        <v>6328100</v>
      </c>
    </row>
    <row r="57" spans="1:7" x14ac:dyDescent="0.2">
      <c r="A57" s="15" t="s">
        <v>26</v>
      </c>
      <c r="B57" s="15">
        <v>0</v>
      </c>
      <c r="C57" s="15" t="s">
        <v>83</v>
      </c>
      <c r="D57" s="30">
        <v>49100</v>
      </c>
      <c r="E57" s="30">
        <v>3000</v>
      </c>
      <c r="F57" s="30">
        <v>22064700</v>
      </c>
      <c r="G57" s="30">
        <v>36278600</v>
      </c>
    </row>
    <row r="58" spans="1:7" x14ac:dyDescent="0.2">
      <c r="A58" s="15" t="s">
        <v>27</v>
      </c>
      <c r="B58" s="15">
        <v>0</v>
      </c>
      <c r="C58" s="15" t="s">
        <v>83</v>
      </c>
      <c r="D58" s="30">
        <v>25200</v>
      </c>
      <c r="E58" s="30">
        <v>2000</v>
      </c>
      <c r="F58" s="30">
        <v>17628400</v>
      </c>
      <c r="G58" s="30">
        <v>26948700</v>
      </c>
    </row>
    <row r="59" spans="1:7" x14ac:dyDescent="0.2">
      <c r="A59" s="15" t="s">
        <v>28</v>
      </c>
      <c r="B59" s="15">
        <v>1</v>
      </c>
      <c r="C59" s="29" t="s">
        <v>83</v>
      </c>
      <c r="D59" s="30">
        <v>137300</v>
      </c>
      <c r="E59" s="30">
        <v>9000</v>
      </c>
      <c r="F59" s="30">
        <v>67697600</v>
      </c>
      <c r="G59" s="30">
        <v>108794300</v>
      </c>
    </row>
    <row r="60" spans="1:7" x14ac:dyDescent="0.2">
      <c r="A60" s="15" t="s">
        <v>28</v>
      </c>
      <c r="B60" s="15">
        <v>2</v>
      </c>
      <c r="C60" s="29" t="s">
        <v>83</v>
      </c>
      <c r="D60" s="30">
        <v>167700</v>
      </c>
      <c r="E60" s="30">
        <v>11000</v>
      </c>
      <c r="F60" s="30">
        <v>82923400</v>
      </c>
      <c r="G60" s="30">
        <v>143127400</v>
      </c>
    </row>
    <row r="61" spans="1:7" x14ac:dyDescent="0.2">
      <c r="A61" s="15" t="s">
        <v>29</v>
      </c>
      <c r="B61" s="15">
        <v>0</v>
      </c>
      <c r="C61" s="15" t="s">
        <v>83</v>
      </c>
      <c r="D61" s="30">
        <v>49900</v>
      </c>
      <c r="E61" s="30">
        <v>3900</v>
      </c>
      <c r="F61" s="30">
        <v>30975200</v>
      </c>
      <c r="G61" s="30">
        <v>49944500</v>
      </c>
    </row>
    <row r="62" spans="1:7" x14ac:dyDescent="0.2">
      <c r="A62" s="15" t="s">
        <v>30</v>
      </c>
      <c r="B62" s="15">
        <v>0</v>
      </c>
      <c r="C62" s="15" t="s">
        <v>83</v>
      </c>
      <c r="D62" s="30">
        <v>33500</v>
      </c>
      <c r="E62" s="30">
        <v>2000</v>
      </c>
      <c r="F62" s="30">
        <v>16733400</v>
      </c>
      <c r="G62" s="30">
        <v>29114100</v>
      </c>
    </row>
    <row r="63" spans="1:7" x14ac:dyDescent="0.2">
      <c r="A63" s="15" t="s">
        <v>31</v>
      </c>
      <c r="B63" s="15">
        <v>0</v>
      </c>
      <c r="C63" s="15" t="s">
        <v>83</v>
      </c>
      <c r="D63" s="30">
        <v>8600</v>
      </c>
      <c r="E63" s="30">
        <v>600</v>
      </c>
      <c r="F63" s="30">
        <v>4763200</v>
      </c>
      <c r="G63" s="30">
        <v>7520200</v>
      </c>
    </row>
    <row r="64" spans="1:7" x14ac:dyDescent="0.2">
      <c r="A64" s="15" t="s">
        <v>32</v>
      </c>
      <c r="B64" s="15">
        <v>0</v>
      </c>
      <c r="C64" s="15" t="s">
        <v>83</v>
      </c>
      <c r="D64" s="30">
        <v>7000</v>
      </c>
      <c r="E64" s="30">
        <v>500</v>
      </c>
      <c r="F64" s="30">
        <v>3919700</v>
      </c>
      <c r="G64" s="30">
        <v>6358000</v>
      </c>
    </row>
    <row r="65" spans="1:7" x14ac:dyDescent="0.2">
      <c r="A65" s="15" t="s">
        <v>33</v>
      </c>
      <c r="B65" s="15">
        <v>0</v>
      </c>
      <c r="C65" s="15" t="s">
        <v>83</v>
      </c>
      <c r="D65" s="30">
        <v>151500</v>
      </c>
      <c r="E65" s="30">
        <v>11200</v>
      </c>
      <c r="F65" s="30">
        <v>91588000</v>
      </c>
      <c r="G65" s="30">
        <v>141181700</v>
      </c>
    </row>
    <row r="66" spans="1:7" x14ac:dyDescent="0.2">
      <c r="A66" s="15" t="s">
        <v>34</v>
      </c>
      <c r="B66" s="15">
        <v>0</v>
      </c>
      <c r="C66" s="15" t="s">
        <v>83</v>
      </c>
      <c r="D66" s="30">
        <v>94700</v>
      </c>
      <c r="E66" s="30">
        <v>6800</v>
      </c>
      <c r="F66" s="30">
        <v>49200800</v>
      </c>
      <c r="G66" s="30">
        <v>90665600</v>
      </c>
    </row>
    <row r="67" spans="1:7" x14ac:dyDescent="0.2">
      <c r="A67" s="15" t="s">
        <v>35</v>
      </c>
      <c r="B67" s="15">
        <v>0</v>
      </c>
      <c r="C67" s="15" t="s">
        <v>83</v>
      </c>
      <c r="D67" s="30">
        <v>8000</v>
      </c>
      <c r="E67" s="30">
        <v>600</v>
      </c>
      <c r="F67" s="30">
        <v>4864200</v>
      </c>
      <c r="G67" s="30">
        <v>8704600</v>
      </c>
    </row>
    <row r="68" spans="1:7" x14ac:dyDescent="0.2">
      <c r="A68" s="15" t="s">
        <v>36</v>
      </c>
      <c r="B68" s="15">
        <v>0</v>
      </c>
      <c r="C68" s="15" t="s">
        <v>83</v>
      </c>
      <c r="D68" s="30">
        <v>14200</v>
      </c>
      <c r="E68" s="30">
        <v>1100</v>
      </c>
      <c r="F68" s="30">
        <v>9132300</v>
      </c>
      <c r="G68" s="30">
        <v>15650500</v>
      </c>
    </row>
    <row r="69" spans="1:7" x14ac:dyDescent="0.2">
      <c r="A69" s="15" t="s">
        <v>37</v>
      </c>
      <c r="B69" s="15">
        <v>0</v>
      </c>
      <c r="C69" s="15" t="s">
        <v>83</v>
      </c>
      <c r="D69" s="30">
        <v>99600</v>
      </c>
      <c r="E69" s="30">
        <v>7800</v>
      </c>
      <c r="F69" s="30">
        <v>61687800</v>
      </c>
      <c r="G69" s="30">
        <v>112287800</v>
      </c>
    </row>
    <row r="70" spans="1:7" x14ac:dyDescent="0.2">
      <c r="A70" s="15" t="s">
        <v>38</v>
      </c>
      <c r="B70" s="15">
        <v>0</v>
      </c>
      <c r="C70" s="15" t="s">
        <v>83</v>
      </c>
      <c r="D70" s="30">
        <v>73900</v>
      </c>
      <c r="E70" s="30">
        <v>4300</v>
      </c>
      <c r="F70" s="30">
        <v>33188500</v>
      </c>
      <c r="G70" s="30">
        <v>62296800</v>
      </c>
    </row>
    <row r="71" spans="1:7" x14ac:dyDescent="0.2">
      <c r="A71" s="15" t="s">
        <v>39</v>
      </c>
      <c r="B71" s="15">
        <v>0</v>
      </c>
      <c r="C71" s="15" t="s">
        <v>83</v>
      </c>
      <c r="D71" s="30">
        <v>18600</v>
      </c>
      <c r="E71" s="30">
        <v>1200</v>
      </c>
      <c r="F71" s="30">
        <v>9828800</v>
      </c>
      <c r="G71" s="30">
        <v>17212000</v>
      </c>
    </row>
    <row r="72" spans="1:7" x14ac:dyDescent="0.2">
      <c r="A72" s="15" t="s">
        <v>40</v>
      </c>
      <c r="B72" s="15">
        <v>0</v>
      </c>
      <c r="C72" s="15" t="s">
        <v>83</v>
      </c>
      <c r="D72" s="30">
        <v>23000</v>
      </c>
      <c r="E72" s="30">
        <v>1700</v>
      </c>
      <c r="F72" s="30">
        <v>15085700</v>
      </c>
      <c r="G72" s="30">
        <v>24558300</v>
      </c>
    </row>
    <row r="73" spans="1:7" x14ac:dyDescent="0.2">
      <c r="A73" s="15" t="s">
        <v>41</v>
      </c>
      <c r="B73" s="15">
        <v>0</v>
      </c>
      <c r="C73" s="15" t="s">
        <v>83</v>
      </c>
      <c r="D73" s="30">
        <v>24900</v>
      </c>
      <c r="E73" s="30">
        <v>2200</v>
      </c>
      <c r="F73" s="30">
        <v>16911500</v>
      </c>
      <c r="G73" s="30">
        <v>26065900</v>
      </c>
    </row>
    <row r="74" spans="1:7" x14ac:dyDescent="0.2">
      <c r="A74" s="15" t="s">
        <v>42</v>
      </c>
      <c r="B74" s="15">
        <v>0</v>
      </c>
      <c r="C74" s="15" t="s">
        <v>83</v>
      </c>
      <c r="D74" s="30">
        <v>34900</v>
      </c>
      <c r="E74" s="30">
        <v>2000</v>
      </c>
      <c r="F74" s="30">
        <v>17186300</v>
      </c>
      <c r="G74" s="30">
        <v>27931800</v>
      </c>
    </row>
    <row r="75" spans="1:7" x14ac:dyDescent="0.2">
      <c r="A75" s="15" t="s">
        <v>43</v>
      </c>
      <c r="B75" s="15">
        <v>0</v>
      </c>
      <c r="C75" s="15" t="s">
        <v>83</v>
      </c>
      <c r="D75" s="30">
        <v>14400</v>
      </c>
      <c r="E75" s="30">
        <v>1000</v>
      </c>
      <c r="F75" s="30">
        <v>7663000</v>
      </c>
      <c r="G75" s="30">
        <v>13310800</v>
      </c>
    </row>
    <row r="76" spans="1:7" x14ac:dyDescent="0.2">
      <c r="A76" s="15" t="s">
        <v>44</v>
      </c>
      <c r="B76" s="15">
        <v>0</v>
      </c>
      <c r="C76" s="15" t="s">
        <v>83</v>
      </c>
      <c r="D76" s="30">
        <v>51900</v>
      </c>
      <c r="E76" s="30">
        <v>4300</v>
      </c>
      <c r="F76" s="30">
        <v>34159000</v>
      </c>
      <c r="G76" s="30">
        <v>57649100</v>
      </c>
    </row>
    <row r="77" spans="1:7" x14ac:dyDescent="0.2">
      <c r="A77" s="15" t="s">
        <v>45</v>
      </c>
      <c r="B77" s="15">
        <v>0</v>
      </c>
      <c r="C77" s="15" t="s">
        <v>83</v>
      </c>
      <c r="D77" s="30">
        <v>66600</v>
      </c>
      <c r="E77" s="30">
        <v>4800</v>
      </c>
      <c r="F77" s="30">
        <v>39782500</v>
      </c>
      <c r="G77" s="30">
        <v>64769400</v>
      </c>
    </row>
    <row r="78" spans="1:7" x14ac:dyDescent="0.2">
      <c r="A78" s="15" t="s">
        <v>46</v>
      </c>
      <c r="B78" s="15">
        <v>0</v>
      </c>
      <c r="C78" s="15" t="s">
        <v>83</v>
      </c>
      <c r="D78" s="30">
        <v>56700</v>
      </c>
      <c r="E78" s="30">
        <v>5200</v>
      </c>
      <c r="F78" s="30">
        <v>42469700</v>
      </c>
      <c r="G78" s="30">
        <v>69077900</v>
      </c>
    </row>
    <row r="79" spans="1:7" x14ac:dyDescent="0.2">
      <c r="A79" s="15" t="s">
        <v>47</v>
      </c>
      <c r="B79" s="15">
        <v>0</v>
      </c>
      <c r="C79" s="15" t="s">
        <v>83</v>
      </c>
      <c r="D79" s="30">
        <v>46100</v>
      </c>
      <c r="E79" s="30">
        <v>4100</v>
      </c>
      <c r="F79" s="30">
        <v>31979800</v>
      </c>
      <c r="G79" s="30">
        <v>50053800</v>
      </c>
    </row>
    <row r="80" spans="1:7" x14ac:dyDescent="0.2">
      <c r="A80" s="15" t="s">
        <v>48</v>
      </c>
      <c r="B80" s="15">
        <v>0</v>
      </c>
      <c r="C80" s="15" t="s">
        <v>83</v>
      </c>
      <c r="D80" s="30">
        <v>24900</v>
      </c>
      <c r="E80" s="30">
        <v>2200</v>
      </c>
      <c r="F80" s="30">
        <v>18352300</v>
      </c>
      <c r="G80" s="30">
        <v>30279300</v>
      </c>
    </row>
    <row r="81" spans="1:7" x14ac:dyDescent="0.2">
      <c r="A81" s="15" t="s">
        <v>49</v>
      </c>
      <c r="B81" s="15">
        <v>0</v>
      </c>
      <c r="C81" s="15" t="s">
        <v>83</v>
      </c>
      <c r="D81" s="30">
        <v>51000</v>
      </c>
      <c r="E81" s="30">
        <v>4100</v>
      </c>
      <c r="F81" s="30">
        <v>31386900</v>
      </c>
      <c r="G81" s="30">
        <v>55197100</v>
      </c>
    </row>
    <row r="82" spans="1:7" x14ac:dyDescent="0.2">
      <c r="A82" s="15" t="s">
        <v>50</v>
      </c>
      <c r="B82" s="15">
        <v>0</v>
      </c>
      <c r="C82" s="15" t="s">
        <v>83</v>
      </c>
      <c r="D82" s="30">
        <v>9200</v>
      </c>
      <c r="E82" s="30">
        <v>600</v>
      </c>
      <c r="F82" s="30">
        <v>5135400</v>
      </c>
      <c r="G82" s="30">
        <v>9039000</v>
      </c>
    </row>
    <row r="83" spans="1:7" x14ac:dyDescent="0.2">
      <c r="A83" s="15" t="s">
        <v>51</v>
      </c>
      <c r="B83" s="15">
        <v>0</v>
      </c>
      <c r="C83" s="15" t="s">
        <v>83</v>
      </c>
      <c r="D83" s="30">
        <v>21100</v>
      </c>
      <c r="E83" s="30">
        <v>1900</v>
      </c>
      <c r="F83" s="30">
        <v>16967500</v>
      </c>
      <c r="G83" s="30">
        <v>27667000</v>
      </c>
    </row>
    <row r="84" spans="1:7" x14ac:dyDescent="0.2">
      <c r="A84" s="15" t="s">
        <v>52</v>
      </c>
      <c r="B84" s="15">
        <v>0</v>
      </c>
      <c r="C84" s="15" t="s">
        <v>83</v>
      </c>
      <c r="D84" s="30">
        <v>23000</v>
      </c>
      <c r="E84" s="30">
        <v>1600</v>
      </c>
      <c r="F84" s="30">
        <v>12961000</v>
      </c>
      <c r="G84" s="30">
        <v>22176700</v>
      </c>
    </row>
    <row r="85" spans="1:7" x14ac:dyDescent="0.2">
      <c r="A85" s="15" t="s">
        <v>53</v>
      </c>
      <c r="B85" s="15">
        <v>0</v>
      </c>
      <c r="C85" s="15" t="s">
        <v>83</v>
      </c>
      <c r="D85" s="30">
        <v>11900</v>
      </c>
      <c r="E85" s="30">
        <v>900</v>
      </c>
      <c r="F85" s="30">
        <v>6923700</v>
      </c>
      <c r="G85" s="30">
        <v>11516800</v>
      </c>
    </row>
    <row r="86" spans="1:7" x14ac:dyDescent="0.2">
      <c r="A86" s="15" t="s">
        <v>54</v>
      </c>
      <c r="B86" s="15">
        <v>0</v>
      </c>
      <c r="C86" s="15" t="s">
        <v>83</v>
      </c>
      <c r="D86" s="30">
        <v>70300</v>
      </c>
      <c r="E86" s="30">
        <v>3900</v>
      </c>
      <c r="F86" s="30">
        <v>29956300</v>
      </c>
      <c r="G86" s="30">
        <v>54238700</v>
      </c>
    </row>
    <row r="87" spans="1:7" x14ac:dyDescent="0.2">
      <c r="A87" s="15" t="s">
        <v>55</v>
      </c>
      <c r="B87" s="15">
        <v>0</v>
      </c>
      <c r="C87" s="15" t="s">
        <v>83</v>
      </c>
      <c r="D87" s="30">
        <v>21200</v>
      </c>
      <c r="E87" s="30">
        <v>1800</v>
      </c>
      <c r="F87" s="30">
        <v>14268200</v>
      </c>
      <c r="G87" s="30">
        <v>23802700</v>
      </c>
    </row>
    <row r="88" spans="1:7" x14ac:dyDescent="0.2">
      <c r="A88" s="15" t="s">
        <v>56</v>
      </c>
      <c r="B88" s="15">
        <v>0</v>
      </c>
      <c r="C88" s="15" t="s">
        <v>83</v>
      </c>
      <c r="D88" s="30">
        <v>169300</v>
      </c>
      <c r="E88" s="30">
        <v>11700</v>
      </c>
      <c r="F88" s="30">
        <v>100316700</v>
      </c>
      <c r="G88" s="30">
        <v>148944400</v>
      </c>
    </row>
    <row r="89" spans="1:7" x14ac:dyDescent="0.2">
      <c r="A89" s="15" t="s">
        <v>57</v>
      </c>
      <c r="B89" s="15">
        <v>0</v>
      </c>
      <c r="C89" s="15" t="s">
        <v>83</v>
      </c>
      <c r="D89" s="30">
        <v>71200</v>
      </c>
      <c r="E89" s="30">
        <v>5900</v>
      </c>
      <c r="F89" s="30">
        <v>51518700</v>
      </c>
      <c r="G89" s="30">
        <v>84234200</v>
      </c>
    </row>
    <row r="90" spans="1:7" x14ac:dyDescent="0.2">
      <c r="A90" s="15" t="s">
        <v>58</v>
      </c>
      <c r="B90" s="15">
        <v>0</v>
      </c>
      <c r="C90" s="15" t="s">
        <v>83</v>
      </c>
      <c r="D90" s="30">
        <v>8000</v>
      </c>
      <c r="E90" s="30">
        <v>600</v>
      </c>
      <c r="F90" s="30">
        <v>4813100</v>
      </c>
      <c r="G90" s="30">
        <v>8097600</v>
      </c>
    </row>
    <row r="91" spans="1:7" x14ac:dyDescent="0.2">
      <c r="A91" s="15" t="s">
        <v>59</v>
      </c>
      <c r="B91" s="15">
        <v>0</v>
      </c>
      <c r="C91" s="15" t="s">
        <v>83</v>
      </c>
      <c r="D91" s="30">
        <v>92000</v>
      </c>
      <c r="E91" s="30">
        <v>7200</v>
      </c>
      <c r="F91" s="30">
        <v>56725100</v>
      </c>
      <c r="G91" s="30">
        <v>92015900</v>
      </c>
    </row>
    <row r="92" spans="1:7" x14ac:dyDescent="0.2">
      <c r="A92" s="15" t="s">
        <v>60</v>
      </c>
      <c r="B92" s="15">
        <v>0</v>
      </c>
      <c r="C92" s="15" t="s">
        <v>83</v>
      </c>
      <c r="D92" s="30">
        <v>32500</v>
      </c>
      <c r="E92" s="30">
        <v>2300</v>
      </c>
      <c r="F92" s="30">
        <v>18093600</v>
      </c>
      <c r="G92" s="30">
        <v>30719800</v>
      </c>
    </row>
    <row r="93" spans="1:7" x14ac:dyDescent="0.2">
      <c r="A93" s="15" t="s">
        <v>61</v>
      </c>
      <c r="B93" s="15">
        <v>0</v>
      </c>
      <c r="C93" s="15" t="s">
        <v>83</v>
      </c>
      <c r="D93" s="30">
        <v>34900</v>
      </c>
      <c r="E93" s="30">
        <v>3500</v>
      </c>
      <c r="F93" s="30">
        <v>27415100</v>
      </c>
      <c r="G93" s="30">
        <v>43977000</v>
      </c>
    </row>
    <row r="94" spans="1:7" x14ac:dyDescent="0.2">
      <c r="A94" s="15" t="s">
        <v>62</v>
      </c>
      <c r="B94" s="15">
        <v>0</v>
      </c>
      <c r="C94" s="15" t="s">
        <v>83</v>
      </c>
      <c r="D94" s="30">
        <v>89900</v>
      </c>
      <c r="E94" s="30">
        <v>7300</v>
      </c>
      <c r="F94" s="30">
        <v>54097000</v>
      </c>
      <c r="G94" s="30">
        <v>89351300</v>
      </c>
    </row>
    <row r="95" spans="1:7" x14ac:dyDescent="0.2">
      <c r="A95" s="15" t="s">
        <v>63</v>
      </c>
      <c r="B95" s="15">
        <v>0</v>
      </c>
      <c r="C95" s="15" t="s">
        <v>83</v>
      </c>
      <c r="D95" s="30">
        <v>6900</v>
      </c>
      <c r="E95" s="30">
        <v>500</v>
      </c>
      <c r="F95" s="30">
        <v>4276200</v>
      </c>
      <c r="G95" s="30">
        <v>7855600</v>
      </c>
    </row>
    <row r="96" spans="1:7" x14ac:dyDescent="0.2">
      <c r="A96" s="15" t="s">
        <v>64</v>
      </c>
      <c r="B96" s="15">
        <v>0</v>
      </c>
      <c r="C96" s="15" t="s">
        <v>83</v>
      </c>
      <c r="D96" s="30">
        <v>31500</v>
      </c>
      <c r="E96" s="30">
        <v>2200</v>
      </c>
      <c r="F96" s="30">
        <v>17994900</v>
      </c>
      <c r="G96" s="30">
        <v>31397700</v>
      </c>
    </row>
    <row r="97" spans="1:7" x14ac:dyDescent="0.2">
      <c r="A97" s="15" t="s">
        <v>65</v>
      </c>
      <c r="B97" s="15">
        <v>0</v>
      </c>
      <c r="C97" s="15" t="s">
        <v>83</v>
      </c>
      <c r="D97" s="30">
        <v>6700</v>
      </c>
      <c r="E97" s="30">
        <v>600</v>
      </c>
      <c r="F97" s="30">
        <v>4981900</v>
      </c>
      <c r="G97" s="30">
        <v>8794000</v>
      </c>
    </row>
    <row r="98" spans="1:7" x14ac:dyDescent="0.2">
      <c r="A98" s="15" t="s">
        <v>66</v>
      </c>
      <c r="B98" s="15">
        <v>0</v>
      </c>
      <c r="C98" s="15" t="s">
        <v>83</v>
      </c>
      <c r="D98" s="30">
        <v>55100</v>
      </c>
      <c r="E98" s="30">
        <v>3500</v>
      </c>
      <c r="F98" s="30">
        <v>27713200</v>
      </c>
      <c r="G98" s="30">
        <v>47007500</v>
      </c>
    </row>
    <row r="99" spans="1:7" x14ac:dyDescent="0.2">
      <c r="A99" s="15" t="s">
        <v>67</v>
      </c>
      <c r="B99" s="15">
        <v>1</v>
      </c>
      <c r="C99" s="29" t="s">
        <v>83</v>
      </c>
      <c r="D99" s="30">
        <v>94400</v>
      </c>
      <c r="E99" s="30">
        <v>7100</v>
      </c>
      <c r="F99" s="30">
        <v>58951600</v>
      </c>
      <c r="G99" s="30">
        <v>96772700</v>
      </c>
    </row>
    <row r="100" spans="1:7" x14ac:dyDescent="0.2">
      <c r="A100" s="15" t="s">
        <v>67</v>
      </c>
      <c r="B100" s="15">
        <v>2</v>
      </c>
      <c r="C100" s="29" t="s">
        <v>83</v>
      </c>
      <c r="D100" s="30">
        <v>63000</v>
      </c>
      <c r="E100" s="30">
        <v>4700</v>
      </c>
      <c r="F100" s="30">
        <v>35654500</v>
      </c>
      <c r="G100" s="30">
        <v>56524000</v>
      </c>
    </row>
    <row r="101" spans="1:7" x14ac:dyDescent="0.2">
      <c r="A101" s="15" t="s">
        <v>68</v>
      </c>
      <c r="B101" s="15">
        <v>0</v>
      </c>
      <c r="C101" s="15" t="s">
        <v>83</v>
      </c>
      <c r="D101" s="30">
        <v>15400</v>
      </c>
      <c r="E101" s="30">
        <v>1300</v>
      </c>
      <c r="F101" s="30">
        <v>10248000</v>
      </c>
      <c r="G101" s="30">
        <v>17492100</v>
      </c>
    </row>
    <row r="102" spans="1:7" x14ac:dyDescent="0.2">
      <c r="A102" s="15" t="s">
        <v>69</v>
      </c>
      <c r="B102" s="15">
        <v>0</v>
      </c>
      <c r="C102" s="15" t="s">
        <v>83</v>
      </c>
      <c r="D102" s="30">
        <v>7000</v>
      </c>
      <c r="E102" s="30">
        <v>400</v>
      </c>
      <c r="F102" s="30">
        <v>3310700</v>
      </c>
      <c r="G102" s="30">
        <v>5235100</v>
      </c>
    </row>
    <row r="103" spans="1:7" x14ac:dyDescent="0.2">
      <c r="A103" s="15" t="s">
        <v>70</v>
      </c>
      <c r="B103" s="15">
        <v>0</v>
      </c>
      <c r="C103" s="15" t="s">
        <v>83</v>
      </c>
      <c r="D103" s="30">
        <v>61400</v>
      </c>
      <c r="E103" s="30">
        <v>5500</v>
      </c>
      <c r="F103" s="30">
        <v>45944200</v>
      </c>
      <c r="G103" s="30">
        <v>74849500</v>
      </c>
    </row>
    <row r="104" spans="1:7" x14ac:dyDescent="0.2">
      <c r="A104" s="15" t="s">
        <v>71</v>
      </c>
      <c r="B104" s="15">
        <v>0</v>
      </c>
      <c r="C104" s="15" t="s">
        <v>83</v>
      </c>
      <c r="D104" s="30">
        <v>39500</v>
      </c>
      <c r="E104" s="30">
        <v>3000</v>
      </c>
      <c r="F104" s="30">
        <v>25324100</v>
      </c>
      <c r="G104" s="30">
        <v>41484900</v>
      </c>
    </row>
    <row r="105" spans="1:7" x14ac:dyDescent="0.2">
      <c r="A105" s="15" t="s">
        <v>72</v>
      </c>
      <c r="B105" s="15">
        <v>0</v>
      </c>
      <c r="C105" s="15" t="s">
        <v>83</v>
      </c>
      <c r="D105" s="30">
        <v>17900</v>
      </c>
      <c r="E105" s="30">
        <v>1000</v>
      </c>
      <c r="F105" s="30">
        <v>7582600</v>
      </c>
      <c r="G105" s="30">
        <v>12215800</v>
      </c>
    </row>
    <row r="106" spans="1:7" x14ac:dyDescent="0.2">
      <c r="A106" s="15" t="s">
        <v>73</v>
      </c>
      <c r="B106" s="15">
        <v>0</v>
      </c>
      <c r="C106" s="15" t="s">
        <v>83</v>
      </c>
      <c r="D106" s="30">
        <v>43700</v>
      </c>
      <c r="E106" s="30">
        <v>3700</v>
      </c>
      <c r="F106" s="30">
        <v>26598100</v>
      </c>
      <c r="G106" s="30">
        <v>45890600</v>
      </c>
    </row>
    <row r="107" spans="1:7" x14ac:dyDescent="0.2">
      <c r="A107" s="15" t="s">
        <v>74</v>
      </c>
      <c r="B107" s="15">
        <v>0</v>
      </c>
      <c r="C107" s="15" t="s">
        <v>83</v>
      </c>
      <c r="D107" s="30">
        <v>4600</v>
      </c>
      <c r="E107" s="30">
        <v>400</v>
      </c>
      <c r="F107" s="30">
        <v>3370000</v>
      </c>
      <c r="G107" s="30">
        <v>5536800</v>
      </c>
    </row>
    <row r="108" spans="1:7" s="31" customFormat="1" ht="15" x14ac:dyDescent="0.25">
      <c r="A108" s="31" t="s">
        <v>24</v>
      </c>
      <c r="B108" s="31">
        <v>0</v>
      </c>
      <c r="C108" s="33" t="s">
        <v>84</v>
      </c>
      <c r="D108" s="32">
        <v>79100</v>
      </c>
      <c r="E108" s="32">
        <v>3100</v>
      </c>
      <c r="F108" s="32">
        <v>26463900</v>
      </c>
      <c r="G108" s="32">
        <v>44597000</v>
      </c>
    </row>
    <row r="109" spans="1:7" x14ac:dyDescent="0.2">
      <c r="A109" s="15" t="s">
        <v>25</v>
      </c>
      <c r="B109" s="15">
        <v>0</v>
      </c>
      <c r="C109" s="29" t="s">
        <v>84</v>
      </c>
      <c r="D109" s="30">
        <v>10000</v>
      </c>
      <c r="E109" s="30">
        <v>400</v>
      </c>
      <c r="F109" s="30">
        <v>3389200</v>
      </c>
      <c r="G109" s="30">
        <v>5692000</v>
      </c>
    </row>
    <row r="110" spans="1:7" x14ac:dyDescent="0.2">
      <c r="A110" s="15" t="s">
        <v>26</v>
      </c>
      <c r="B110" s="15">
        <v>0</v>
      </c>
      <c r="C110" s="29" t="s">
        <v>84</v>
      </c>
      <c r="D110" s="30">
        <v>79900</v>
      </c>
      <c r="E110" s="30">
        <v>4700</v>
      </c>
      <c r="F110" s="30">
        <v>39597100</v>
      </c>
      <c r="G110" s="30">
        <v>69176300</v>
      </c>
    </row>
    <row r="111" spans="1:7" x14ac:dyDescent="0.2">
      <c r="A111" s="15" t="s">
        <v>27</v>
      </c>
      <c r="B111" s="15">
        <v>0</v>
      </c>
      <c r="C111" s="29" t="s">
        <v>84</v>
      </c>
      <c r="D111" s="30">
        <v>37700</v>
      </c>
      <c r="E111" s="30">
        <v>2100</v>
      </c>
      <c r="F111" s="30">
        <v>18101800</v>
      </c>
      <c r="G111" s="30">
        <v>30819400</v>
      </c>
    </row>
    <row r="112" spans="1:7" x14ac:dyDescent="0.2">
      <c r="A112" s="15" t="s">
        <v>28</v>
      </c>
      <c r="B112" s="15">
        <v>1</v>
      </c>
      <c r="C112" s="29" t="s">
        <v>84</v>
      </c>
      <c r="D112" s="30">
        <v>232000</v>
      </c>
      <c r="E112" s="30">
        <v>10000</v>
      </c>
      <c r="F112" s="30">
        <v>89111400</v>
      </c>
      <c r="G112" s="30">
        <v>154430200</v>
      </c>
    </row>
    <row r="113" spans="1:7" x14ac:dyDescent="0.2">
      <c r="A113" s="15" t="s">
        <v>28</v>
      </c>
      <c r="B113" s="15">
        <v>2</v>
      </c>
      <c r="C113" s="29" t="s">
        <v>84</v>
      </c>
      <c r="D113" s="30">
        <v>283600</v>
      </c>
      <c r="E113" s="30">
        <v>12300</v>
      </c>
      <c r="F113" s="30">
        <v>98718700</v>
      </c>
      <c r="G113" s="30">
        <v>151412400</v>
      </c>
    </row>
    <row r="114" spans="1:7" x14ac:dyDescent="0.2">
      <c r="A114" s="15" t="s">
        <v>29</v>
      </c>
      <c r="B114" s="15">
        <v>0</v>
      </c>
      <c r="C114" s="29" t="s">
        <v>84</v>
      </c>
      <c r="D114" s="30">
        <v>70000</v>
      </c>
      <c r="E114" s="30">
        <v>1800</v>
      </c>
      <c r="F114" s="30">
        <v>15362300</v>
      </c>
      <c r="G114" s="30">
        <v>28141600</v>
      </c>
    </row>
    <row r="115" spans="1:7" x14ac:dyDescent="0.2">
      <c r="A115" s="15" t="s">
        <v>30</v>
      </c>
      <c r="B115" s="15">
        <v>0</v>
      </c>
      <c r="C115" s="29" t="s">
        <v>84</v>
      </c>
      <c r="D115" s="30">
        <v>42300</v>
      </c>
      <c r="E115" s="30">
        <v>1500</v>
      </c>
      <c r="F115" s="30">
        <v>14172700</v>
      </c>
      <c r="G115" s="30">
        <v>24300800</v>
      </c>
    </row>
    <row r="116" spans="1:7" x14ac:dyDescent="0.2">
      <c r="A116" s="15" t="s">
        <v>31</v>
      </c>
      <c r="B116" s="15">
        <v>0</v>
      </c>
      <c r="C116" s="29" t="s">
        <v>84</v>
      </c>
      <c r="D116" s="30">
        <v>15900</v>
      </c>
      <c r="E116" s="30">
        <v>500</v>
      </c>
      <c r="F116" s="30">
        <v>4293400</v>
      </c>
      <c r="G116" s="30">
        <v>7719200</v>
      </c>
    </row>
    <row r="117" spans="1:7" x14ac:dyDescent="0.2">
      <c r="A117" s="15" t="s">
        <v>32</v>
      </c>
      <c r="B117" s="15">
        <v>0</v>
      </c>
      <c r="C117" s="29" t="s">
        <v>84</v>
      </c>
      <c r="D117" s="30">
        <v>8300</v>
      </c>
      <c r="E117" s="30">
        <v>400</v>
      </c>
      <c r="F117" s="30">
        <v>3410800</v>
      </c>
      <c r="G117" s="30">
        <v>6000400</v>
      </c>
    </row>
    <row r="118" spans="1:7" x14ac:dyDescent="0.2">
      <c r="A118" s="15" t="s">
        <v>33</v>
      </c>
      <c r="B118" s="15">
        <v>0</v>
      </c>
      <c r="C118" s="29" t="s">
        <v>84</v>
      </c>
      <c r="D118" s="30">
        <v>204100</v>
      </c>
      <c r="E118" s="30">
        <v>7000</v>
      </c>
      <c r="F118" s="30">
        <v>57515400</v>
      </c>
      <c r="G118" s="30">
        <v>96674600</v>
      </c>
    </row>
    <row r="119" spans="1:7" x14ac:dyDescent="0.2">
      <c r="A119" s="15" t="s">
        <v>34</v>
      </c>
      <c r="B119" s="15">
        <v>0</v>
      </c>
      <c r="C119" s="29" t="s">
        <v>84</v>
      </c>
      <c r="D119" s="30">
        <v>143300</v>
      </c>
      <c r="E119" s="30">
        <v>5700</v>
      </c>
      <c r="F119" s="30">
        <v>49856200</v>
      </c>
      <c r="G119" s="30">
        <v>83454300</v>
      </c>
    </row>
    <row r="120" spans="1:7" x14ac:dyDescent="0.2">
      <c r="A120" s="15" t="s">
        <v>35</v>
      </c>
      <c r="B120" s="15">
        <v>0</v>
      </c>
      <c r="C120" s="29" t="s">
        <v>84</v>
      </c>
      <c r="D120" s="30">
        <v>7900</v>
      </c>
      <c r="E120" s="30">
        <v>300</v>
      </c>
      <c r="F120" s="30">
        <v>2658500</v>
      </c>
      <c r="G120" s="30">
        <v>4122500</v>
      </c>
    </row>
    <row r="121" spans="1:7" x14ac:dyDescent="0.2">
      <c r="A121" s="15" t="s">
        <v>36</v>
      </c>
      <c r="B121" s="15">
        <v>0</v>
      </c>
      <c r="C121" s="29" t="s">
        <v>84</v>
      </c>
      <c r="D121" s="30">
        <v>24200</v>
      </c>
      <c r="E121" s="30">
        <v>1000</v>
      </c>
      <c r="F121" s="30">
        <v>7886000</v>
      </c>
      <c r="G121" s="30">
        <v>13245000</v>
      </c>
    </row>
    <row r="122" spans="1:7" x14ac:dyDescent="0.2">
      <c r="A122" s="15" t="s">
        <v>37</v>
      </c>
      <c r="B122" s="15">
        <v>0</v>
      </c>
      <c r="C122" s="29" t="s">
        <v>84</v>
      </c>
      <c r="D122" s="30">
        <v>128400</v>
      </c>
      <c r="E122" s="30">
        <v>4600</v>
      </c>
      <c r="F122" s="30">
        <v>39166600</v>
      </c>
      <c r="G122" s="30">
        <v>69260200</v>
      </c>
    </row>
    <row r="123" spans="1:7" x14ac:dyDescent="0.2">
      <c r="A123" s="15" t="s">
        <v>38</v>
      </c>
      <c r="B123" s="15">
        <v>0</v>
      </c>
      <c r="C123" s="29" t="s">
        <v>84</v>
      </c>
      <c r="D123" s="30">
        <v>108300</v>
      </c>
      <c r="E123" s="30">
        <v>3600</v>
      </c>
      <c r="F123" s="30">
        <v>30697900</v>
      </c>
      <c r="G123" s="30">
        <v>49817800</v>
      </c>
    </row>
    <row r="124" spans="1:7" x14ac:dyDescent="0.2">
      <c r="A124" s="15" t="s">
        <v>39</v>
      </c>
      <c r="B124" s="15">
        <v>0</v>
      </c>
      <c r="C124" s="29" t="s">
        <v>84</v>
      </c>
      <c r="D124" s="30">
        <v>25200</v>
      </c>
      <c r="E124" s="30">
        <v>500</v>
      </c>
      <c r="F124" s="30">
        <v>4208400</v>
      </c>
      <c r="G124" s="30">
        <v>6348200</v>
      </c>
    </row>
    <row r="125" spans="1:7" x14ac:dyDescent="0.2">
      <c r="A125" s="15" t="s">
        <v>40</v>
      </c>
      <c r="B125" s="15">
        <v>0</v>
      </c>
      <c r="C125" s="29" t="s">
        <v>84</v>
      </c>
      <c r="D125" s="30">
        <v>41600</v>
      </c>
      <c r="E125" s="30">
        <v>1800</v>
      </c>
      <c r="F125" s="30">
        <v>14662300</v>
      </c>
      <c r="G125" s="30">
        <v>22768900</v>
      </c>
    </row>
    <row r="126" spans="1:7" x14ac:dyDescent="0.2">
      <c r="A126" s="15" t="s">
        <v>41</v>
      </c>
      <c r="B126" s="15">
        <v>0</v>
      </c>
      <c r="C126" s="29" t="s">
        <v>84</v>
      </c>
      <c r="D126" s="30">
        <v>41400</v>
      </c>
      <c r="E126" s="30">
        <v>1600</v>
      </c>
      <c r="F126" s="30">
        <v>14819400</v>
      </c>
      <c r="G126" s="30">
        <v>24396100</v>
      </c>
    </row>
    <row r="127" spans="1:7" x14ac:dyDescent="0.2">
      <c r="A127" s="15" t="s">
        <v>42</v>
      </c>
      <c r="B127" s="15">
        <v>0</v>
      </c>
      <c r="C127" s="29" t="s">
        <v>84</v>
      </c>
      <c r="D127" s="30">
        <v>60100</v>
      </c>
      <c r="E127" s="30">
        <v>2900</v>
      </c>
      <c r="F127" s="30">
        <v>23746500</v>
      </c>
      <c r="G127" s="30">
        <v>39231600</v>
      </c>
    </row>
    <row r="128" spans="1:7" x14ac:dyDescent="0.2">
      <c r="A128" s="15" t="s">
        <v>43</v>
      </c>
      <c r="B128" s="15">
        <v>0</v>
      </c>
      <c r="C128" s="29" t="s">
        <v>84</v>
      </c>
      <c r="D128" s="30">
        <v>23400</v>
      </c>
      <c r="E128" s="30">
        <v>800</v>
      </c>
      <c r="F128" s="30">
        <v>6767400</v>
      </c>
      <c r="G128" s="30">
        <v>10396400</v>
      </c>
    </row>
    <row r="129" spans="1:7" x14ac:dyDescent="0.2">
      <c r="A129" s="15" t="s">
        <v>44</v>
      </c>
      <c r="B129" s="15">
        <v>0</v>
      </c>
      <c r="C129" s="29" t="s">
        <v>84</v>
      </c>
      <c r="D129" s="30">
        <v>64300</v>
      </c>
      <c r="E129" s="30">
        <v>1800</v>
      </c>
      <c r="F129" s="30">
        <v>13508300</v>
      </c>
      <c r="G129" s="30">
        <v>23359800</v>
      </c>
    </row>
    <row r="130" spans="1:7" x14ac:dyDescent="0.2">
      <c r="A130" s="15" t="s">
        <v>45</v>
      </c>
      <c r="B130" s="15">
        <v>0</v>
      </c>
      <c r="C130" s="29" t="s">
        <v>84</v>
      </c>
      <c r="D130" s="30">
        <v>92100</v>
      </c>
      <c r="E130" s="30">
        <v>4600</v>
      </c>
      <c r="F130" s="30">
        <v>39678200</v>
      </c>
      <c r="G130" s="30">
        <v>66324000</v>
      </c>
    </row>
    <row r="131" spans="1:7" x14ac:dyDescent="0.2">
      <c r="A131" s="15" t="s">
        <v>46</v>
      </c>
      <c r="B131" s="15">
        <v>0</v>
      </c>
      <c r="C131" s="29" t="s">
        <v>84</v>
      </c>
      <c r="D131" s="30">
        <v>85100</v>
      </c>
      <c r="E131" s="30">
        <v>3200</v>
      </c>
      <c r="F131" s="30">
        <v>26333300</v>
      </c>
      <c r="G131" s="30">
        <v>45278000</v>
      </c>
    </row>
    <row r="132" spans="1:7" x14ac:dyDescent="0.2">
      <c r="A132" s="15" t="s">
        <v>47</v>
      </c>
      <c r="B132" s="15">
        <v>0</v>
      </c>
      <c r="C132" s="29" t="s">
        <v>84</v>
      </c>
      <c r="D132" s="30">
        <v>76100</v>
      </c>
      <c r="E132" s="30">
        <v>2200</v>
      </c>
      <c r="F132" s="30">
        <v>19354500</v>
      </c>
      <c r="G132" s="30">
        <v>30370700</v>
      </c>
    </row>
    <row r="133" spans="1:7" x14ac:dyDescent="0.2">
      <c r="A133" s="15" t="s">
        <v>48</v>
      </c>
      <c r="B133" s="15">
        <v>0</v>
      </c>
      <c r="C133" s="29" t="s">
        <v>84</v>
      </c>
      <c r="D133" s="30">
        <v>39800</v>
      </c>
      <c r="E133" s="30">
        <v>1600</v>
      </c>
      <c r="F133" s="30">
        <v>14787400</v>
      </c>
      <c r="G133" s="30">
        <v>25483900</v>
      </c>
    </row>
    <row r="134" spans="1:7" x14ac:dyDescent="0.2">
      <c r="A134" s="15" t="s">
        <v>49</v>
      </c>
      <c r="B134" s="15">
        <v>0</v>
      </c>
      <c r="C134" s="29" t="s">
        <v>84</v>
      </c>
      <c r="D134" s="30">
        <v>59400</v>
      </c>
      <c r="E134" s="30">
        <v>2200</v>
      </c>
      <c r="F134" s="30">
        <v>18310400</v>
      </c>
      <c r="G134" s="30">
        <v>33257800</v>
      </c>
    </row>
    <row r="135" spans="1:7" x14ac:dyDescent="0.2">
      <c r="A135" s="15" t="s">
        <v>50</v>
      </c>
      <c r="B135" s="15">
        <v>0</v>
      </c>
      <c r="C135" s="29" t="s">
        <v>84</v>
      </c>
      <c r="D135" s="30">
        <v>14600</v>
      </c>
      <c r="E135" s="30">
        <v>700</v>
      </c>
      <c r="F135" s="30">
        <v>6286500</v>
      </c>
      <c r="G135" s="30">
        <v>10589000</v>
      </c>
    </row>
    <row r="136" spans="1:7" x14ac:dyDescent="0.2">
      <c r="A136" s="15" t="s">
        <v>51</v>
      </c>
      <c r="B136" s="15">
        <v>0</v>
      </c>
      <c r="C136" s="29" t="s">
        <v>84</v>
      </c>
      <c r="D136" s="30">
        <v>24300</v>
      </c>
      <c r="E136" s="30">
        <v>900</v>
      </c>
      <c r="F136" s="30">
        <v>7902900</v>
      </c>
      <c r="G136" s="30">
        <v>12595900</v>
      </c>
    </row>
    <row r="137" spans="1:7" x14ac:dyDescent="0.2">
      <c r="A137" s="15" t="s">
        <v>52</v>
      </c>
      <c r="B137" s="15">
        <v>0</v>
      </c>
      <c r="C137" s="29" t="s">
        <v>84</v>
      </c>
      <c r="D137" s="30">
        <v>31400</v>
      </c>
      <c r="E137" s="30">
        <v>1400</v>
      </c>
      <c r="F137" s="30">
        <v>11946100</v>
      </c>
      <c r="G137" s="30">
        <v>20701000</v>
      </c>
    </row>
    <row r="138" spans="1:7" x14ac:dyDescent="0.2">
      <c r="A138" s="15" t="s">
        <v>53</v>
      </c>
      <c r="B138" s="15">
        <v>0</v>
      </c>
      <c r="C138" s="29" t="s">
        <v>84</v>
      </c>
      <c r="D138" s="30">
        <v>18200</v>
      </c>
      <c r="E138" s="30">
        <v>900</v>
      </c>
      <c r="F138" s="30">
        <v>7750000</v>
      </c>
      <c r="G138" s="30">
        <v>13038100</v>
      </c>
    </row>
    <row r="139" spans="1:7" x14ac:dyDescent="0.2">
      <c r="A139" s="15" t="s">
        <v>54</v>
      </c>
      <c r="B139" s="15">
        <v>0</v>
      </c>
      <c r="C139" s="29" t="s">
        <v>84</v>
      </c>
      <c r="D139" s="30">
        <v>91100</v>
      </c>
      <c r="E139" s="30">
        <v>3300</v>
      </c>
      <c r="F139" s="30">
        <v>27283700</v>
      </c>
      <c r="G139" s="30">
        <v>51019800</v>
      </c>
    </row>
    <row r="140" spans="1:7" x14ac:dyDescent="0.2">
      <c r="A140" s="15" t="s">
        <v>55</v>
      </c>
      <c r="B140" s="15">
        <v>0</v>
      </c>
      <c r="C140" s="29" t="s">
        <v>84</v>
      </c>
      <c r="D140" s="30">
        <v>34800</v>
      </c>
      <c r="E140" s="30">
        <v>1600</v>
      </c>
      <c r="F140" s="30">
        <v>13810200</v>
      </c>
      <c r="G140" s="30">
        <v>23899200</v>
      </c>
    </row>
    <row r="141" spans="1:7" x14ac:dyDescent="0.2">
      <c r="A141" s="15" t="s">
        <v>56</v>
      </c>
      <c r="B141" s="15">
        <v>0</v>
      </c>
      <c r="C141" s="29" t="s">
        <v>84</v>
      </c>
      <c r="D141" s="30">
        <v>243600</v>
      </c>
      <c r="E141" s="30">
        <v>8500</v>
      </c>
      <c r="F141" s="30">
        <v>73173800</v>
      </c>
      <c r="G141" s="30">
        <v>126677200</v>
      </c>
    </row>
    <row r="142" spans="1:7" x14ac:dyDescent="0.2">
      <c r="A142" s="15" t="s">
        <v>57</v>
      </c>
      <c r="B142" s="15">
        <v>0</v>
      </c>
      <c r="C142" s="29" t="s">
        <v>84</v>
      </c>
      <c r="D142" s="30">
        <v>98000</v>
      </c>
      <c r="E142" s="30">
        <v>3600</v>
      </c>
      <c r="F142" s="30">
        <v>29505500</v>
      </c>
      <c r="G142" s="30">
        <v>49375200</v>
      </c>
    </row>
    <row r="143" spans="1:7" x14ac:dyDescent="0.2">
      <c r="A143" s="15" t="s">
        <v>58</v>
      </c>
      <c r="B143" s="15">
        <v>0</v>
      </c>
      <c r="C143" s="29" t="s">
        <v>84</v>
      </c>
      <c r="D143" s="30">
        <v>9600</v>
      </c>
      <c r="E143" s="30">
        <v>300</v>
      </c>
      <c r="F143" s="30">
        <v>2513500</v>
      </c>
      <c r="G143" s="30">
        <v>4119000</v>
      </c>
    </row>
    <row r="144" spans="1:7" x14ac:dyDescent="0.2">
      <c r="A144" s="15" t="s">
        <v>59</v>
      </c>
      <c r="B144" s="15">
        <v>0</v>
      </c>
      <c r="C144" s="29" t="s">
        <v>84</v>
      </c>
      <c r="D144" s="30">
        <v>152200</v>
      </c>
      <c r="E144" s="30">
        <v>4200</v>
      </c>
      <c r="F144" s="30">
        <v>33727000</v>
      </c>
      <c r="G144" s="30">
        <v>54962100</v>
      </c>
    </row>
    <row r="145" spans="1:7" x14ac:dyDescent="0.2">
      <c r="A145" s="15" t="s">
        <v>60</v>
      </c>
      <c r="B145" s="15">
        <v>0</v>
      </c>
      <c r="C145" s="29" t="s">
        <v>84</v>
      </c>
      <c r="D145" s="30">
        <v>42000</v>
      </c>
      <c r="E145" s="30">
        <v>1600</v>
      </c>
      <c r="F145" s="30">
        <v>12714500</v>
      </c>
      <c r="G145" s="30">
        <v>21511100</v>
      </c>
    </row>
    <row r="146" spans="1:7" x14ac:dyDescent="0.2">
      <c r="A146" s="15" t="s">
        <v>61</v>
      </c>
      <c r="B146" s="15">
        <v>0</v>
      </c>
      <c r="C146" s="29" t="s">
        <v>84</v>
      </c>
      <c r="D146" s="30">
        <v>46800</v>
      </c>
      <c r="E146" s="30">
        <v>2100</v>
      </c>
      <c r="F146" s="30">
        <v>18109100</v>
      </c>
      <c r="G146" s="30">
        <v>33298300</v>
      </c>
    </row>
    <row r="147" spans="1:7" x14ac:dyDescent="0.2">
      <c r="A147" s="15" t="s">
        <v>62</v>
      </c>
      <c r="B147" s="15">
        <v>0</v>
      </c>
      <c r="C147" s="29" t="s">
        <v>84</v>
      </c>
      <c r="D147" s="30">
        <v>145400</v>
      </c>
      <c r="E147" s="30">
        <v>8000</v>
      </c>
      <c r="F147" s="30">
        <v>68031700</v>
      </c>
      <c r="G147" s="30">
        <v>109922800</v>
      </c>
    </row>
    <row r="148" spans="1:7" x14ac:dyDescent="0.2">
      <c r="A148" s="15" t="s">
        <v>63</v>
      </c>
      <c r="B148" s="15">
        <v>0</v>
      </c>
      <c r="C148" s="29" t="s">
        <v>84</v>
      </c>
      <c r="D148" s="30">
        <v>9600</v>
      </c>
      <c r="E148" s="30">
        <v>400</v>
      </c>
      <c r="F148" s="30">
        <v>3380500</v>
      </c>
      <c r="G148" s="30">
        <v>5577300</v>
      </c>
    </row>
    <row r="149" spans="1:7" x14ac:dyDescent="0.2">
      <c r="A149" s="15" t="s">
        <v>64</v>
      </c>
      <c r="B149" s="15">
        <v>0</v>
      </c>
      <c r="C149" s="29" t="s">
        <v>84</v>
      </c>
      <c r="D149" s="30">
        <v>47400</v>
      </c>
      <c r="E149" s="30">
        <v>2000</v>
      </c>
      <c r="F149" s="30">
        <v>18198200</v>
      </c>
      <c r="G149" s="30">
        <v>28804200</v>
      </c>
    </row>
    <row r="150" spans="1:7" x14ac:dyDescent="0.2">
      <c r="A150" s="15" t="s">
        <v>65</v>
      </c>
      <c r="B150" s="15">
        <v>0</v>
      </c>
      <c r="C150" s="29" t="s">
        <v>84</v>
      </c>
      <c r="D150" s="30">
        <v>12400</v>
      </c>
      <c r="E150" s="30">
        <v>600</v>
      </c>
      <c r="F150" s="30">
        <v>4982900</v>
      </c>
      <c r="G150" s="30">
        <v>8494900</v>
      </c>
    </row>
    <row r="151" spans="1:7" x14ac:dyDescent="0.2">
      <c r="A151" s="15" t="s">
        <v>66</v>
      </c>
      <c r="B151" s="15">
        <v>0</v>
      </c>
      <c r="C151" s="29" t="s">
        <v>84</v>
      </c>
      <c r="D151" s="30">
        <v>82900</v>
      </c>
      <c r="E151" s="30">
        <v>3500</v>
      </c>
      <c r="F151" s="30">
        <v>27823300</v>
      </c>
      <c r="G151" s="30">
        <v>51009200</v>
      </c>
    </row>
    <row r="152" spans="1:7" x14ac:dyDescent="0.2">
      <c r="A152" s="15" t="s">
        <v>67</v>
      </c>
      <c r="B152" s="15">
        <v>1</v>
      </c>
      <c r="C152" s="29" t="s">
        <v>84</v>
      </c>
      <c r="D152" s="30">
        <v>134600</v>
      </c>
      <c r="E152" s="30">
        <v>5000</v>
      </c>
      <c r="F152" s="30">
        <v>43770300</v>
      </c>
      <c r="G152" s="30">
        <v>77993900</v>
      </c>
    </row>
    <row r="153" spans="1:7" x14ac:dyDescent="0.2">
      <c r="A153" s="15" t="s">
        <v>67</v>
      </c>
      <c r="B153" s="15">
        <v>2</v>
      </c>
      <c r="C153" s="29" t="s">
        <v>84</v>
      </c>
      <c r="D153" s="30">
        <v>89800</v>
      </c>
      <c r="E153" s="30">
        <v>3300</v>
      </c>
      <c r="F153" s="30">
        <v>28257100</v>
      </c>
      <c r="G153" s="30">
        <v>48968600</v>
      </c>
    </row>
    <row r="154" spans="1:7" x14ac:dyDescent="0.2">
      <c r="A154" s="15" t="s">
        <v>68</v>
      </c>
      <c r="B154" s="15">
        <v>0</v>
      </c>
      <c r="C154" s="29" t="s">
        <v>84</v>
      </c>
      <c r="D154" s="30">
        <v>21800</v>
      </c>
      <c r="E154" s="30">
        <v>900</v>
      </c>
      <c r="F154" s="30">
        <v>7872600</v>
      </c>
      <c r="G154" s="30">
        <v>12755100</v>
      </c>
    </row>
    <row r="155" spans="1:7" x14ac:dyDescent="0.2">
      <c r="A155" s="15" t="s">
        <v>69</v>
      </c>
      <c r="B155" s="15">
        <v>0</v>
      </c>
      <c r="C155" s="29" t="s">
        <v>84</v>
      </c>
      <c r="D155" s="30">
        <v>9300</v>
      </c>
      <c r="E155" s="30">
        <v>400</v>
      </c>
      <c r="F155" s="30">
        <v>3161300</v>
      </c>
      <c r="G155" s="30">
        <v>5514900</v>
      </c>
    </row>
    <row r="156" spans="1:7" x14ac:dyDescent="0.2">
      <c r="A156" s="15" t="s">
        <v>70</v>
      </c>
      <c r="B156" s="15">
        <v>0</v>
      </c>
      <c r="C156" s="29" t="s">
        <v>84</v>
      </c>
      <c r="D156" s="30">
        <v>133200</v>
      </c>
      <c r="E156" s="30">
        <v>7000</v>
      </c>
      <c r="F156" s="30">
        <v>58803800</v>
      </c>
      <c r="G156" s="30">
        <v>94392900</v>
      </c>
    </row>
    <row r="157" spans="1:7" x14ac:dyDescent="0.2">
      <c r="A157" s="15" t="s">
        <v>71</v>
      </c>
      <c r="B157" s="15">
        <v>0</v>
      </c>
      <c r="C157" s="29" t="s">
        <v>84</v>
      </c>
      <c r="D157" s="30">
        <v>56600</v>
      </c>
      <c r="E157" s="30">
        <v>1600</v>
      </c>
      <c r="F157" s="30">
        <v>14478100</v>
      </c>
      <c r="G157" s="30">
        <v>25739700</v>
      </c>
    </row>
    <row r="158" spans="1:7" x14ac:dyDescent="0.2">
      <c r="A158" s="15" t="s">
        <v>72</v>
      </c>
      <c r="B158" s="15">
        <v>0</v>
      </c>
      <c r="C158" s="29" t="s">
        <v>84</v>
      </c>
      <c r="D158" s="30">
        <v>22500</v>
      </c>
      <c r="E158" s="30">
        <v>800</v>
      </c>
      <c r="F158" s="30">
        <v>7391000</v>
      </c>
      <c r="G158" s="30">
        <v>11820000</v>
      </c>
    </row>
    <row r="159" spans="1:7" x14ac:dyDescent="0.2">
      <c r="A159" s="15" t="s">
        <v>73</v>
      </c>
      <c r="B159" s="15">
        <v>0</v>
      </c>
      <c r="C159" s="29" t="s">
        <v>84</v>
      </c>
      <c r="D159" s="30">
        <v>78800</v>
      </c>
      <c r="E159" s="30">
        <v>3000</v>
      </c>
      <c r="F159" s="30">
        <v>24722600</v>
      </c>
      <c r="G159" s="30">
        <v>39195700</v>
      </c>
    </row>
    <row r="160" spans="1:7" x14ac:dyDescent="0.2">
      <c r="A160" s="15" t="s">
        <v>74</v>
      </c>
      <c r="B160" s="15">
        <v>0</v>
      </c>
      <c r="C160" s="29" t="s">
        <v>84</v>
      </c>
      <c r="D160" s="30">
        <v>7400</v>
      </c>
      <c r="E160" s="30">
        <v>300</v>
      </c>
      <c r="F160" s="30">
        <v>2501000</v>
      </c>
      <c r="G160" s="30">
        <v>3985900</v>
      </c>
    </row>
    <row r="161" spans="1:7" s="31" customFormat="1" ht="15" x14ac:dyDescent="0.25">
      <c r="A161" s="31" t="s">
        <v>24</v>
      </c>
      <c r="B161" s="31">
        <v>0</v>
      </c>
      <c r="C161" s="31" t="s">
        <v>85</v>
      </c>
      <c r="D161" s="32">
        <v>27400</v>
      </c>
      <c r="E161" s="32">
        <v>1700</v>
      </c>
      <c r="F161" s="32">
        <v>14576100</v>
      </c>
      <c r="G161" s="32">
        <v>28857500</v>
      </c>
    </row>
    <row r="162" spans="1:7" x14ac:dyDescent="0.2">
      <c r="A162" s="15" t="s">
        <v>25</v>
      </c>
      <c r="B162" s="15">
        <v>0</v>
      </c>
      <c r="C162" s="15" t="s">
        <v>85</v>
      </c>
      <c r="D162" s="30">
        <v>2900</v>
      </c>
      <c r="E162" s="30">
        <v>200</v>
      </c>
      <c r="F162" s="30">
        <v>1649100</v>
      </c>
      <c r="G162" s="30">
        <v>2709300</v>
      </c>
    </row>
    <row r="163" spans="1:7" x14ac:dyDescent="0.2">
      <c r="A163" s="15" t="s">
        <v>26</v>
      </c>
      <c r="B163" s="15">
        <v>0</v>
      </c>
      <c r="C163" s="15" t="s">
        <v>85</v>
      </c>
      <c r="D163" s="30">
        <v>27300</v>
      </c>
      <c r="E163" s="30">
        <v>2200</v>
      </c>
      <c r="F163" s="30">
        <v>17885700</v>
      </c>
      <c r="G163" s="30">
        <v>28910400</v>
      </c>
    </row>
    <row r="164" spans="1:7" x14ac:dyDescent="0.2">
      <c r="A164" s="15" t="s">
        <v>27</v>
      </c>
      <c r="B164" s="15">
        <v>0</v>
      </c>
      <c r="C164" s="15" t="s">
        <v>85</v>
      </c>
      <c r="D164" s="30">
        <v>10500</v>
      </c>
      <c r="E164" s="30">
        <v>800</v>
      </c>
      <c r="F164" s="30">
        <v>7140300</v>
      </c>
      <c r="G164" s="30">
        <v>11946300</v>
      </c>
    </row>
    <row r="165" spans="1:7" x14ac:dyDescent="0.2">
      <c r="A165" s="15" t="s">
        <v>28</v>
      </c>
      <c r="B165" s="15">
        <v>1</v>
      </c>
      <c r="C165" s="29" t="s">
        <v>85</v>
      </c>
      <c r="D165" s="30">
        <v>69100</v>
      </c>
      <c r="E165" s="30">
        <v>4100</v>
      </c>
      <c r="F165" s="30">
        <v>34861400</v>
      </c>
      <c r="G165" s="30">
        <v>57338000</v>
      </c>
    </row>
    <row r="166" spans="1:7" x14ac:dyDescent="0.2">
      <c r="A166" s="15" t="s">
        <v>28</v>
      </c>
      <c r="B166" s="15">
        <v>2</v>
      </c>
      <c r="C166" s="29" t="s">
        <v>85</v>
      </c>
      <c r="D166" s="30">
        <v>84500</v>
      </c>
      <c r="E166" s="30">
        <v>5000</v>
      </c>
      <c r="F166" s="30">
        <v>42213800</v>
      </c>
      <c r="G166" s="30">
        <v>71516400</v>
      </c>
    </row>
    <row r="167" spans="1:7" x14ac:dyDescent="0.2">
      <c r="A167" s="15" t="s">
        <v>29</v>
      </c>
      <c r="B167" s="15">
        <v>0</v>
      </c>
      <c r="C167" s="15" t="s">
        <v>85</v>
      </c>
      <c r="D167" s="30">
        <v>23600</v>
      </c>
      <c r="E167" s="30">
        <v>700</v>
      </c>
      <c r="F167" s="30">
        <v>6300700</v>
      </c>
      <c r="G167" s="30">
        <v>9881700</v>
      </c>
    </row>
    <row r="168" spans="1:7" x14ac:dyDescent="0.2">
      <c r="A168" s="15" t="s">
        <v>30</v>
      </c>
      <c r="B168" s="15">
        <v>0</v>
      </c>
      <c r="C168" s="15" t="s">
        <v>85</v>
      </c>
      <c r="D168" s="30">
        <v>21200</v>
      </c>
      <c r="E168" s="30">
        <v>1100</v>
      </c>
      <c r="F168" s="30">
        <v>9348700</v>
      </c>
      <c r="G168" s="30">
        <v>15410100</v>
      </c>
    </row>
    <row r="169" spans="1:7" x14ac:dyDescent="0.2">
      <c r="A169" s="15" t="s">
        <v>31</v>
      </c>
      <c r="B169" s="15">
        <v>0</v>
      </c>
      <c r="C169" s="15" t="s">
        <v>85</v>
      </c>
      <c r="D169" s="30">
        <v>4600</v>
      </c>
      <c r="E169" s="30">
        <v>300</v>
      </c>
      <c r="F169" s="30">
        <v>2389100</v>
      </c>
      <c r="G169" s="30">
        <v>4024900</v>
      </c>
    </row>
    <row r="170" spans="1:7" x14ac:dyDescent="0.2">
      <c r="A170" s="15" t="s">
        <v>32</v>
      </c>
      <c r="B170" s="15">
        <v>0</v>
      </c>
      <c r="C170" s="15" t="s">
        <v>85</v>
      </c>
      <c r="D170" s="30">
        <v>2400</v>
      </c>
      <c r="E170" s="30">
        <v>200</v>
      </c>
      <c r="F170" s="30">
        <v>1693400</v>
      </c>
      <c r="G170" s="30">
        <v>2780500</v>
      </c>
    </row>
    <row r="171" spans="1:7" x14ac:dyDescent="0.2">
      <c r="A171" s="15" t="s">
        <v>33</v>
      </c>
      <c r="B171" s="15">
        <v>0</v>
      </c>
      <c r="C171" s="15" t="s">
        <v>85</v>
      </c>
      <c r="D171" s="30">
        <v>73600</v>
      </c>
      <c r="E171" s="30">
        <v>4500</v>
      </c>
      <c r="F171" s="30">
        <v>38974100</v>
      </c>
      <c r="G171" s="30">
        <v>67678700</v>
      </c>
    </row>
    <row r="172" spans="1:7" x14ac:dyDescent="0.2">
      <c r="A172" s="15" t="s">
        <v>34</v>
      </c>
      <c r="B172" s="15">
        <v>0</v>
      </c>
      <c r="C172" s="15" t="s">
        <v>85</v>
      </c>
      <c r="D172" s="30">
        <v>40000</v>
      </c>
      <c r="E172" s="30">
        <v>2200</v>
      </c>
      <c r="F172" s="30">
        <v>19218900</v>
      </c>
      <c r="G172" s="30">
        <v>32968800</v>
      </c>
    </row>
    <row r="173" spans="1:7" x14ac:dyDescent="0.2">
      <c r="A173" s="15" t="s">
        <v>35</v>
      </c>
      <c r="B173" s="15">
        <v>0</v>
      </c>
      <c r="C173" s="15" t="s">
        <v>85</v>
      </c>
      <c r="D173" s="30">
        <v>2800</v>
      </c>
      <c r="E173" s="30">
        <v>200</v>
      </c>
      <c r="F173" s="30">
        <v>1738100</v>
      </c>
      <c r="G173" s="30">
        <v>2962100</v>
      </c>
    </row>
    <row r="174" spans="1:7" x14ac:dyDescent="0.2">
      <c r="A174" s="15" t="s">
        <v>36</v>
      </c>
      <c r="B174" s="15">
        <v>0</v>
      </c>
      <c r="C174" s="15" t="s">
        <v>85</v>
      </c>
      <c r="D174" s="30">
        <v>7200</v>
      </c>
      <c r="E174" s="30">
        <v>500</v>
      </c>
      <c r="F174" s="30">
        <v>4201700</v>
      </c>
      <c r="G174" s="30">
        <v>7411000</v>
      </c>
    </row>
    <row r="175" spans="1:7" x14ac:dyDescent="0.2">
      <c r="A175" s="15" t="s">
        <v>37</v>
      </c>
      <c r="B175" s="15">
        <v>0</v>
      </c>
      <c r="C175" s="15" t="s">
        <v>85</v>
      </c>
      <c r="D175" s="30">
        <v>48500</v>
      </c>
      <c r="E175" s="30">
        <v>2800</v>
      </c>
      <c r="F175" s="30">
        <v>21822300</v>
      </c>
      <c r="G175" s="30">
        <v>38615100</v>
      </c>
    </row>
    <row r="176" spans="1:7" x14ac:dyDescent="0.2">
      <c r="A176" s="15" t="s">
        <v>38</v>
      </c>
      <c r="B176" s="15">
        <v>0</v>
      </c>
      <c r="C176" s="15" t="s">
        <v>85</v>
      </c>
      <c r="D176" s="30">
        <v>30700</v>
      </c>
      <c r="E176" s="30">
        <v>1500</v>
      </c>
      <c r="F176" s="30">
        <v>13404300</v>
      </c>
      <c r="G176" s="30">
        <v>20434900</v>
      </c>
    </row>
    <row r="177" spans="1:7" x14ac:dyDescent="0.2">
      <c r="A177" s="15" t="s">
        <v>39</v>
      </c>
      <c r="B177" s="15">
        <v>0</v>
      </c>
      <c r="C177" s="15" t="s">
        <v>85</v>
      </c>
      <c r="D177" s="30">
        <v>7900</v>
      </c>
      <c r="E177" s="30">
        <v>400</v>
      </c>
      <c r="F177" s="30">
        <v>3422900</v>
      </c>
      <c r="G177" s="30">
        <v>6007600</v>
      </c>
    </row>
    <row r="178" spans="1:7" x14ac:dyDescent="0.2">
      <c r="A178" s="15" t="s">
        <v>40</v>
      </c>
      <c r="B178" s="15">
        <v>0</v>
      </c>
      <c r="C178" s="15" t="s">
        <v>85</v>
      </c>
      <c r="D178" s="30">
        <v>11400</v>
      </c>
      <c r="E178" s="30">
        <v>700</v>
      </c>
      <c r="F178" s="30">
        <v>6047300</v>
      </c>
      <c r="G178" s="30">
        <v>9784900</v>
      </c>
    </row>
    <row r="179" spans="1:7" x14ac:dyDescent="0.2">
      <c r="A179" s="15" t="s">
        <v>41</v>
      </c>
      <c r="B179" s="15">
        <v>0</v>
      </c>
      <c r="C179" s="15" t="s">
        <v>85</v>
      </c>
      <c r="D179" s="30">
        <v>17300</v>
      </c>
      <c r="E179" s="30">
        <v>900</v>
      </c>
      <c r="F179" s="30">
        <v>7987000</v>
      </c>
      <c r="G179" s="30">
        <v>13795400</v>
      </c>
    </row>
    <row r="180" spans="1:7" x14ac:dyDescent="0.2">
      <c r="A180" s="15" t="s">
        <v>42</v>
      </c>
      <c r="B180" s="15">
        <v>0</v>
      </c>
      <c r="C180" s="15" t="s">
        <v>85</v>
      </c>
      <c r="D180" s="30">
        <v>17700</v>
      </c>
      <c r="E180" s="30">
        <v>1300</v>
      </c>
      <c r="F180" s="30">
        <v>10127400</v>
      </c>
      <c r="G180" s="30">
        <v>17378300</v>
      </c>
    </row>
    <row r="181" spans="1:7" x14ac:dyDescent="0.2">
      <c r="A181" s="15" t="s">
        <v>43</v>
      </c>
      <c r="B181" s="15">
        <v>0</v>
      </c>
      <c r="C181" s="15" t="s">
        <v>85</v>
      </c>
      <c r="D181" s="30">
        <v>7500</v>
      </c>
      <c r="E181" s="30">
        <v>400</v>
      </c>
      <c r="F181" s="30">
        <v>3305800</v>
      </c>
      <c r="G181" s="30">
        <v>5462900</v>
      </c>
    </row>
    <row r="182" spans="1:7" x14ac:dyDescent="0.2">
      <c r="A182" s="15" t="s">
        <v>44</v>
      </c>
      <c r="B182" s="15">
        <v>0</v>
      </c>
      <c r="C182" s="15" t="s">
        <v>85</v>
      </c>
      <c r="D182" s="30">
        <v>17600</v>
      </c>
      <c r="E182" s="30">
        <v>800</v>
      </c>
      <c r="F182" s="30">
        <v>6358000</v>
      </c>
      <c r="G182" s="30">
        <v>10476300</v>
      </c>
    </row>
    <row r="183" spans="1:7" x14ac:dyDescent="0.2">
      <c r="A183" s="15" t="s">
        <v>45</v>
      </c>
      <c r="B183" s="15">
        <v>0</v>
      </c>
      <c r="C183" s="15" t="s">
        <v>85</v>
      </c>
      <c r="D183" s="30">
        <v>30800</v>
      </c>
      <c r="E183" s="30">
        <v>2200</v>
      </c>
      <c r="F183" s="30">
        <v>19806300</v>
      </c>
      <c r="G183" s="30">
        <v>32018100</v>
      </c>
    </row>
    <row r="184" spans="1:7" x14ac:dyDescent="0.2">
      <c r="A184" s="15" t="s">
        <v>46</v>
      </c>
      <c r="B184" s="15">
        <v>0</v>
      </c>
      <c r="C184" s="15" t="s">
        <v>85</v>
      </c>
      <c r="D184" s="30">
        <v>28800</v>
      </c>
      <c r="E184" s="30">
        <v>1900</v>
      </c>
      <c r="F184" s="30">
        <v>15563800</v>
      </c>
      <c r="G184" s="30">
        <v>24916900</v>
      </c>
    </row>
    <row r="185" spans="1:7" x14ac:dyDescent="0.2">
      <c r="A185" s="15" t="s">
        <v>47</v>
      </c>
      <c r="B185" s="15">
        <v>0</v>
      </c>
      <c r="C185" s="15" t="s">
        <v>85</v>
      </c>
      <c r="D185" s="30">
        <v>24100</v>
      </c>
      <c r="E185" s="30">
        <v>1100</v>
      </c>
      <c r="F185" s="30">
        <v>9304700</v>
      </c>
      <c r="G185" s="30">
        <v>14775900</v>
      </c>
    </row>
    <row r="186" spans="1:7" x14ac:dyDescent="0.2">
      <c r="A186" s="15" t="s">
        <v>48</v>
      </c>
      <c r="B186" s="15">
        <v>0</v>
      </c>
      <c r="C186" s="15" t="s">
        <v>85</v>
      </c>
      <c r="D186" s="30">
        <v>12800</v>
      </c>
      <c r="E186" s="30">
        <v>800</v>
      </c>
      <c r="F186" s="30">
        <v>7070500</v>
      </c>
      <c r="G186" s="30">
        <v>11850000</v>
      </c>
    </row>
    <row r="187" spans="1:7" x14ac:dyDescent="0.2">
      <c r="A187" s="15" t="s">
        <v>49</v>
      </c>
      <c r="B187" s="15">
        <v>0</v>
      </c>
      <c r="C187" s="15" t="s">
        <v>85</v>
      </c>
      <c r="D187" s="30">
        <v>24600</v>
      </c>
      <c r="E187" s="30">
        <v>1400</v>
      </c>
      <c r="F187" s="30">
        <v>11561800</v>
      </c>
      <c r="G187" s="30">
        <v>19384000</v>
      </c>
    </row>
    <row r="188" spans="1:7" x14ac:dyDescent="0.2">
      <c r="A188" s="15" t="s">
        <v>50</v>
      </c>
      <c r="B188" s="15">
        <v>0</v>
      </c>
      <c r="C188" s="15" t="s">
        <v>85</v>
      </c>
      <c r="D188" s="30">
        <v>4300</v>
      </c>
      <c r="E188" s="30">
        <v>300</v>
      </c>
      <c r="F188" s="30">
        <v>2456800</v>
      </c>
      <c r="G188" s="30">
        <v>4253600</v>
      </c>
    </row>
    <row r="189" spans="1:7" x14ac:dyDescent="0.2">
      <c r="A189" s="15" t="s">
        <v>51</v>
      </c>
      <c r="B189" s="15">
        <v>0</v>
      </c>
      <c r="C189" s="15" t="s">
        <v>85</v>
      </c>
      <c r="D189" s="30">
        <v>8600</v>
      </c>
      <c r="E189" s="30">
        <v>500</v>
      </c>
      <c r="F189" s="30">
        <v>4511200</v>
      </c>
      <c r="G189" s="30">
        <v>8791400</v>
      </c>
    </row>
    <row r="190" spans="1:7" x14ac:dyDescent="0.2">
      <c r="A190" s="15" t="s">
        <v>52</v>
      </c>
      <c r="B190" s="15">
        <v>0</v>
      </c>
      <c r="C190" s="15" t="s">
        <v>85</v>
      </c>
      <c r="D190" s="30">
        <v>10300</v>
      </c>
      <c r="E190" s="30">
        <v>700</v>
      </c>
      <c r="F190" s="30">
        <v>5925900</v>
      </c>
      <c r="G190" s="30">
        <v>9426900</v>
      </c>
    </row>
    <row r="191" spans="1:7" x14ac:dyDescent="0.2">
      <c r="A191" s="15" t="s">
        <v>53</v>
      </c>
      <c r="B191" s="15">
        <v>0</v>
      </c>
      <c r="C191" s="15" t="s">
        <v>85</v>
      </c>
      <c r="D191" s="30">
        <v>5200</v>
      </c>
      <c r="E191" s="30">
        <v>300</v>
      </c>
      <c r="F191" s="30">
        <v>2706200</v>
      </c>
      <c r="G191" s="30">
        <v>4359500</v>
      </c>
    </row>
    <row r="192" spans="1:7" x14ac:dyDescent="0.2">
      <c r="A192" s="15" t="s">
        <v>54</v>
      </c>
      <c r="B192" s="15">
        <v>0</v>
      </c>
      <c r="C192" s="15" t="s">
        <v>85</v>
      </c>
      <c r="D192" s="30">
        <v>32900</v>
      </c>
      <c r="E192" s="30">
        <v>2000</v>
      </c>
      <c r="F192" s="30">
        <v>15851200</v>
      </c>
      <c r="G192" s="30">
        <v>25876900</v>
      </c>
    </row>
    <row r="193" spans="1:7" x14ac:dyDescent="0.2">
      <c r="A193" s="15" t="s">
        <v>55</v>
      </c>
      <c r="B193" s="15">
        <v>0</v>
      </c>
      <c r="C193" s="15" t="s">
        <v>85</v>
      </c>
      <c r="D193" s="30">
        <v>10500</v>
      </c>
      <c r="E193" s="30">
        <v>700</v>
      </c>
      <c r="F193" s="30">
        <v>6044700</v>
      </c>
      <c r="G193" s="30">
        <v>10161200</v>
      </c>
    </row>
    <row r="194" spans="1:7" x14ac:dyDescent="0.2">
      <c r="A194" s="15" t="s">
        <v>56</v>
      </c>
      <c r="B194" s="15">
        <v>0</v>
      </c>
      <c r="C194" s="15" t="s">
        <v>85</v>
      </c>
      <c r="D194" s="30">
        <v>90500</v>
      </c>
      <c r="E194" s="30">
        <v>4900</v>
      </c>
      <c r="F194" s="30">
        <v>39040100</v>
      </c>
      <c r="G194" s="30">
        <v>67202500</v>
      </c>
    </row>
    <row r="195" spans="1:7" x14ac:dyDescent="0.2">
      <c r="A195" s="15" t="s">
        <v>57</v>
      </c>
      <c r="B195" s="15">
        <v>0</v>
      </c>
      <c r="C195" s="15" t="s">
        <v>85</v>
      </c>
      <c r="D195" s="30">
        <v>32700</v>
      </c>
      <c r="E195" s="30">
        <v>1900</v>
      </c>
      <c r="F195" s="30">
        <v>17262000</v>
      </c>
      <c r="G195" s="30">
        <v>28485100</v>
      </c>
    </row>
    <row r="196" spans="1:7" x14ac:dyDescent="0.2">
      <c r="A196" s="15" t="s">
        <v>58</v>
      </c>
      <c r="B196" s="15">
        <v>0</v>
      </c>
      <c r="C196" s="15" t="s">
        <v>85</v>
      </c>
      <c r="D196" s="30">
        <v>3600</v>
      </c>
      <c r="E196" s="30">
        <v>200</v>
      </c>
      <c r="F196" s="30">
        <v>1868500</v>
      </c>
      <c r="G196" s="30">
        <v>2922200</v>
      </c>
    </row>
    <row r="197" spans="1:7" x14ac:dyDescent="0.2">
      <c r="A197" s="15" t="s">
        <v>59</v>
      </c>
      <c r="B197" s="15">
        <v>0</v>
      </c>
      <c r="C197" s="15" t="s">
        <v>85</v>
      </c>
      <c r="D197" s="30">
        <v>60600</v>
      </c>
      <c r="E197" s="30">
        <v>2700</v>
      </c>
      <c r="F197" s="30">
        <v>23641000</v>
      </c>
      <c r="G197" s="30">
        <v>38344600</v>
      </c>
    </row>
    <row r="198" spans="1:7" x14ac:dyDescent="0.2">
      <c r="A198" s="15" t="s">
        <v>60</v>
      </c>
      <c r="B198" s="15">
        <v>0</v>
      </c>
      <c r="C198" s="15" t="s">
        <v>85</v>
      </c>
      <c r="D198" s="30">
        <v>14400</v>
      </c>
      <c r="E198" s="30">
        <v>800</v>
      </c>
      <c r="F198" s="30">
        <v>7156000</v>
      </c>
      <c r="G198" s="30">
        <v>11207200</v>
      </c>
    </row>
    <row r="199" spans="1:7" x14ac:dyDescent="0.2">
      <c r="A199" s="15" t="s">
        <v>61</v>
      </c>
      <c r="B199" s="15">
        <v>0</v>
      </c>
      <c r="C199" s="15" t="s">
        <v>85</v>
      </c>
      <c r="D199" s="30">
        <v>15500</v>
      </c>
      <c r="E199" s="30">
        <v>1000</v>
      </c>
      <c r="F199" s="30">
        <v>8635200</v>
      </c>
      <c r="G199" s="30">
        <v>14240700</v>
      </c>
    </row>
    <row r="200" spans="1:7" x14ac:dyDescent="0.2">
      <c r="A200" s="15" t="s">
        <v>62</v>
      </c>
      <c r="B200" s="15">
        <v>0</v>
      </c>
      <c r="C200" s="15" t="s">
        <v>85</v>
      </c>
      <c r="D200" s="30">
        <v>47100</v>
      </c>
      <c r="E200" s="30">
        <v>3400</v>
      </c>
      <c r="F200" s="30">
        <v>26920700</v>
      </c>
      <c r="G200" s="30">
        <v>52006500</v>
      </c>
    </row>
    <row r="201" spans="1:7" x14ac:dyDescent="0.2">
      <c r="A201" s="15" t="s">
        <v>63</v>
      </c>
      <c r="B201" s="15">
        <v>0</v>
      </c>
      <c r="C201" s="15" t="s">
        <v>85</v>
      </c>
      <c r="D201" s="30">
        <v>3300</v>
      </c>
      <c r="E201" s="30">
        <v>200</v>
      </c>
      <c r="F201" s="30">
        <v>1743800</v>
      </c>
      <c r="G201" s="30">
        <v>2844700</v>
      </c>
    </row>
    <row r="202" spans="1:7" x14ac:dyDescent="0.2">
      <c r="A202" s="15" t="s">
        <v>64</v>
      </c>
      <c r="B202" s="15">
        <v>0</v>
      </c>
      <c r="C202" s="15" t="s">
        <v>85</v>
      </c>
      <c r="D202" s="30">
        <v>16500</v>
      </c>
      <c r="E202" s="30">
        <v>1100</v>
      </c>
      <c r="F202" s="30">
        <v>9537200</v>
      </c>
      <c r="G202" s="30">
        <v>15089300</v>
      </c>
    </row>
    <row r="203" spans="1:7" x14ac:dyDescent="0.2">
      <c r="A203" s="15" t="s">
        <v>65</v>
      </c>
      <c r="B203" s="15">
        <v>0</v>
      </c>
      <c r="C203" s="15" t="s">
        <v>85</v>
      </c>
      <c r="D203" s="30">
        <v>3900</v>
      </c>
      <c r="E203" s="30">
        <v>300</v>
      </c>
      <c r="F203" s="30">
        <v>2550800</v>
      </c>
      <c r="G203" s="30">
        <v>4522200</v>
      </c>
    </row>
    <row r="204" spans="1:7" x14ac:dyDescent="0.2">
      <c r="A204" s="15" t="s">
        <v>66</v>
      </c>
      <c r="B204" s="15">
        <v>0</v>
      </c>
      <c r="C204" s="15" t="s">
        <v>85</v>
      </c>
      <c r="D204" s="30">
        <v>30500</v>
      </c>
      <c r="E204" s="30">
        <v>1900</v>
      </c>
      <c r="F204" s="30">
        <v>17165600</v>
      </c>
      <c r="G204" s="30">
        <v>26998200</v>
      </c>
    </row>
    <row r="205" spans="1:7" x14ac:dyDescent="0.2">
      <c r="A205" s="15" t="s">
        <v>67</v>
      </c>
      <c r="B205" s="15">
        <v>1</v>
      </c>
      <c r="C205" s="29" t="s">
        <v>85</v>
      </c>
      <c r="D205" s="30">
        <v>41500</v>
      </c>
      <c r="E205" s="30">
        <v>2400</v>
      </c>
      <c r="F205" s="30">
        <v>20723500</v>
      </c>
      <c r="G205" s="30">
        <v>34675800</v>
      </c>
    </row>
    <row r="206" spans="1:7" x14ac:dyDescent="0.2">
      <c r="A206" s="15" t="s">
        <v>67</v>
      </c>
      <c r="B206" s="15">
        <v>2</v>
      </c>
      <c r="C206" s="29" t="s">
        <v>85</v>
      </c>
      <c r="D206" s="30">
        <v>27600</v>
      </c>
      <c r="E206" s="30">
        <v>1600</v>
      </c>
      <c r="F206" s="30">
        <v>13072400</v>
      </c>
      <c r="G206" s="30">
        <v>21440000</v>
      </c>
    </row>
    <row r="207" spans="1:7" x14ac:dyDescent="0.2">
      <c r="A207" s="15" t="s">
        <v>68</v>
      </c>
      <c r="B207" s="15">
        <v>0</v>
      </c>
      <c r="C207" s="15" t="s">
        <v>85</v>
      </c>
      <c r="D207" s="30">
        <v>6600</v>
      </c>
      <c r="E207" s="30">
        <v>300</v>
      </c>
      <c r="F207" s="30">
        <v>2479600</v>
      </c>
      <c r="G207" s="30">
        <v>4089900</v>
      </c>
    </row>
    <row r="208" spans="1:7" x14ac:dyDescent="0.2">
      <c r="A208" s="15" t="s">
        <v>69</v>
      </c>
      <c r="B208" s="15">
        <v>0</v>
      </c>
      <c r="C208" s="15" t="s">
        <v>85</v>
      </c>
      <c r="D208" s="30">
        <v>2700</v>
      </c>
      <c r="E208" s="30">
        <v>200</v>
      </c>
      <c r="F208" s="30">
        <v>1707600</v>
      </c>
      <c r="G208" s="30">
        <v>3148200</v>
      </c>
    </row>
    <row r="209" spans="1:7" x14ac:dyDescent="0.2">
      <c r="A209" s="15" t="s">
        <v>70</v>
      </c>
      <c r="B209" s="15">
        <v>0</v>
      </c>
      <c r="C209" s="15" t="s">
        <v>85</v>
      </c>
      <c r="D209" s="30">
        <v>33000</v>
      </c>
      <c r="E209" s="30">
        <v>2200</v>
      </c>
      <c r="F209" s="30">
        <v>18158600</v>
      </c>
      <c r="G209" s="30">
        <v>30927400</v>
      </c>
    </row>
    <row r="210" spans="1:7" x14ac:dyDescent="0.2">
      <c r="A210" s="15" t="s">
        <v>71</v>
      </c>
      <c r="B210" s="15">
        <v>0</v>
      </c>
      <c r="C210" s="15" t="s">
        <v>85</v>
      </c>
      <c r="D210" s="30">
        <v>20000</v>
      </c>
      <c r="E210" s="30">
        <v>800</v>
      </c>
      <c r="F210" s="30">
        <v>6354000</v>
      </c>
      <c r="G210" s="30">
        <v>10435700</v>
      </c>
    </row>
    <row r="211" spans="1:7" x14ac:dyDescent="0.2">
      <c r="A211" s="15" t="s">
        <v>72</v>
      </c>
      <c r="B211" s="15">
        <v>0</v>
      </c>
      <c r="C211" s="15" t="s">
        <v>85</v>
      </c>
      <c r="D211" s="30">
        <v>9400</v>
      </c>
      <c r="E211" s="30">
        <v>600</v>
      </c>
      <c r="F211" s="30">
        <v>5076500</v>
      </c>
      <c r="G211" s="30">
        <v>8735200</v>
      </c>
    </row>
    <row r="212" spans="1:7" x14ac:dyDescent="0.2">
      <c r="A212" s="15" t="s">
        <v>73</v>
      </c>
      <c r="B212" s="15">
        <v>0</v>
      </c>
      <c r="C212" s="15" t="s">
        <v>85</v>
      </c>
      <c r="D212" s="30">
        <v>21300</v>
      </c>
      <c r="E212" s="30">
        <v>1200</v>
      </c>
      <c r="F212" s="30">
        <v>9346900</v>
      </c>
      <c r="G212" s="30">
        <v>15413300</v>
      </c>
    </row>
    <row r="213" spans="1:7" x14ac:dyDescent="0.2">
      <c r="A213" s="15" t="s">
        <v>74</v>
      </c>
      <c r="B213" s="15">
        <v>0</v>
      </c>
      <c r="C213" s="15" t="s">
        <v>85</v>
      </c>
      <c r="D213" s="30">
        <v>2600</v>
      </c>
      <c r="E213" s="30">
        <v>200</v>
      </c>
      <c r="F213" s="30">
        <v>1571200</v>
      </c>
      <c r="G213" s="30">
        <v>2367500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Log</vt:lpstr>
      <vt:lpstr>Instructions</vt:lpstr>
      <vt:lpstr>Problem 1</vt:lpstr>
      <vt:lpstr>Problem 2</vt:lpstr>
      <vt:lpstr>Problem 3</vt:lpstr>
      <vt:lpstr>HW2 data</vt:lpstr>
    </vt:vector>
  </TitlesOfParts>
  <Company>State Farm Insurance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Rama Duvvuri</dc:creator>
  <cp:lastModifiedBy>Ben Huang</cp:lastModifiedBy>
  <dcterms:created xsi:type="dcterms:W3CDTF">2006-09-11T00:30:05Z</dcterms:created>
  <dcterms:modified xsi:type="dcterms:W3CDTF">2015-09-29T21:43:17Z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1155810125</vt:i4>
  </property>
  <property fmtid="{D5CDD505-2E9C-101B-9397-08002B2CF9AE}" pid="3" name="_NewReviewCycle">
    <vt:lpwstr/>
  </property>
  <property fmtid="{D5CDD505-2E9C-101B-9397-08002B2CF9AE}" pid="4" name="_EmailSubject">
    <vt:lpwstr>Math 283 - This week's class</vt:lpwstr>
  </property>
  <property fmtid="{D5CDD505-2E9C-101B-9397-08002B2CF9AE}" pid="5" name="_AuthorEmail">
    <vt:lpwstr>rama.duvvuri.lcma@statefarm.com</vt:lpwstr>
  </property>
  <property fmtid="{D5CDD505-2E9C-101B-9397-08002B2CF9AE}" pid="6" name="_AuthorEmailDisplayName">
    <vt:lpwstr>Rama Duvvuri</vt:lpwstr>
  </property>
  <property fmtid="{D5CDD505-2E9C-101B-9397-08002B2CF9AE}" pid="7" name="_ReviewingToolsShownOnce">
    <vt:lpwstr/>
  </property>
</Properties>
</file>