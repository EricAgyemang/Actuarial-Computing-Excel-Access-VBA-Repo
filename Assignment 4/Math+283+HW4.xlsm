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l6y\Documents\Math 283\6. Spring 2015\"/>
    </mc:Choice>
  </mc:AlternateContent>
  <bookViews>
    <workbookView xWindow="480" yWindow="465" windowWidth="11520" windowHeight="5160" firstSheet="1" activeTab="1"/>
  </bookViews>
  <sheets>
    <sheet name="Log" sheetId="13" state="hidden" r:id="rId1"/>
    <sheet name="Instructions" sheetId="9" r:id="rId2"/>
    <sheet name="Problem 1" sheetId="17" r:id="rId3"/>
    <sheet name="Problem 2" sheetId="14" r:id="rId4"/>
    <sheet name="Problem 3" sheetId="16" r:id="rId5"/>
    <sheet name="HW2 data" sheetId="15" r:id="rId6"/>
  </sheets>
  <definedNames>
    <definedName name="_xlnm._FilterDatabase" localSheetId="3" hidden="1">'Problem 2'!$K$8:$K$9</definedName>
  </definedNames>
  <calcPr calcId="152511"/>
</workbook>
</file>

<file path=xl/calcChain.xml><?xml version="1.0" encoding="utf-8"?>
<calcChain xmlns="http://schemas.openxmlformats.org/spreadsheetml/2006/main">
  <c r="H21" i="16" l="1"/>
  <c r="K3" i="16" s="1"/>
  <c r="I21" i="16"/>
  <c r="L2" i="16" s="1"/>
  <c r="H22" i="16"/>
  <c r="I22" i="16"/>
  <c r="L19" i="16" l="1"/>
  <c r="L17" i="16"/>
  <c r="L15" i="16"/>
  <c r="L13" i="16"/>
  <c r="L11" i="16"/>
  <c r="L9" i="16"/>
  <c r="L7" i="16"/>
  <c r="L5" i="16"/>
  <c r="L3" i="16"/>
  <c r="K18" i="16"/>
  <c r="K16" i="16"/>
  <c r="K14" i="16"/>
  <c r="K12" i="16"/>
  <c r="K10" i="16"/>
  <c r="K8" i="16"/>
  <c r="K6" i="16"/>
  <c r="K4" i="16"/>
  <c r="K2" i="16"/>
  <c r="K19" i="16"/>
  <c r="K17" i="16"/>
  <c r="K15" i="16"/>
  <c r="K13" i="16"/>
  <c r="K11" i="16"/>
  <c r="K9" i="16"/>
  <c r="K7" i="16"/>
  <c r="K5" i="16"/>
  <c r="L18" i="16"/>
  <c r="L16" i="16"/>
  <c r="L14" i="16"/>
  <c r="L12" i="16"/>
  <c r="L10" i="16"/>
  <c r="L8" i="16"/>
  <c r="L6" i="16"/>
  <c r="L4" i="16"/>
</calcChain>
</file>

<file path=xl/sharedStrings.xml><?xml version="1.0" encoding="utf-8"?>
<sst xmlns="http://schemas.openxmlformats.org/spreadsheetml/2006/main" count="1118" uniqueCount="641">
  <si>
    <t>N</t>
  </si>
  <si>
    <t>Problem 1</t>
  </si>
  <si>
    <t>Problem 2</t>
  </si>
  <si>
    <t>ULID:</t>
  </si>
  <si>
    <t>Time</t>
  </si>
  <si>
    <t>Name</t>
  </si>
  <si>
    <t xml:space="preserve">The data from homework2 is contained in the "HW2 Data" tab.The spreadsheet from </t>
  </si>
  <si>
    <t xml:space="preserve">SUMIF or SUMIFS. Please do NOT create any temporary columns on the data tab. </t>
  </si>
  <si>
    <t>Formatting won't be graded as it was last week, however it is good practice to formatappropriately.</t>
  </si>
  <si>
    <t>W</t>
  </si>
  <si>
    <t>Policies Without Water Coverage</t>
  </si>
  <si>
    <t>Policies With Water Coverage</t>
  </si>
  <si>
    <t>Exposure</t>
  </si>
  <si>
    <t>Claim</t>
  </si>
  <si>
    <t>Loss</t>
  </si>
  <si>
    <t>Pure</t>
  </si>
  <si>
    <t>Frequency</t>
  </si>
  <si>
    <t>P. Prem.</t>
  </si>
  <si>
    <t>State</t>
  </si>
  <si>
    <t>Units</t>
  </si>
  <si>
    <t>Counts</t>
  </si>
  <si>
    <t>Amount</t>
  </si>
  <si>
    <t>Premium</t>
  </si>
  <si>
    <t>Difference</t>
  </si>
  <si>
    <t>AL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</si>
  <si>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</si>
  <si>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</si>
  <si>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</si>
  <si>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</si>
  <si>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</si>
  <si>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</si>
  <si>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</si>
  <si>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</si>
  <si>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</si>
  <si>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</si>
  <si>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</si>
  <si>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</si>
  <si>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</si>
  <si>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</si>
  <si>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</si>
  <si>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</si>
  <si>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</si>
  <si>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</si>
  <si>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</si>
  <si>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</si>
  <si>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</si>
  <si>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</si>
  <si>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</si>
  <si>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</si>
  <si>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</si>
  <si>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</si>
  <si>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</si>
  <si>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</si>
  <si>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</si>
  <si>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</si>
  <si>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</si>
  <si>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</si>
  <si>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</si>
  <si>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</si>
  <si>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</si>
  <si>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</si>
  <si>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</si>
  <si>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</si>
  <si>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</si>
  <si>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</si>
  <si>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</si>
  <si>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</si>
  <si>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</si>
  <si>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</si>
  <si>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</si>
  <si>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</si>
  <si>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</si>
  <si>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</si>
  <si>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</si>
  <si>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</si>
  <si>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STATE</t>
  </si>
  <si>
    <t>DIVISION</t>
  </si>
  <si>
    <t>DEDUCTIBLE</t>
  </si>
  <si>
    <t>EXPOSURE UNITS</t>
  </si>
  <si>
    <t>CLAIM COUNTS</t>
  </si>
  <si>
    <t>LOSS AMOUNT</t>
  </si>
  <si>
    <t>PREMIUM</t>
  </si>
  <si>
    <t>500N</t>
  </si>
  <si>
    <t>500W</t>
  </si>
  <si>
    <t>1000N</t>
  </si>
  <si>
    <t>1000W</t>
  </si>
  <si>
    <t xml:space="preserve">is shown on this week's problem 1. Fill out the spreadsheet using array formulas, rather than </t>
  </si>
  <si>
    <t>09-27-13 10 24 42 AM</t>
  </si>
  <si>
    <t>pl6y</t>
  </si>
  <si>
    <t xml:space="preserve">The output of problem 2 is shown on the problem 3 tab.  There also columns shown for the fitted frequency and severity.  </t>
  </si>
  <si>
    <t>Take note of the way these have been calculated for future reference.</t>
  </si>
  <si>
    <t xml:space="preserve">Create a graph which shows the actual claim frequency and the actual claim severity on the y axis.  </t>
  </si>
  <si>
    <t xml:space="preserve">Because the scale for each of these series is so different, use two different axes to show the different series.  </t>
  </si>
  <si>
    <t xml:space="preserve">The x axis should show the period # (cloumn A).  Each series should display as points, with connecting lines.  </t>
  </si>
  <si>
    <t>intercept</t>
  </si>
  <si>
    <t>slope</t>
  </si>
  <si>
    <t>2006 Q1</t>
  </si>
  <si>
    <t>COMP</t>
  </si>
  <si>
    <t>2005 Q4</t>
  </si>
  <si>
    <t>2005 Q3</t>
  </si>
  <si>
    <t>2005 Q2</t>
  </si>
  <si>
    <t>2005 Q1</t>
  </si>
  <si>
    <t>2004 Q4</t>
  </si>
  <si>
    <t>2004 Q3</t>
  </si>
  <si>
    <t>2004 Q2</t>
  </si>
  <si>
    <t>2004 Q1</t>
  </si>
  <si>
    <t>2003 Q4</t>
  </si>
  <si>
    <t>2003 Q3</t>
  </si>
  <si>
    <t>2003 Q2</t>
  </si>
  <si>
    <t>2003 Q1</t>
  </si>
  <si>
    <t>2002 Q4</t>
  </si>
  <si>
    <t>2002 Q3</t>
  </si>
  <si>
    <t>2002 Q2</t>
  </si>
  <si>
    <t>2002 Q1</t>
  </si>
  <si>
    <t>2001 Q4</t>
  </si>
  <si>
    <t>Fitted Sev.</t>
  </si>
  <si>
    <t>Fitted Freq</t>
  </si>
  <si>
    <t>Pure Premium</t>
  </si>
  <si>
    <t>Severity</t>
  </si>
  <si>
    <t>Paid Amount</t>
  </si>
  <si>
    <t>Claim Count</t>
  </si>
  <si>
    <t>Car Years</t>
  </si>
  <si>
    <t>YYYYQ</t>
  </si>
  <si>
    <t>Cov</t>
  </si>
  <si>
    <t>Period #</t>
  </si>
  <si>
    <t>2 pts</t>
  </si>
  <si>
    <t>Please label each series as frequency or severity as appropriate.  Create the graph and saved in Problem 2 tab.</t>
  </si>
  <si>
    <t>Enter your ULID in cell B4</t>
  </si>
  <si>
    <t>You can use the Right() function to parse out the with/without water coverage in the if condition. (RIGHT(C2:C213,1)="N")</t>
  </si>
  <si>
    <t>Noticed this is a advantage over SUMIF, as it can't parse the last letter.</t>
  </si>
  <si>
    <t>02-21-14 06 37 28 PM</t>
  </si>
  <si>
    <t>PL6Y</t>
  </si>
  <si>
    <t>02-21-14 06 38 17 PM</t>
  </si>
  <si>
    <r>
      <t xml:space="preserve"> The answers for all problems should either be recorded in the tab for that problem.  Please save file as ' </t>
    </r>
    <r>
      <rPr>
        <b/>
        <sz val="10"/>
        <rFont val="Arial"/>
        <family val="2"/>
      </rPr>
      <t>FirstName LastName HW4</t>
    </r>
    <r>
      <rPr>
        <sz val="10"/>
        <rFont val="Arial"/>
        <family val="2"/>
      </rPr>
      <t>'. Upload the homework on ReggieNet.</t>
    </r>
  </si>
  <si>
    <t>02-21-14 06 38 31 PM</t>
  </si>
  <si>
    <t>Policy_NUM,Effective_date,Expiration_Date,Premium</t>
  </si>
  <si>
    <t>1090,39115,39480,0</t>
  </si>
  <si>
    <t>848,39854,40219,489.6</t>
  </si>
  <si>
    <t>64,40565,40930,55.1</t>
  </si>
  <si>
    <t>809,38920,39285,187.6</t>
  </si>
  <si>
    <t>120,40176,40541,399.3</t>
  </si>
  <si>
    <t>577,39209,39477,0</t>
  </si>
  <si>
    <t>796,40938,41304,159.5</t>
  </si>
  <si>
    <t>64,40200,40565,55.1</t>
  </si>
  <si>
    <t>1206,39827,40192,259.1</t>
  </si>
  <si>
    <t>1228,39114,39479,288.1</t>
  </si>
  <si>
    <t>898,40626,40992,285.5</t>
  </si>
  <si>
    <t>1075,40297,40553,-128.865</t>
  </si>
  <si>
    <t>1149,40940,41306,276.4</t>
  </si>
  <si>
    <t>478,39833,40198,61.5</t>
  </si>
  <si>
    <t>717,40206,40571,266.9</t>
  </si>
  <si>
    <t>457,40204,40569,201</t>
  </si>
  <si>
    <t>977,40938,41304,346.1</t>
  </si>
  <si>
    <t>974,39512,39877,290.1</t>
  </si>
  <si>
    <t>247,40583,40948,264.8</t>
  </si>
  <si>
    <t>457,39473,39839,187.6</t>
  </si>
  <si>
    <t>1373,39844,40209,185.7</t>
  </si>
  <si>
    <t>486,39781,40146,31.6</t>
  </si>
  <si>
    <t>478,40198,40563,30</t>
  </si>
  <si>
    <t>486,40816,40876,-5.195</t>
  </si>
  <si>
    <t>0,40909,41275,0</t>
  </si>
  <si>
    <t>812,39614,39979,248.6</t>
  </si>
  <si>
    <t>796,39477,39843,143.6</t>
  </si>
  <si>
    <t>281,40201,40566,907.8</t>
  </si>
  <si>
    <t>794,40938,41304,283.5</t>
  </si>
  <si>
    <t>255,39542,39826,0</t>
  </si>
  <si>
    <t>1083,40940,41306,42.7</t>
  </si>
  <si>
    <t>303,40930,41296,227.3</t>
  </si>
  <si>
    <t>347,39460,39826,39.5</t>
  </si>
  <si>
    <t>1353,40569,40934,99.7</t>
  </si>
  <si>
    <t>277,39113,39478,231.7</t>
  </si>
  <si>
    <t>398,39615,39980,323.3</t>
  </si>
  <si>
    <t>929,40210,40575,161</t>
  </si>
  <si>
    <t>870,39868,40233,237.3</t>
  </si>
  <si>
    <t>1383,40604,40970,151.4</t>
  </si>
  <si>
    <t>974,40242,40607,310.7</t>
  </si>
  <si>
    <t>64,39104,39469,51</t>
  </si>
  <si>
    <t>1101,40218,40583,345.1</t>
  </si>
  <si>
    <t>1383,39874,40239,147.9</t>
  </si>
  <si>
    <t>295,40568,40933,280</t>
  </si>
  <si>
    <t>42,39081,39446,0</t>
  </si>
  <si>
    <t>1361,39474,39840,248.5</t>
  </si>
  <si>
    <t>1307,40939,41305,454.4</t>
  </si>
  <si>
    <t>774,40559,40924,510</t>
  </si>
  <si>
    <t>257,40945,41311,631.3</t>
  </si>
  <si>
    <t>809,39285,39651,197.5</t>
  </si>
  <si>
    <t>404,40136,40206,0</t>
  </si>
  <si>
    <t>457,39839,40204,201</t>
  </si>
  <si>
    <t>809,40016,40381,213.3</t>
  </si>
  <si>
    <t>870,39502,39868,221.5</t>
  </si>
  <si>
    <t>303,39104,39469,202.6</t>
  </si>
  <si>
    <t>594,39867,40201,451.092</t>
  </si>
  <si>
    <t>1019,39479,39845,273.5</t>
  </si>
  <si>
    <t>974,39146,39512,286.9</t>
  </si>
  <si>
    <t>1383,39143,39509,136.4</t>
  </si>
  <si>
    <t>879,39992,40357,150.3</t>
  </si>
  <si>
    <t>120,40541,40906,408.5</t>
  </si>
  <si>
    <t>45,39815,40180,231</t>
  </si>
  <si>
    <t>277,39844,40209,251</t>
  </si>
  <si>
    <t>929,39845,40210,161</t>
  </si>
  <si>
    <t>98,40562,40927,235.1</t>
  </si>
  <si>
    <t>1188,39842,40207,304.7</t>
  </si>
  <si>
    <t>26,39468,39834,193.2</t>
  </si>
  <si>
    <t>1318,40933,41299,194.3</t>
  </si>
  <si>
    <t>645,38876,39241,153.3</t>
  </si>
  <si>
    <t>1317,39881,40211,-156.476</t>
  </si>
  <si>
    <t>717,39475,39841,249.2</t>
  </si>
  <si>
    <t>1317,40576,40941,178.5</t>
  </si>
  <si>
    <t>495,39804,40169,20</t>
  </si>
  <si>
    <t>812,39979,40344,265.3</t>
  </si>
  <si>
    <t>1377,39480,39846,225.9</t>
  </si>
  <si>
    <t>64,39469,39835,52.2</t>
  </si>
  <si>
    <t>247,39122,39487,238.9</t>
  </si>
  <si>
    <t>398,39249,39615,318.2</t>
  </si>
  <si>
    <t>98,40927,41293,238</t>
  </si>
  <si>
    <t>1149,39479,39845,249.2</t>
  </si>
  <si>
    <t>1373,40209,40574,185.7</t>
  </si>
  <si>
    <t>495,39797,39804,-0.737</t>
  </si>
  <si>
    <t>1083,40575,40940,41.4</t>
  </si>
  <si>
    <t>848,40219,40584,489.6</t>
  </si>
  <si>
    <t>912,40208,40573,41.3</t>
  </si>
  <si>
    <t>478,39467,39833,58.2</t>
  </si>
  <si>
    <t>974,40973,41338,321.8</t>
  </si>
  <si>
    <t>1353,39108,39473,92.2</t>
  </si>
  <si>
    <t>1373,39113,39478,171.3</t>
  </si>
  <si>
    <t>347,40921,41287,43</t>
  </si>
  <si>
    <t>548,39446,39812,249.1</t>
  </si>
  <si>
    <t>257,40580,40945,623.8</t>
  </si>
  <si>
    <t>879,40722,41088,153.9</t>
  </si>
  <si>
    <t>755,39848,39859,-1.473</t>
  </si>
  <si>
    <t>930,40934,41300,47.7</t>
  </si>
  <si>
    <t>330,39843,40208,468</t>
  </si>
  <si>
    <t>583,39468,39834,283.3</t>
  </si>
  <si>
    <t>303,40200,40565,219.5</t>
  </si>
  <si>
    <t>794,40573,40938,280.1</t>
  </si>
  <si>
    <t>255,39095,39460,246.7</t>
  </si>
  <si>
    <t>115,39933,40298,209.1</t>
  </si>
  <si>
    <t>755,39859,40224,231</t>
  </si>
  <si>
    <t>398,39969,39980,-1.323</t>
  </si>
  <si>
    <t>1013,40211,40576,224.7</t>
  </si>
  <si>
    <t>790,39873,40238,189.6</t>
  </si>
  <si>
    <t>495,40057,40169,-6.167</t>
  </si>
  <si>
    <t>1073,40209,40574,349.7</t>
  </si>
  <si>
    <t>594,39105,39470,454.4</t>
  </si>
  <si>
    <t>478,40928,41294,31</t>
  </si>
  <si>
    <t>870,40598,40963,242.8</t>
  </si>
  <si>
    <t>600,39477,39843,175.3</t>
  </si>
  <si>
    <t>1269,38883,39248,169.9</t>
  </si>
  <si>
    <t>1228,39845,40210,312</t>
  </si>
  <si>
    <t>115,39202,39568,193</t>
  </si>
  <si>
    <t>26,39834,40199,207</t>
  </si>
  <si>
    <t>809,40746,41112,218.3</t>
  </si>
  <si>
    <t>848,39123,39488,452.1</t>
  </si>
  <si>
    <t>1318,40203,40568,187.5</t>
  </si>
  <si>
    <t>1206,40192,40557,259.1</t>
  </si>
  <si>
    <t>812,39248,39614,244.9</t>
  </si>
  <si>
    <t>347,40191,40556,41.7</t>
  </si>
  <si>
    <t>336,39099,39464,49.5</t>
  </si>
  <si>
    <t>600,40573,40938,192.4</t>
  </si>
  <si>
    <t>1338,39480,39846,96.9</t>
  </si>
  <si>
    <t>1377,39846,40211,242.2</t>
  </si>
  <si>
    <t>247,39853,40218,258.8</t>
  </si>
  <si>
    <t>277,40574,40939,256.8</t>
  </si>
  <si>
    <t>64,40930,41296,56.9</t>
  </si>
  <si>
    <t>1228,40210,40575,312</t>
  </si>
  <si>
    <t>930,40569,40934,46.2</t>
  </si>
  <si>
    <t>1338,39115,39480,94.5</t>
  </si>
  <si>
    <t>1333,40941,41307,270.9</t>
  </si>
  <si>
    <t>774,39098,39463,460.3</t>
  </si>
  <si>
    <t>645,40337,40702,177.8</t>
  </si>
  <si>
    <t>247,40374,40583,0</t>
  </si>
  <si>
    <t>404,39110,39475,173.6</t>
  </si>
  <si>
    <t>120,39080,39445,368.6</t>
  </si>
  <si>
    <t>622,40939,41305,341.9</t>
  </si>
  <si>
    <t>790,40603,40969,194</t>
  </si>
  <si>
    <t>1383,40239,40604,147.9</t>
  </si>
  <si>
    <t>232,39096,39461,185.5</t>
  </si>
  <si>
    <t>457,40934,41300,208.2</t>
  </si>
  <si>
    <t>622,39478,39844,308.3</t>
  </si>
  <si>
    <t>1307,40209,40574,438.9</t>
  </si>
  <si>
    <t>232,39827,40192,201</t>
  </si>
  <si>
    <t>1338,39846,40211,102.1</t>
  </si>
  <si>
    <t>1408,39112,39477,213.7</t>
  </si>
  <si>
    <t>1317,40941,41307,180.7</t>
  </si>
  <si>
    <t>110,40558,40923,334.1</t>
  </si>
  <si>
    <t>115,40663,41029,183.2</t>
  </si>
  <si>
    <t>110,39462,39828,304.8</t>
  </si>
  <si>
    <t>1149,39845,40210,266.9</t>
  </si>
  <si>
    <t>395,39114,39479,208.3</t>
  </si>
  <si>
    <t>277,40209,40574,251</t>
  </si>
  <si>
    <t>594,39470,39836,459.4</t>
  </si>
  <si>
    <t>185,39463,39829,221.1</t>
  </si>
  <si>
    <t>404,39617,39841,0</t>
  </si>
  <si>
    <t>1361,39840,40205,266.4</t>
  </si>
  <si>
    <t>281,39836,40201,907.8</t>
  </si>
  <si>
    <t>1075,39457,39823,172</t>
  </si>
  <si>
    <t>1317,39480,39846,162.8</t>
  </si>
  <si>
    <t>600,39112,39477,173.3</t>
  </si>
  <si>
    <t>812,40344,40709,265.3</t>
  </si>
  <si>
    <t>1361,39109,39474,245.7</t>
  </si>
  <si>
    <t>645,39241,39607,163.9</t>
  </si>
  <si>
    <t>755,40425,40589,-103.74</t>
  </si>
  <si>
    <t>1188,40207,40572,304.7</t>
  </si>
  <si>
    <t>480,39471,39837,125.5</t>
  </si>
  <si>
    <t>790,40969,41334,196.4</t>
  </si>
  <si>
    <t>692,40907,41273,81.8</t>
  </si>
  <si>
    <t>237,40178,40543,500.6</t>
  </si>
  <si>
    <t>1299,39853,40197,-252.072</t>
  </si>
  <si>
    <t>912,39112,39477,38.2</t>
  </si>
  <si>
    <t>281,40931,41297,778.3</t>
  </si>
  <si>
    <t>974,40607,40973,317.9</t>
  </si>
  <si>
    <t>898,39896,40261,279</t>
  </si>
  <si>
    <t>110,39828,40193,326.5</t>
  </si>
  <si>
    <t>457,40569,40934,205.7</t>
  </si>
  <si>
    <t>929,39114,39479,148.6</t>
  </si>
  <si>
    <t>755,40224,40589,231</t>
  </si>
  <si>
    <t>898,40992,41357,290.2</t>
  </si>
  <si>
    <t>898,40261,40626,279</t>
  </si>
  <si>
    <t>1188,39111,39476,281.4</t>
  </si>
  <si>
    <t>622,40574,40939,337.8</t>
  </si>
  <si>
    <t>1373,40574,40939,190</t>
  </si>
  <si>
    <t>395,40575,40940,230.8</t>
  </si>
  <si>
    <t>1228,40940,41306,323.1</t>
  </si>
  <si>
    <t>1408,40208,40573,231.5</t>
  </si>
  <si>
    <t>1353,40934,41300,102.8</t>
  </si>
  <si>
    <t>879,40357,40722,151.3</t>
  </si>
  <si>
    <t>1083,40210,40575,41.4</t>
  </si>
  <si>
    <t>303,39469,39835,204.9</t>
  </si>
  <si>
    <t>185,40559,40924,242.3</t>
  </si>
  <si>
    <t>790,40014,40238,0</t>
  </si>
  <si>
    <t>645,39607,39972,166.6</t>
  </si>
  <si>
    <t>1206,39461,39827,241.9</t>
  </si>
  <si>
    <t>257,40215,40580,609.7</t>
  </si>
  <si>
    <t>879,38896,39261,131</t>
  </si>
  <si>
    <t>583,40564,40929,310.7</t>
  </si>
  <si>
    <t>486,40146,40511,31.6</t>
  </si>
  <si>
    <t>162,39835,40200,226.9</t>
  </si>
  <si>
    <t>1317,39891,40211,151.631</t>
  </si>
  <si>
    <t>1307,39844,40209,438.9</t>
  </si>
  <si>
    <t>977,39843,40208,334.2</t>
  </si>
  <si>
    <t>185,39098,39463,218.6</t>
  </si>
  <si>
    <t>295,40933,41299,283.4</t>
  </si>
  <si>
    <t>717,40936,41302,276.4</t>
  </si>
  <si>
    <t>404,40389,40571,0</t>
  </si>
  <si>
    <t>255,40921,41287,276.8</t>
  </si>
  <si>
    <t>583,40929,41295,314.5</t>
  </si>
  <si>
    <t>404,40571,40936,192.5</t>
  </si>
  <si>
    <t>1013,40576,40941,229.9</t>
  </si>
  <si>
    <t>755,39493,39859,279.2</t>
  </si>
  <si>
    <t>600,39843,40208,188</t>
  </si>
  <si>
    <t>1188,40572,40937,311.8</t>
  </si>
  <si>
    <t>594,40566,40931,479.8</t>
  </si>
  <si>
    <t>577,40208,40573,104.9</t>
  </si>
  <si>
    <t>1333,39846,40211,261.5</t>
  </si>
  <si>
    <t>1333,39480,39846,244.1</t>
  </si>
  <si>
    <t>548,39812,40177,266.9</t>
  </si>
  <si>
    <t>26,39103,39468,191</t>
  </si>
  <si>
    <t>281,39105,39470,838.3</t>
  </si>
  <si>
    <t>480,40202,40567,134.5</t>
  </si>
  <si>
    <t>1083,39479,39845,39.3</t>
  </si>
  <si>
    <t>395,39845,40210,225.6</t>
  </si>
  <si>
    <t>478,40563,40928,30</t>
  </si>
  <si>
    <t>303,40565,40930,224.6</t>
  </si>
  <si>
    <t>774,39463,39829,465.4</t>
  </si>
  <si>
    <t>1075,39092,39457,170.1</t>
  </si>
  <si>
    <t>930,40204,40569,46.2</t>
  </si>
  <si>
    <t>1073,40939,41305,362.1</t>
  </si>
  <si>
    <t>26,40199,40564,207</t>
  </si>
  <si>
    <t>110,39097,39462,301.4</t>
  </si>
  <si>
    <t>162,40147,40200,0</t>
  </si>
  <si>
    <t>26,40564,40929,211.8</t>
  </si>
  <si>
    <t>594,39836,40201,492.1</t>
  </si>
  <si>
    <t>404,40206,40571,188.1</t>
  </si>
  <si>
    <t>1318,39107,39472,173</t>
  </si>
  <si>
    <t>848,40584,40949,500.9</t>
  </si>
  <si>
    <t>977,39112,39477,308.6</t>
  </si>
  <si>
    <t>295,40203,40568,273.7</t>
  </si>
  <si>
    <t>790,40238,40603,189.6</t>
  </si>
  <si>
    <t>794,39477,39843,255.6</t>
  </si>
  <si>
    <t>1311,40233,40598,280</t>
  </si>
  <si>
    <t>1101,39133,39487,0</t>
  </si>
  <si>
    <t>1408,39843,40208,231.5</t>
  </si>
  <si>
    <t>120,39811,40176,399.3</t>
  </si>
  <si>
    <t>457,39108,39473,185.5</t>
  </si>
  <si>
    <t>645,39972,40337,177.8</t>
  </si>
  <si>
    <t>898,39165,39531,257.6</t>
  </si>
  <si>
    <t>1188,39476,39842,284.5</t>
  </si>
  <si>
    <t>730,39128,39493,245.1</t>
  </si>
  <si>
    <t>977,40208,40573,334.2</t>
  </si>
  <si>
    <t>486,39415,39781,29.9</t>
  </si>
  <si>
    <t>1353,39473,39839,94.6</t>
  </si>
  <si>
    <t>232,40922,41288,208.2</t>
  </si>
  <si>
    <t>330,39477,39843,436.9</t>
  </si>
  <si>
    <t>45,40180,40545,231</t>
  </si>
  <si>
    <t>1206,39096,39461,239.2</t>
  </si>
  <si>
    <t>1075,40188,40553,184.4</t>
  </si>
  <si>
    <t>794,39843,40208,273.8</t>
  </si>
  <si>
    <t>1377,40941,41307,250.8</t>
  </si>
  <si>
    <t>812,40709,41075,271.5</t>
  </si>
  <si>
    <t>720,40944,41310,209.5</t>
  </si>
  <si>
    <t>1311,40598,40963,286.5</t>
  </si>
  <si>
    <t>594,40201,40566,469</t>
  </si>
  <si>
    <t>98,39466,39832,214.5</t>
  </si>
  <si>
    <t>1317,39846,40211,174.4</t>
  </si>
  <si>
    <t>1317,40211,40576,174.4</t>
  </si>
  <si>
    <t>480,40932,41298,139.3</t>
  </si>
  <si>
    <t>692,40177,40542,79.4</t>
  </si>
  <si>
    <t>110,40193,40558,326.5</t>
  </si>
  <si>
    <t>486,40511,40876,31.6</t>
  </si>
  <si>
    <t>398,39980,40345,280</t>
  </si>
  <si>
    <t>594,40931,41297,485.6</t>
  </si>
  <si>
    <t>1311,39137,39502,258.5</t>
  </si>
  <si>
    <t>1299,39101,39466,246.4</t>
  </si>
  <si>
    <t>977,39477,39843,312</t>
  </si>
  <si>
    <t>255,40191,40556,267.3</t>
  </si>
  <si>
    <t>1149,40210,40575,266.9</t>
  </si>
  <si>
    <t>912,39477,39843,39.2</t>
  </si>
  <si>
    <t>330,39112,39477,432.1</t>
  </si>
  <si>
    <t>98,39832,40197,229.8</t>
  </si>
  <si>
    <t>600,40208,40573,188</t>
  </si>
  <si>
    <t>1019,40210,40575,293</t>
  </si>
  <si>
    <t>774,40194,40559,498.5</t>
  </si>
  <si>
    <t>577,39843,40208,104.9</t>
  </si>
  <si>
    <t>1101,40948,41314,357.4</t>
  </si>
  <si>
    <t>548,39081,39446,246.3</t>
  </si>
  <si>
    <t>1101,39122,39487,318.6</t>
  </si>
  <si>
    <t>395,40210,40575,225.6</t>
  </si>
  <si>
    <t>645,40702,41068,181.9</t>
  </si>
  <si>
    <t>1073,40574,40939,357.8</t>
  </si>
  <si>
    <t>809,40381,40746,214.6</t>
  </si>
  <si>
    <t>1073,39478,39844,326.5</t>
  </si>
  <si>
    <t>162,39104,39469,209.2</t>
  </si>
  <si>
    <t>336,39830,40195,53.5</t>
  </si>
  <si>
    <t>1013,39115,39480,207.5</t>
  </si>
  <si>
    <t>1408,39477,39843,216.1</t>
  </si>
  <si>
    <t>281,39105,39172,0</t>
  </si>
  <si>
    <t>1377,40211,40576,242.2</t>
  </si>
  <si>
    <t>330,40598,40938,-57.009</t>
  </si>
  <si>
    <t>1307,39478,39844,409.8</t>
  </si>
  <si>
    <t>1377,39115,39480,223.4</t>
  </si>
  <si>
    <t>1353,40204,40569,99.7</t>
  </si>
  <si>
    <t>98,40197,40562,229.8</t>
  </si>
  <si>
    <t>548,40542,40907,273.1</t>
  </si>
  <si>
    <t>237,40908,41274,518.4</t>
  </si>
  <si>
    <t>336,40560,40925,53.5</t>
  </si>
  <si>
    <t>1206,40557,40922,265.1</t>
  </si>
  <si>
    <t>255,40556,40921,273.5</t>
  </si>
  <si>
    <t>26,40929,41295,214.4</t>
  </si>
  <si>
    <t>796,39843,40208,154</t>
  </si>
  <si>
    <t>1073,39113,39478,322.9</t>
  </si>
  <si>
    <t>295,39472,39838,255.5</t>
  </si>
  <si>
    <t>1269,40344,40709,196.9</t>
  </si>
  <si>
    <t>232,40192,40557,201</t>
  </si>
  <si>
    <t>1269,40709,41075,201.5</t>
  </si>
  <si>
    <t>115,39568,39933,195.9</t>
  </si>
  <si>
    <t>692,39812,40177,79.4</t>
  </si>
  <si>
    <t>959,39201,39567,0</t>
  </si>
  <si>
    <t>622,39844,40209,330.2</t>
  </si>
  <si>
    <t>720,40214,40579,202.3</t>
  </si>
  <si>
    <t>774,40924,41290,516.2</t>
  </si>
  <si>
    <t>929,39479,39845,150.3</t>
  </si>
  <si>
    <t>347,40556,40921,41.7</t>
  </si>
  <si>
    <t>1083,39845,40210,41.4</t>
  </si>
  <si>
    <t>1373,39478,39844,173.2</t>
  </si>
  <si>
    <t>1206,40922,41288,268.3</t>
  </si>
  <si>
    <t>692,39279,39446,10.797</t>
  </si>
  <si>
    <t>257,39850,40215,609.7</t>
  </si>
  <si>
    <t>1149,40575,40940,273.1</t>
  </si>
  <si>
    <t>45,40545,40910,236.4</t>
  </si>
  <si>
    <t>583,39834,40199,303.7</t>
  </si>
  <si>
    <t>480,40567,40932,137.6</t>
  </si>
  <si>
    <t>577,40573,40938,104.9</t>
  </si>
  <si>
    <t>336,39464,39830,50.7</t>
  </si>
  <si>
    <t>404,39841,40206,188.1</t>
  </si>
  <si>
    <t>255,39826,40191,267.3</t>
  </si>
  <si>
    <t>398,38884,39249,297.6</t>
  </si>
  <si>
    <t>755,39128,39493,276.1</t>
  </si>
  <si>
    <t>1377,40576,40941,247.8</t>
  </si>
  <si>
    <t>790,39142,39508,174.8</t>
  </si>
  <si>
    <t>1383,40970,41335,153.3</t>
  </si>
  <si>
    <t>303,39835,40200,219.5</t>
  </si>
  <si>
    <t>347,39095,39460,38.6</t>
  </si>
  <si>
    <t>1299,39466,39832,249.2</t>
  </si>
  <si>
    <t>45,40910,41276,239.3</t>
  </si>
  <si>
    <t>1311,40963,41329,290</t>
  </si>
  <si>
    <t>185,39667,39829,0</t>
  </si>
  <si>
    <t>720,39849,40214,202.3</t>
  </si>
  <si>
    <t>912,40938,41304,42.6</t>
  </si>
  <si>
    <t>395,40940,41306,233.6</t>
  </si>
  <si>
    <t>812,38883,39248,229</t>
  </si>
  <si>
    <t>594,39863,40201,-456.559</t>
  </si>
  <si>
    <t>185,39829,40194,236.8</t>
  </si>
  <si>
    <t>1019,39114,39479,270.5</t>
  </si>
  <si>
    <t>577,40938,41304,108.2</t>
  </si>
  <si>
    <t>277,40939,41305,259.9</t>
  </si>
  <si>
    <t>480,39106,39471,124.1</t>
  </si>
  <si>
    <t>774,39829,40194,498.5</t>
  </si>
  <si>
    <t>162,40500,40565,-40.407</t>
  </si>
  <si>
    <t>622,40209,40574,330.2</t>
  </si>
  <si>
    <t>1083,39114,39479,38.3</t>
  </si>
  <si>
    <t>1149,39114,39479,246.4</t>
  </si>
  <si>
    <t>330,39862,40208,-29.545</t>
  </si>
  <si>
    <t>232,40557,40922,205.7</t>
  </si>
  <si>
    <t>1311,39502,39868,261.4</t>
  </si>
  <si>
    <t>1318,39472,39838,175</t>
  </si>
  <si>
    <t>692,39081,39446,51.3</t>
  </si>
  <si>
    <t>1269,39248,39614,181.7</t>
  </si>
  <si>
    <t>185,40924,41290,245.3</t>
  </si>
  <si>
    <t>478,39102,39467,56.8</t>
  </si>
  <si>
    <t>115,40298,40663,179</t>
  </si>
  <si>
    <t>717,39465,39475,0</t>
  </si>
  <si>
    <t>495,39438,39804,57.9</t>
  </si>
  <si>
    <t>398,40710,41076,286.5</t>
  </si>
  <si>
    <t>1019,40575,40940,299.8</t>
  </si>
  <si>
    <t>120,40906,41272,413.5</t>
  </si>
  <si>
    <t>794,39112,39477,252.8</t>
  </si>
  <si>
    <t>848,39488,39854,457.1</t>
  </si>
  <si>
    <t>185,39107,39463,0</t>
  </si>
  <si>
    <t>796,39112,39477,142</t>
  </si>
  <si>
    <t>930,39108,39473,42.7</t>
  </si>
  <si>
    <t>720,40579,40944,207</t>
  </si>
  <si>
    <t>1188,40937,41303,315.6</t>
  </si>
  <si>
    <t>848,40949,41315,507</t>
  </si>
  <si>
    <t>281,39470,39836,847.6</t>
  </si>
  <si>
    <t>347,40939,41287,-17.115</t>
  </si>
  <si>
    <t>162,40200,40565,226.9</t>
  </si>
  <si>
    <t>577,39477,39843,99.6</t>
  </si>
  <si>
    <t>1353,39839,40204,99.7</t>
  </si>
  <si>
    <t>730,39859,40224,0</t>
  </si>
  <si>
    <t>929,40575,40940,164.8</t>
  </si>
  <si>
    <t>1318,39838,40203,187.5</t>
  </si>
  <si>
    <t>1101,39853,40218,345.1</t>
  </si>
  <si>
    <t>1269,39614,39979,184.5</t>
  </si>
  <si>
    <t>237,40543,40908,512.2</t>
  </si>
  <si>
    <t>255,39460,39826,249.5</t>
  </si>
  <si>
    <t>1361,40570,40935,272.6</t>
  </si>
  <si>
    <t>281,40566,40931,769</t>
  </si>
  <si>
    <t>898,39531,39896,260.5</t>
  </si>
  <si>
    <t>974,39877,40242,310.7</t>
  </si>
  <si>
    <t>583,39103,39468,280.2</t>
  </si>
  <si>
    <t>692,39446,39812,75.2</t>
  </si>
  <si>
    <t>1101,39487,39853,322.2</t>
  </si>
  <si>
    <t>912,40573,40938,41.3</t>
  </si>
  <si>
    <t>583,40199,40564,303.7</t>
  </si>
  <si>
    <t>1311,39868,40233,280</t>
  </si>
  <si>
    <t>870,39137,39502,219</t>
  </si>
  <si>
    <t>1075,39823,40188,184.4</t>
  </si>
  <si>
    <t>730,39493,39859,247.8</t>
  </si>
  <si>
    <t>404,40936,41302,194.9</t>
  </si>
  <si>
    <t>237,39447,39813,467.2</t>
  </si>
  <si>
    <t>1318,40568,40933,191.9</t>
  </si>
  <si>
    <t>277,39478,39844,234.3</t>
  </si>
  <si>
    <t>1373,40939,41305,192.3</t>
  </si>
  <si>
    <t>959,38836,39201,147.5</t>
  </si>
  <si>
    <t>548,40907,41273,276.4</t>
  </si>
  <si>
    <t>870,40233,40598,237.3</t>
  </si>
  <si>
    <t>600,40938,41304,194.8</t>
  </si>
  <si>
    <t>257,39484,39850,569.2</t>
  </si>
  <si>
    <t>1317,39115,39480,161</t>
  </si>
  <si>
    <t>622,39113,39478,304.9</t>
  </si>
  <si>
    <t>692,40542,40907,79.4</t>
  </si>
  <si>
    <t>26,40031,40199,0</t>
  </si>
  <si>
    <t>870,40963,41329,245.8</t>
  </si>
  <si>
    <t>796,40208,40573,154</t>
  </si>
  <si>
    <t>844,39111,39476,0</t>
  </si>
  <si>
    <t>45,39084,39449,213.2</t>
  </si>
  <si>
    <t>717,39110,39475,246.4</t>
  </si>
  <si>
    <t>879,39627,39992,142.7</t>
  </si>
  <si>
    <t>809,39651,40016,202.5</t>
  </si>
  <si>
    <t>1228,40575,40940,319.2</t>
  </si>
  <si>
    <t>110,40923,41289,338.2</t>
  </si>
  <si>
    <t>185,40194,40559,236.8</t>
  </si>
  <si>
    <t>930,39473,39839,43.8</t>
  </si>
  <si>
    <t>281,39173,39470,0</t>
  </si>
  <si>
    <t>336,40195,40560,53.5</t>
  </si>
  <si>
    <t>398,40345,40710,280</t>
  </si>
  <si>
    <t>1019,40940,41306,300</t>
  </si>
  <si>
    <t>247,40948,41314,268</t>
  </si>
  <si>
    <t>1333,39115,39480,241.4</t>
  </si>
  <si>
    <t>162,40565,40930,0</t>
  </si>
  <si>
    <t>977,40573,40938,341.9</t>
  </si>
  <si>
    <t>237,39813,40178,500.6</t>
  </si>
  <si>
    <t>929,40940,41306,166.8</t>
  </si>
  <si>
    <t>162,39469,39835,211.6</t>
  </si>
  <si>
    <t>404,39475,39841,175.6</t>
  </si>
  <si>
    <t>1101,40583,40948,353.1</t>
  </si>
  <si>
    <t>98,39101,39466,212.1</t>
  </si>
  <si>
    <t>395,39479,39845,210.6</t>
  </si>
  <si>
    <t>257,39119,39484,563</t>
  </si>
  <si>
    <t>1299,39832,40197,266.9</t>
  </si>
  <si>
    <t>336,40925,41291,55.2</t>
  </si>
  <si>
    <t>486,39050,39415,29.2</t>
  </si>
  <si>
    <t>1228,39479,39845,291.3</t>
  </si>
  <si>
    <t>912,39843,40208,41.3</t>
  </si>
  <si>
    <t>720,39118,39483,186.6</t>
  </si>
  <si>
    <t>495,39073,39438,56.6</t>
  </si>
  <si>
    <t>347,39826,40191,41.7</t>
  </si>
  <si>
    <t>330,40208,40573,400</t>
  </si>
  <si>
    <t>1361,40205,40570,266.4</t>
  </si>
  <si>
    <t>232,39461,39827,187.6</t>
  </si>
  <si>
    <t>1013,39480,39846,209.8</t>
  </si>
  <si>
    <t>790,39508,39873,176.8</t>
  </si>
  <si>
    <t>115,38837,39202,180.5</t>
  </si>
  <si>
    <t>1013,39846,40211,224.7</t>
  </si>
  <si>
    <t>794,40208,40573,273.8</t>
  </si>
  <si>
    <t>64,39835,40200,55.1</t>
  </si>
  <si>
    <t>930,39839,40204,46.2</t>
  </si>
  <si>
    <t>1307,40574,40939,449</t>
  </si>
  <si>
    <t>330,40573,40938,409.2</t>
  </si>
  <si>
    <t>295,39107,39472,252.7</t>
  </si>
  <si>
    <t>1073,39844,40209,349.7</t>
  </si>
  <si>
    <t>247,40218,40583,258.8</t>
  </si>
  <si>
    <t>796,40573,40938,157.6</t>
  </si>
  <si>
    <t>237,39119,39447,11.736</t>
  </si>
  <si>
    <t>1307,39113,39478,405.3</t>
  </si>
  <si>
    <t>480,39837,40202,134.5</t>
  </si>
  <si>
    <t>295,39838,40203,273.7</t>
  </si>
  <si>
    <t>1333,40576,40941,267.6</t>
  </si>
  <si>
    <t>247,39487,39853,241.6</t>
  </si>
  <si>
    <t>237,39082,39447,449</t>
  </si>
  <si>
    <t>1269,39979,40344,196.9</t>
  </si>
  <si>
    <t>720,39483,39849,188.7</t>
  </si>
  <si>
    <t>120,39445,39811,372.7</t>
  </si>
  <si>
    <t>1383,39509,39874,137.9</t>
  </si>
  <si>
    <t>330,40938,41304,352.2</t>
  </si>
  <si>
    <t>0,40452,40909,0</t>
  </si>
  <si>
    <t>548,40177,40542,266.9</t>
  </si>
  <si>
    <t>1333,40211,40576,261.5</t>
  </si>
  <si>
    <t>1299,39496,39832,0</t>
  </si>
  <si>
    <t>1013,40941,41307,232.7</t>
  </si>
  <si>
    <t>577,39112,39477,97.1</t>
  </si>
  <si>
    <t>717,40571,40936,273.1</t>
  </si>
  <si>
    <t>717,39841,40206,266.9</t>
  </si>
  <si>
    <t>45,39449,39815,215.6</t>
  </si>
  <si>
    <t>879,39261,39627,138.5</t>
  </si>
  <si>
    <t>1019,39845,40210,293</t>
  </si>
  <si>
    <t>Problem 3</t>
  </si>
  <si>
    <t>If you already done it in HW3, you don't need to do problem 3.</t>
  </si>
  <si>
    <t xml:space="preserve">On the “Problem 1” tab, column A contains a text string that’s a concatenation of 4 different fields: Policy_Num, Effective_Date, Expiration_Date, Premium.  Use comma (,) as delimiter to separate them into 4 columns. You can use any tool or functions within Excel to do it.  </t>
  </si>
  <si>
    <t>1 pt</t>
  </si>
  <si>
    <r>
      <t xml:space="preserve">Complete the following instructions, and upload this spreadsheet by </t>
    </r>
    <r>
      <rPr>
        <b/>
        <sz val="10"/>
        <rFont val="Arial"/>
        <family val="2"/>
      </rPr>
      <t>11:59 pm next Thursday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</si>
</sst>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u/>
      <sz val="10"/>
      <name val="Arial"/>
      <family val="2"/>
    </font>
    <font>
      <sz val="10"/>
      <name val="MS Sans Serif"/>
      <family val="2"/>
    </font>
    <font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0" fontId="5" fillId="2" borderId="0" applyNumberFormat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" fillId="0" borderId="0"/>
    <xf numFmtId="0" fontId="1" fillId="0" borderId="0"/>
    <xf numFmtId="43" fontId="4" fillId="0" borderId="0" applyFont="0" applyFill="0" applyBorder="0" applyAlignment="0" applyProtection="0"/>
    <xf numFmtId="0" fontId="4" fillId="0" borderId="0"/>
  </cellStyleXfs>
  <cellXfs count="43">
    <xf numFmtId="0" fontId="0" fillId="0" borderId="0" xfId="0"/>
    <xf numFmtId="0" fontId="0" fillId="0" borderId="0" xfId="0" applyNumberFormat="1"/>
    <xf numFmtId="0" fontId="3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2" xfId="0" applyBorder="1"/>
    <xf numFmtId="0" fontId="4" fillId="0" borderId="0" xfId="0" applyNumberFormat="1" applyFont="1"/>
    <xf numFmtId="0" fontId="6" fillId="0" borderId="0" xfId="2" applyFont="1"/>
    <xf numFmtId="0" fontId="4" fillId="0" borderId="0" xfId="2" applyFont="1" applyAlignment="1">
      <alignment horizontal="center"/>
    </xf>
    <xf numFmtId="44" fontId="4" fillId="0" borderId="0" xfId="3" quotePrefix="1" applyFont="1" applyAlignment="1">
      <alignment horizontal="center"/>
    </xf>
    <xf numFmtId="10" fontId="4" fillId="0" borderId="0" xfId="4" quotePrefix="1" applyNumberFormat="1" applyFont="1" applyAlignment="1">
      <alignment horizontal="center"/>
    </xf>
    <xf numFmtId="44" fontId="6" fillId="0" borderId="0" xfId="3" applyFont="1" applyAlignment="1">
      <alignment horizontal="center"/>
    </xf>
    <xf numFmtId="0" fontId="6" fillId="0" borderId="0" xfId="2" applyFont="1" applyAlignment="1">
      <alignment horizontal="center"/>
    </xf>
    <xf numFmtId="44" fontId="4" fillId="0" borderId="0" xfId="3" applyFont="1" applyAlignment="1">
      <alignment horizontal="center"/>
    </xf>
    <xf numFmtId="10" fontId="4" fillId="0" borderId="0" xfId="4" applyNumberFormat="1" applyFont="1" applyAlignment="1">
      <alignment horizontal="center"/>
    </xf>
    <xf numFmtId="0" fontId="4" fillId="0" borderId="0" xfId="2"/>
    <xf numFmtId="0" fontId="4" fillId="0" borderId="1" xfId="2" applyBorder="1" applyAlignment="1">
      <alignment horizontal="centerContinuous"/>
    </xf>
    <xf numFmtId="44" fontId="0" fillId="0" borderId="1" xfId="3" applyFont="1" applyBorder="1" applyAlignment="1">
      <alignment horizontal="centerContinuous"/>
    </xf>
    <xf numFmtId="10" fontId="0" fillId="0" borderId="1" xfId="4" applyNumberFormat="1" applyFont="1" applyBorder="1" applyAlignment="1">
      <alignment horizontal="centerContinuous"/>
    </xf>
    <xf numFmtId="0" fontId="4" fillId="0" borderId="0" xfId="2" applyAlignment="1">
      <alignment horizontal="center"/>
    </xf>
    <xf numFmtId="44" fontId="0" fillId="0" borderId="0" xfId="3" applyFont="1" applyAlignment="1">
      <alignment horizontal="center"/>
    </xf>
    <xf numFmtId="10" fontId="0" fillId="0" borderId="0" xfId="4" applyNumberFormat="1" applyFont="1" applyAlignment="1">
      <alignment horizontal="center"/>
    </xf>
    <xf numFmtId="10" fontId="6" fillId="0" borderId="0" xfId="4" applyNumberFormat="1" applyFont="1" applyAlignment="1">
      <alignment horizontal="center"/>
    </xf>
    <xf numFmtId="44" fontId="0" fillId="0" borderId="0" xfId="3" applyFont="1"/>
    <xf numFmtId="10" fontId="0" fillId="0" borderId="0" xfId="4" applyNumberFormat="1" applyFont="1"/>
    <xf numFmtId="10" fontId="4" fillId="0" borderId="0" xfId="2" applyNumberFormat="1"/>
    <xf numFmtId="44" fontId="4" fillId="0" borderId="0" xfId="2" applyNumberFormat="1"/>
    <xf numFmtId="4" fontId="4" fillId="0" borderId="0" xfId="2" applyNumberFormat="1"/>
    <xf numFmtId="0" fontId="4" fillId="0" borderId="0" xfId="2" applyAlignment="1"/>
    <xf numFmtId="0" fontId="4" fillId="0" borderId="0" xfId="2" quotePrefix="1"/>
    <xf numFmtId="3" fontId="4" fillId="0" borderId="0" xfId="2" applyNumberFormat="1"/>
    <xf numFmtId="0" fontId="5" fillId="2" borderId="0" xfId="1"/>
    <xf numFmtId="3" fontId="5" fillId="2" borderId="0" xfId="1" applyNumberFormat="1"/>
    <xf numFmtId="0" fontId="5" fillId="2" borderId="0" xfId="1" quotePrefix="1"/>
    <xf numFmtId="4" fontId="4" fillId="0" borderId="3" xfId="2" applyNumberFormat="1" applyBorder="1" applyAlignment="1"/>
    <xf numFmtId="4" fontId="4" fillId="0" borderId="4" xfId="2" applyNumberFormat="1" applyBorder="1" applyAlignment="1"/>
    <xf numFmtId="4" fontId="4" fillId="0" borderId="5" xfId="2" applyNumberFormat="1" applyBorder="1"/>
    <xf numFmtId="4" fontId="4" fillId="0" borderId="6" xfId="2" applyNumberFormat="1" applyBorder="1"/>
    <xf numFmtId="0" fontId="7" fillId="0" borderId="0" xfId="5" applyNumberFormat="1"/>
    <xf numFmtId="0" fontId="7" fillId="0" borderId="0" xfId="5" quotePrefix="1" applyNumberFormat="1"/>
    <xf numFmtId="0" fontId="4" fillId="0" borderId="0" xfId="0" applyFont="1" applyAlignment="1">
      <alignment horizontal="right"/>
    </xf>
    <xf numFmtId="0" fontId="1" fillId="0" borderId="0" xfId="6"/>
    <xf numFmtId="0" fontId="8" fillId="0" borderId="0" xfId="0" applyFont="1" applyAlignment="1">
      <alignment horizontal="left" vertical="top" wrapText="1"/>
    </xf>
  </cellXfs>
  <cellStyles count="9">
    <cellStyle name="Comma 2" xfId="7"/>
    <cellStyle name="Currency 2" xfId="3"/>
    <cellStyle name="Neutral" xfId="1" builtinId="28"/>
    <cellStyle name="Normal" xfId="0" builtinId="0"/>
    <cellStyle name="Normal 2" xfId="2"/>
    <cellStyle name="Normal 3" xfId="8"/>
    <cellStyle name="Normal 4" xfId="6"/>
    <cellStyle name="Normal_FTdata" xfId="5"/>
    <cellStyle name="Percent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5"/>
  <sheetViews>
    <sheetView workbookViewId="0">
      <selection activeCell="A2" sqref="A2"/>
    </sheetView>
  </sheetViews>
  <sheetFormatPr defaultRowHeight="12.75" x14ac:dyDescent="0.2"/>
  <sheetData>
    <row r="1" spans="1:2" x14ac:dyDescent="0.2">
      <c r="A1" s="4" t="s">
        <v>4</v>
      </c>
      <c r="B1" s="4" t="s">
        <v>5</v>
      </c>
    </row>
    <row r="2" spans="1:2" x14ac:dyDescent="0.2">
      <c r="A2" t="s">
        <v>87</v>
      </c>
      <c r="B2" t="s">
        <v>88</v>
      </c>
    </row>
    <row r="3" spans="1:2" x14ac:dyDescent="0.2">
      <c r="A3" t="s">
        <v>130</v>
      </c>
      <c r="B3" t="s">
        <v>131</v>
      </c>
    </row>
    <row r="4" spans="1:2" x14ac:dyDescent="0.2">
      <c r="A4" t="s">
        <v>132</v>
      </c>
      <c r="B4" t="s">
        <v>131</v>
      </c>
    </row>
    <row r="5" spans="1:2" x14ac:dyDescent="0.2">
      <c r="A5" t="s">
        <v>134</v>
      </c>
      <c r="B5" t="s">
        <v>131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2"/>
  <sheetViews>
    <sheetView tabSelected="1" zoomScaleNormal="100" workbookViewId="0">
      <selection activeCell="E7" sqref="E7"/>
    </sheetView>
  </sheetViews>
  <sheetFormatPr defaultRowHeight="12.75" x14ac:dyDescent="0.2"/>
  <cols>
    <col min="1" max="1" width="71" customWidth="1"/>
  </cols>
  <sheetData>
    <row r="1" spans="1:8" x14ac:dyDescent="0.2">
      <c r="A1" s="4" t="s">
        <v>640</v>
      </c>
    </row>
    <row r="2" spans="1:8" x14ac:dyDescent="0.2">
      <c r="A2" s="4" t="s">
        <v>133</v>
      </c>
    </row>
    <row r="3" spans="1:8" x14ac:dyDescent="0.2">
      <c r="A3" s="2" t="s">
        <v>127</v>
      </c>
    </row>
    <row r="4" spans="1:8" x14ac:dyDescent="0.2">
      <c r="A4" s="3" t="s">
        <v>3</v>
      </c>
      <c r="B4" s="5"/>
    </row>
    <row r="6" spans="1:8" ht="13.5" customHeight="1" x14ac:dyDescent="0.2">
      <c r="A6" s="2" t="s">
        <v>1</v>
      </c>
      <c r="B6" s="4" t="s">
        <v>639</v>
      </c>
    </row>
    <row r="7" spans="1:8" ht="63" customHeight="1" x14ac:dyDescent="0.2">
      <c r="A7" s="42" t="s">
        <v>638</v>
      </c>
      <c r="H7" s="1"/>
    </row>
    <row r="8" spans="1:8" x14ac:dyDescent="0.2">
      <c r="A8" s="42"/>
      <c r="H8" s="1"/>
    </row>
    <row r="9" spans="1:8" x14ac:dyDescent="0.2">
      <c r="A9" s="42"/>
    </row>
    <row r="10" spans="1:8" x14ac:dyDescent="0.2">
      <c r="A10" s="42"/>
    </row>
    <row r="11" spans="1:8" x14ac:dyDescent="0.2">
      <c r="A11" s="42"/>
    </row>
    <row r="12" spans="1:8" x14ac:dyDescent="0.2">
      <c r="A12" s="2" t="s">
        <v>2</v>
      </c>
      <c r="B12" s="3" t="s">
        <v>125</v>
      </c>
    </row>
    <row r="14" spans="1:8" x14ac:dyDescent="0.2">
      <c r="A14" s="6" t="s">
        <v>6</v>
      </c>
    </row>
    <row r="15" spans="1:8" x14ac:dyDescent="0.2">
      <c r="A15" s="6" t="s">
        <v>86</v>
      </c>
    </row>
    <row r="16" spans="1:8" x14ac:dyDescent="0.2">
      <c r="A16" s="4" t="s">
        <v>7</v>
      </c>
    </row>
    <row r="17" spans="1:2" x14ac:dyDescent="0.2">
      <c r="A17" s="4" t="s">
        <v>128</v>
      </c>
    </row>
    <row r="18" spans="1:2" x14ac:dyDescent="0.2">
      <c r="A18" s="4" t="s">
        <v>129</v>
      </c>
    </row>
    <row r="19" spans="1:2" x14ac:dyDescent="0.2">
      <c r="A19" t="s">
        <v>8</v>
      </c>
    </row>
    <row r="22" spans="1:2" x14ac:dyDescent="0.2">
      <c r="A22" s="2" t="s">
        <v>636</v>
      </c>
      <c r="B22" s="40" t="s">
        <v>125</v>
      </c>
    </row>
    <row r="24" spans="1:2" x14ac:dyDescent="0.2">
      <c r="A24" s="4" t="s">
        <v>89</v>
      </c>
      <c r="B24" s="2"/>
    </row>
    <row r="25" spans="1:2" x14ac:dyDescent="0.2">
      <c r="A25" s="4" t="s">
        <v>90</v>
      </c>
    </row>
    <row r="27" spans="1:2" x14ac:dyDescent="0.2">
      <c r="A27" s="4" t="s">
        <v>91</v>
      </c>
    </row>
    <row r="28" spans="1:2" x14ac:dyDescent="0.2">
      <c r="A28" s="4" t="s">
        <v>92</v>
      </c>
    </row>
    <row r="29" spans="1:2" x14ac:dyDescent="0.2">
      <c r="A29" s="4" t="s">
        <v>93</v>
      </c>
    </row>
    <row r="30" spans="1:2" x14ac:dyDescent="0.2">
      <c r="A30" s="4" t="s">
        <v>126</v>
      </c>
    </row>
    <row r="31" spans="1:2" x14ac:dyDescent="0.2">
      <c r="A31" s="4"/>
    </row>
    <row r="32" spans="1:2" x14ac:dyDescent="0.2">
      <c r="A32" s="4" t="s">
        <v>637</v>
      </c>
    </row>
  </sheetData>
  <mergeCells count="1">
    <mergeCell ref="A7:A1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01"/>
  <sheetViews>
    <sheetView workbookViewId="0">
      <selection sqref="A1:A501"/>
    </sheetView>
  </sheetViews>
  <sheetFormatPr defaultRowHeight="12.75" x14ac:dyDescent="0.2"/>
  <sheetData>
    <row r="1" spans="1:1" ht="15" x14ac:dyDescent="0.25">
      <c r="A1" s="41" t="s">
        <v>135</v>
      </c>
    </row>
    <row r="2" spans="1:1" ht="15" x14ac:dyDescent="0.25">
      <c r="A2" s="41" t="s">
        <v>136</v>
      </c>
    </row>
    <row r="3" spans="1:1" ht="15" x14ac:dyDescent="0.25">
      <c r="A3" s="41" t="s">
        <v>137</v>
      </c>
    </row>
    <row r="4" spans="1:1" ht="15" x14ac:dyDescent="0.25">
      <c r="A4" s="41" t="s">
        <v>138</v>
      </c>
    </row>
    <row r="5" spans="1:1" ht="15" x14ac:dyDescent="0.25">
      <c r="A5" s="41" t="s">
        <v>139</v>
      </c>
    </row>
    <row r="6" spans="1:1" ht="15" x14ac:dyDescent="0.25">
      <c r="A6" s="41" t="s">
        <v>140</v>
      </c>
    </row>
    <row r="7" spans="1:1" ht="15" x14ac:dyDescent="0.25">
      <c r="A7" s="41" t="s">
        <v>141</v>
      </c>
    </row>
    <row r="8" spans="1:1" ht="15" x14ac:dyDescent="0.25">
      <c r="A8" s="41" t="s">
        <v>142</v>
      </c>
    </row>
    <row r="9" spans="1:1" ht="15" x14ac:dyDescent="0.25">
      <c r="A9" s="41" t="s">
        <v>143</v>
      </c>
    </row>
    <row r="10" spans="1:1" ht="15" x14ac:dyDescent="0.25">
      <c r="A10" s="41" t="s">
        <v>144</v>
      </c>
    </row>
    <row r="11" spans="1:1" ht="15" x14ac:dyDescent="0.25">
      <c r="A11" s="41" t="s">
        <v>145</v>
      </c>
    </row>
    <row r="12" spans="1:1" ht="15" x14ac:dyDescent="0.25">
      <c r="A12" s="41" t="s">
        <v>146</v>
      </c>
    </row>
    <row r="13" spans="1:1" ht="15" x14ac:dyDescent="0.25">
      <c r="A13" s="41" t="s">
        <v>147</v>
      </c>
    </row>
    <row r="14" spans="1:1" ht="15" x14ac:dyDescent="0.25">
      <c r="A14" s="41" t="s">
        <v>148</v>
      </c>
    </row>
    <row r="15" spans="1:1" ht="15" x14ac:dyDescent="0.25">
      <c r="A15" s="41" t="s">
        <v>149</v>
      </c>
    </row>
    <row r="16" spans="1:1" ht="15" x14ac:dyDescent="0.25">
      <c r="A16" s="41" t="s">
        <v>150</v>
      </c>
    </row>
    <row r="17" spans="1:1" ht="15" x14ac:dyDescent="0.25">
      <c r="A17" s="41" t="s">
        <v>151</v>
      </c>
    </row>
    <row r="18" spans="1:1" ht="15" x14ac:dyDescent="0.25">
      <c r="A18" s="41" t="s">
        <v>152</v>
      </c>
    </row>
    <row r="19" spans="1:1" ht="15" x14ac:dyDescent="0.25">
      <c r="A19" s="41" t="s">
        <v>153</v>
      </c>
    </row>
    <row r="20" spans="1:1" ht="15" x14ac:dyDescent="0.25">
      <c r="A20" s="41" t="s">
        <v>154</v>
      </c>
    </row>
    <row r="21" spans="1:1" ht="15" x14ac:dyDescent="0.25">
      <c r="A21" s="41" t="s">
        <v>155</v>
      </c>
    </row>
    <row r="22" spans="1:1" ht="15" x14ac:dyDescent="0.25">
      <c r="A22" s="41" t="s">
        <v>156</v>
      </c>
    </row>
    <row r="23" spans="1:1" ht="15" x14ac:dyDescent="0.25">
      <c r="A23" s="41" t="s">
        <v>157</v>
      </c>
    </row>
    <row r="24" spans="1:1" ht="15" x14ac:dyDescent="0.25">
      <c r="A24" s="41" t="s">
        <v>158</v>
      </c>
    </row>
    <row r="25" spans="1:1" ht="15" x14ac:dyDescent="0.25">
      <c r="A25" s="41" t="s">
        <v>159</v>
      </c>
    </row>
    <row r="26" spans="1:1" ht="15" x14ac:dyDescent="0.25">
      <c r="A26" s="41" t="s">
        <v>160</v>
      </c>
    </row>
    <row r="27" spans="1:1" ht="15" x14ac:dyDescent="0.25">
      <c r="A27" s="41" t="s">
        <v>161</v>
      </c>
    </row>
    <row r="28" spans="1:1" ht="15" x14ac:dyDescent="0.25">
      <c r="A28" s="41" t="s">
        <v>162</v>
      </c>
    </row>
    <row r="29" spans="1:1" ht="15" x14ac:dyDescent="0.25">
      <c r="A29" s="41" t="s">
        <v>163</v>
      </c>
    </row>
    <row r="30" spans="1:1" ht="15" x14ac:dyDescent="0.25">
      <c r="A30" s="41" t="s">
        <v>164</v>
      </c>
    </row>
    <row r="31" spans="1:1" ht="15" x14ac:dyDescent="0.25">
      <c r="A31" s="41" t="s">
        <v>165</v>
      </c>
    </row>
    <row r="32" spans="1:1" ht="15" x14ac:dyDescent="0.25">
      <c r="A32" s="41" t="s">
        <v>166</v>
      </c>
    </row>
    <row r="33" spans="1:1" ht="15" x14ac:dyDescent="0.25">
      <c r="A33" s="41" t="s">
        <v>167</v>
      </c>
    </row>
    <row r="34" spans="1:1" ht="15" x14ac:dyDescent="0.25">
      <c r="A34" s="41" t="s">
        <v>168</v>
      </c>
    </row>
    <row r="35" spans="1:1" ht="15" x14ac:dyDescent="0.25">
      <c r="A35" s="41" t="s">
        <v>169</v>
      </c>
    </row>
    <row r="36" spans="1:1" ht="15" x14ac:dyDescent="0.25">
      <c r="A36" s="41" t="s">
        <v>170</v>
      </c>
    </row>
    <row r="37" spans="1:1" ht="15" x14ac:dyDescent="0.25">
      <c r="A37" s="41" t="s">
        <v>171</v>
      </c>
    </row>
    <row r="38" spans="1:1" ht="15" x14ac:dyDescent="0.25">
      <c r="A38" s="41" t="s">
        <v>172</v>
      </c>
    </row>
    <row r="39" spans="1:1" ht="15" x14ac:dyDescent="0.25">
      <c r="A39" s="41" t="s">
        <v>173</v>
      </c>
    </row>
    <row r="40" spans="1:1" ht="15" x14ac:dyDescent="0.25">
      <c r="A40" s="41" t="s">
        <v>174</v>
      </c>
    </row>
    <row r="41" spans="1:1" ht="15" x14ac:dyDescent="0.25">
      <c r="A41" s="41" t="s">
        <v>175</v>
      </c>
    </row>
    <row r="42" spans="1:1" ht="15" x14ac:dyDescent="0.25">
      <c r="A42" s="41" t="s">
        <v>176</v>
      </c>
    </row>
    <row r="43" spans="1:1" ht="15" x14ac:dyDescent="0.25">
      <c r="A43" s="41" t="s">
        <v>177</v>
      </c>
    </row>
    <row r="44" spans="1:1" ht="15" x14ac:dyDescent="0.25">
      <c r="A44" s="41" t="s">
        <v>178</v>
      </c>
    </row>
    <row r="45" spans="1:1" ht="15" x14ac:dyDescent="0.25">
      <c r="A45" s="41" t="s">
        <v>179</v>
      </c>
    </row>
    <row r="46" spans="1:1" ht="15" x14ac:dyDescent="0.25">
      <c r="A46" s="41" t="s">
        <v>180</v>
      </c>
    </row>
    <row r="47" spans="1:1" ht="15" x14ac:dyDescent="0.25">
      <c r="A47" s="41" t="s">
        <v>181</v>
      </c>
    </row>
    <row r="48" spans="1:1" ht="15" x14ac:dyDescent="0.25">
      <c r="A48" s="41" t="s">
        <v>182</v>
      </c>
    </row>
    <row r="49" spans="1:1" ht="15" x14ac:dyDescent="0.25">
      <c r="A49" s="41" t="s">
        <v>183</v>
      </c>
    </row>
    <row r="50" spans="1:1" ht="15" x14ac:dyDescent="0.25">
      <c r="A50" s="41" t="s">
        <v>184</v>
      </c>
    </row>
    <row r="51" spans="1:1" ht="15" x14ac:dyDescent="0.25">
      <c r="A51" s="41" t="s">
        <v>185</v>
      </c>
    </row>
    <row r="52" spans="1:1" ht="15" x14ac:dyDescent="0.25">
      <c r="A52" s="41" t="s">
        <v>186</v>
      </c>
    </row>
    <row r="53" spans="1:1" ht="15" x14ac:dyDescent="0.25">
      <c r="A53" s="41" t="s">
        <v>187</v>
      </c>
    </row>
    <row r="54" spans="1:1" ht="15" x14ac:dyDescent="0.25">
      <c r="A54" s="41" t="s">
        <v>188</v>
      </c>
    </row>
    <row r="55" spans="1:1" ht="15" x14ac:dyDescent="0.25">
      <c r="A55" s="41" t="s">
        <v>189</v>
      </c>
    </row>
    <row r="56" spans="1:1" ht="15" x14ac:dyDescent="0.25">
      <c r="A56" s="41" t="s">
        <v>190</v>
      </c>
    </row>
    <row r="57" spans="1:1" ht="15" x14ac:dyDescent="0.25">
      <c r="A57" s="41" t="s">
        <v>191</v>
      </c>
    </row>
    <row r="58" spans="1:1" ht="15" x14ac:dyDescent="0.25">
      <c r="A58" s="41" t="s">
        <v>192</v>
      </c>
    </row>
    <row r="59" spans="1:1" ht="15" x14ac:dyDescent="0.25">
      <c r="A59" s="41" t="s">
        <v>193</v>
      </c>
    </row>
    <row r="60" spans="1:1" ht="15" x14ac:dyDescent="0.25">
      <c r="A60" s="41" t="s">
        <v>194</v>
      </c>
    </row>
    <row r="61" spans="1:1" ht="15" x14ac:dyDescent="0.25">
      <c r="A61" s="41" t="s">
        <v>195</v>
      </c>
    </row>
    <row r="62" spans="1:1" ht="15" x14ac:dyDescent="0.25">
      <c r="A62" s="41" t="s">
        <v>196</v>
      </c>
    </row>
    <row r="63" spans="1:1" ht="15" x14ac:dyDescent="0.25">
      <c r="A63" s="41" t="s">
        <v>197</v>
      </c>
    </row>
    <row r="64" spans="1:1" ht="15" x14ac:dyDescent="0.25">
      <c r="A64" s="41" t="s">
        <v>198</v>
      </c>
    </row>
    <row r="65" spans="1:1" ht="15" x14ac:dyDescent="0.25">
      <c r="A65" s="41" t="s">
        <v>199</v>
      </c>
    </row>
    <row r="66" spans="1:1" ht="15" x14ac:dyDescent="0.25">
      <c r="A66" s="41" t="s">
        <v>200</v>
      </c>
    </row>
    <row r="67" spans="1:1" ht="15" x14ac:dyDescent="0.25">
      <c r="A67" s="41" t="s">
        <v>201</v>
      </c>
    </row>
    <row r="68" spans="1:1" ht="15" x14ac:dyDescent="0.25">
      <c r="A68" s="41" t="s">
        <v>202</v>
      </c>
    </row>
    <row r="69" spans="1:1" ht="15" x14ac:dyDescent="0.25">
      <c r="A69" s="41" t="s">
        <v>203</v>
      </c>
    </row>
    <row r="70" spans="1:1" ht="15" x14ac:dyDescent="0.25">
      <c r="A70" s="41" t="s">
        <v>204</v>
      </c>
    </row>
    <row r="71" spans="1:1" ht="15" x14ac:dyDescent="0.25">
      <c r="A71" s="41" t="s">
        <v>205</v>
      </c>
    </row>
    <row r="72" spans="1:1" ht="15" x14ac:dyDescent="0.25">
      <c r="A72" s="41" t="s">
        <v>206</v>
      </c>
    </row>
    <row r="73" spans="1:1" ht="15" x14ac:dyDescent="0.25">
      <c r="A73" s="41" t="s">
        <v>207</v>
      </c>
    </row>
    <row r="74" spans="1:1" ht="15" x14ac:dyDescent="0.25">
      <c r="A74" s="41" t="s">
        <v>208</v>
      </c>
    </row>
    <row r="75" spans="1:1" ht="15" x14ac:dyDescent="0.25">
      <c r="A75" s="41" t="s">
        <v>209</v>
      </c>
    </row>
    <row r="76" spans="1:1" ht="15" x14ac:dyDescent="0.25">
      <c r="A76" s="41" t="s">
        <v>210</v>
      </c>
    </row>
    <row r="77" spans="1:1" ht="15" x14ac:dyDescent="0.25">
      <c r="A77" s="41" t="s">
        <v>211</v>
      </c>
    </row>
    <row r="78" spans="1:1" ht="15" x14ac:dyDescent="0.25">
      <c r="A78" s="41" t="s">
        <v>212</v>
      </c>
    </row>
    <row r="79" spans="1:1" ht="15" x14ac:dyDescent="0.25">
      <c r="A79" s="41" t="s">
        <v>213</v>
      </c>
    </row>
    <row r="80" spans="1:1" ht="15" x14ac:dyDescent="0.25">
      <c r="A80" s="41" t="s">
        <v>214</v>
      </c>
    </row>
    <row r="81" spans="1:1" ht="15" x14ac:dyDescent="0.25">
      <c r="A81" s="41" t="s">
        <v>215</v>
      </c>
    </row>
    <row r="82" spans="1:1" ht="15" x14ac:dyDescent="0.25">
      <c r="A82" s="41" t="s">
        <v>216</v>
      </c>
    </row>
    <row r="83" spans="1:1" ht="15" x14ac:dyDescent="0.25">
      <c r="A83" s="41" t="s">
        <v>217</v>
      </c>
    </row>
    <row r="84" spans="1:1" ht="15" x14ac:dyDescent="0.25">
      <c r="A84" s="41" t="s">
        <v>218</v>
      </c>
    </row>
    <row r="85" spans="1:1" ht="15" x14ac:dyDescent="0.25">
      <c r="A85" s="41" t="s">
        <v>219</v>
      </c>
    </row>
    <row r="86" spans="1:1" ht="15" x14ac:dyDescent="0.25">
      <c r="A86" s="41" t="s">
        <v>220</v>
      </c>
    </row>
    <row r="87" spans="1:1" ht="15" x14ac:dyDescent="0.25">
      <c r="A87" s="41" t="s">
        <v>221</v>
      </c>
    </row>
    <row r="88" spans="1:1" ht="15" x14ac:dyDescent="0.25">
      <c r="A88" s="41" t="s">
        <v>222</v>
      </c>
    </row>
    <row r="89" spans="1:1" ht="15" x14ac:dyDescent="0.25">
      <c r="A89" s="41" t="s">
        <v>223</v>
      </c>
    </row>
    <row r="90" spans="1:1" ht="15" x14ac:dyDescent="0.25">
      <c r="A90" s="41" t="s">
        <v>224</v>
      </c>
    </row>
    <row r="91" spans="1:1" ht="15" x14ac:dyDescent="0.25">
      <c r="A91" s="41" t="s">
        <v>225</v>
      </c>
    </row>
    <row r="92" spans="1:1" ht="15" x14ac:dyDescent="0.25">
      <c r="A92" s="41" t="s">
        <v>226</v>
      </c>
    </row>
    <row r="93" spans="1:1" ht="15" x14ac:dyDescent="0.25">
      <c r="A93" s="41" t="s">
        <v>227</v>
      </c>
    </row>
    <row r="94" spans="1:1" ht="15" x14ac:dyDescent="0.25">
      <c r="A94" s="41" t="s">
        <v>228</v>
      </c>
    </row>
    <row r="95" spans="1:1" ht="15" x14ac:dyDescent="0.25">
      <c r="A95" s="41" t="s">
        <v>229</v>
      </c>
    </row>
    <row r="96" spans="1:1" ht="15" x14ac:dyDescent="0.25">
      <c r="A96" s="41" t="s">
        <v>230</v>
      </c>
    </row>
    <row r="97" spans="1:1" ht="15" x14ac:dyDescent="0.25">
      <c r="A97" s="41" t="s">
        <v>231</v>
      </c>
    </row>
    <row r="98" spans="1:1" ht="15" x14ac:dyDescent="0.25">
      <c r="A98" s="41" t="s">
        <v>232</v>
      </c>
    </row>
    <row r="99" spans="1:1" ht="15" x14ac:dyDescent="0.25">
      <c r="A99" s="41" t="s">
        <v>233</v>
      </c>
    </row>
    <row r="100" spans="1:1" ht="15" x14ac:dyDescent="0.25">
      <c r="A100" s="41" t="s">
        <v>234</v>
      </c>
    </row>
    <row r="101" spans="1:1" ht="15" x14ac:dyDescent="0.25">
      <c r="A101" s="41" t="s">
        <v>235</v>
      </c>
    </row>
    <row r="102" spans="1:1" ht="15" x14ac:dyDescent="0.25">
      <c r="A102" s="41" t="s">
        <v>236</v>
      </c>
    </row>
    <row r="103" spans="1:1" ht="15" x14ac:dyDescent="0.25">
      <c r="A103" s="41" t="s">
        <v>237</v>
      </c>
    </row>
    <row r="104" spans="1:1" ht="15" x14ac:dyDescent="0.25">
      <c r="A104" s="41" t="s">
        <v>238</v>
      </c>
    </row>
    <row r="105" spans="1:1" ht="15" x14ac:dyDescent="0.25">
      <c r="A105" s="41" t="s">
        <v>239</v>
      </c>
    </row>
    <row r="106" spans="1:1" ht="15" x14ac:dyDescent="0.25">
      <c r="A106" s="41" t="s">
        <v>240</v>
      </c>
    </row>
    <row r="107" spans="1:1" ht="15" x14ac:dyDescent="0.25">
      <c r="A107" s="41" t="s">
        <v>241</v>
      </c>
    </row>
    <row r="108" spans="1:1" ht="15" x14ac:dyDescent="0.25">
      <c r="A108" s="41" t="s">
        <v>242</v>
      </c>
    </row>
    <row r="109" spans="1:1" ht="15" x14ac:dyDescent="0.25">
      <c r="A109" s="41" t="s">
        <v>243</v>
      </c>
    </row>
    <row r="110" spans="1:1" ht="15" x14ac:dyDescent="0.25">
      <c r="A110" s="41" t="s">
        <v>244</v>
      </c>
    </row>
    <row r="111" spans="1:1" ht="15" x14ac:dyDescent="0.25">
      <c r="A111" s="41" t="s">
        <v>245</v>
      </c>
    </row>
    <row r="112" spans="1:1" ht="15" x14ac:dyDescent="0.25">
      <c r="A112" s="41" t="s">
        <v>246</v>
      </c>
    </row>
    <row r="113" spans="1:1" ht="15" x14ac:dyDescent="0.25">
      <c r="A113" s="41" t="s">
        <v>247</v>
      </c>
    </row>
    <row r="114" spans="1:1" ht="15" x14ac:dyDescent="0.25">
      <c r="A114" s="41" t="s">
        <v>248</v>
      </c>
    </row>
    <row r="115" spans="1:1" ht="15" x14ac:dyDescent="0.25">
      <c r="A115" s="41" t="s">
        <v>249</v>
      </c>
    </row>
    <row r="116" spans="1:1" ht="15" x14ac:dyDescent="0.25">
      <c r="A116" s="41" t="s">
        <v>250</v>
      </c>
    </row>
    <row r="117" spans="1:1" ht="15" x14ac:dyDescent="0.25">
      <c r="A117" s="41" t="s">
        <v>251</v>
      </c>
    </row>
    <row r="118" spans="1:1" ht="15" x14ac:dyDescent="0.25">
      <c r="A118" s="41" t="s">
        <v>252</v>
      </c>
    </row>
    <row r="119" spans="1:1" ht="15" x14ac:dyDescent="0.25">
      <c r="A119" s="41" t="s">
        <v>253</v>
      </c>
    </row>
    <row r="120" spans="1:1" ht="15" x14ac:dyDescent="0.25">
      <c r="A120" s="41" t="s">
        <v>254</v>
      </c>
    </row>
    <row r="121" spans="1:1" ht="15" x14ac:dyDescent="0.25">
      <c r="A121" s="41" t="s">
        <v>255</v>
      </c>
    </row>
    <row r="122" spans="1:1" ht="15" x14ac:dyDescent="0.25">
      <c r="A122" s="41" t="s">
        <v>256</v>
      </c>
    </row>
    <row r="123" spans="1:1" ht="15" x14ac:dyDescent="0.25">
      <c r="A123" s="41" t="s">
        <v>257</v>
      </c>
    </row>
    <row r="124" spans="1:1" ht="15" x14ac:dyDescent="0.25">
      <c r="A124" s="41" t="s">
        <v>258</v>
      </c>
    </row>
    <row r="125" spans="1:1" ht="15" x14ac:dyDescent="0.25">
      <c r="A125" s="41" t="s">
        <v>259</v>
      </c>
    </row>
    <row r="126" spans="1:1" ht="15" x14ac:dyDescent="0.25">
      <c r="A126" s="41" t="s">
        <v>260</v>
      </c>
    </row>
    <row r="127" spans="1:1" ht="15" x14ac:dyDescent="0.25">
      <c r="A127" s="41" t="s">
        <v>261</v>
      </c>
    </row>
    <row r="128" spans="1:1" ht="15" x14ac:dyDescent="0.25">
      <c r="A128" s="41" t="s">
        <v>262</v>
      </c>
    </row>
    <row r="129" spans="1:1" ht="15" x14ac:dyDescent="0.25">
      <c r="A129" s="41" t="s">
        <v>263</v>
      </c>
    </row>
    <row r="130" spans="1:1" ht="15" x14ac:dyDescent="0.25">
      <c r="A130" s="41" t="s">
        <v>264</v>
      </c>
    </row>
    <row r="131" spans="1:1" ht="15" x14ac:dyDescent="0.25">
      <c r="A131" s="41" t="s">
        <v>265</v>
      </c>
    </row>
    <row r="132" spans="1:1" ht="15" x14ac:dyDescent="0.25">
      <c r="A132" s="41" t="s">
        <v>266</v>
      </c>
    </row>
    <row r="133" spans="1:1" ht="15" x14ac:dyDescent="0.25">
      <c r="A133" s="41" t="s">
        <v>267</v>
      </c>
    </row>
    <row r="134" spans="1:1" ht="15" x14ac:dyDescent="0.25">
      <c r="A134" s="41" t="s">
        <v>268</v>
      </c>
    </row>
    <row r="135" spans="1:1" ht="15" x14ac:dyDescent="0.25">
      <c r="A135" s="41" t="s">
        <v>269</v>
      </c>
    </row>
    <row r="136" spans="1:1" ht="15" x14ac:dyDescent="0.25">
      <c r="A136" s="41" t="s">
        <v>270</v>
      </c>
    </row>
    <row r="137" spans="1:1" ht="15" x14ac:dyDescent="0.25">
      <c r="A137" s="41" t="s">
        <v>271</v>
      </c>
    </row>
    <row r="138" spans="1:1" ht="15" x14ac:dyDescent="0.25">
      <c r="A138" s="41" t="s">
        <v>272</v>
      </c>
    </row>
    <row r="139" spans="1:1" ht="15" x14ac:dyDescent="0.25">
      <c r="A139" s="41" t="s">
        <v>273</v>
      </c>
    </row>
    <row r="140" spans="1:1" ht="15" x14ac:dyDescent="0.25">
      <c r="A140" s="41" t="s">
        <v>274</v>
      </c>
    </row>
    <row r="141" spans="1:1" ht="15" x14ac:dyDescent="0.25">
      <c r="A141" s="41" t="s">
        <v>275</v>
      </c>
    </row>
    <row r="142" spans="1:1" ht="15" x14ac:dyDescent="0.25">
      <c r="A142" s="41" t="s">
        <v>276</v>
      </c>
    </row>
    <row r="143" spans="1:1" ht="15" x14ac:dyDescent="0.25">
      <c r="A143" s="41" t="s">
        <v>277</v>
      </c>
    </row>
    <row r="144" spans="1:1" ht="15" x14ac:dyDescent="0.25">
      <c r="A144" s="41" t="s">
        <v>278</v>
      </c>
    </row>
    <row r="145" spans="1:1" ht="15" x14ac:dyDescent="0.25">
      <c r="A145" s="41" t="s">
        <v>279</v>
      </c>
    </row>
    <row r="146" spans="1:1" ht="15" x14ac:dyDescent="0.25">
      <c r="A146" s="41" t="s">
        <v>280</v>
      </c>
    </row>
    <row r="147" spans="1:1" ht="15" x14ac:dyDescent="0.25">
      <c r="A147" s="41" t="s">
        <v>281</v>
      </c>
    </row>
    <row r="148" spans="1:1" ht="15" x14ac:dyDescent="0.25">
      <c r="A148" s="41" t="s">
        <v>282</v>
      </c>
    </row>
    <row r="149" spans="1:1" ht="15" x14ac:dyDescent="0.25">
      <c r="A149" s="41" t="s">
        <v>283</v>
      </c>
    </row>
    <row r="150" spans="1:1" ht="15" x14ac:dyDescent="0.25">
      <c r="A150" s="41" t="s">
        <v>284</v>
      </c>
    </row>
    <row r="151" spans="1:1" ht="15" x14ac:dyDescent="0.25">
      <c r="A151" s="41" t="s">
        <v>285</v>
      </c>
    </row>
    <row r="152" spans="1:1" ht="15" x14ac:dyDescent="0.25">
      <c r="A152" s="41" t="s">
        <v>286</v>
      </c>
    </row>
    <row r="153" spans="1:1" ht="15" x14ac:dyDescent="0.25">
      <c r="A153" s="41" t="s">
        <v>287</v>
      </c>
    </row>
    <row r="154" spans="1:1" ht="15" x14ac:dyDescent="0.25">
      <c r="A154" s="41" t="s">
        <v>288</v>
      </c>
    </row>
    <row r="155" spans="1:1" ht="15" x14ac:dyDescent="0.25">
      <c r="A155" s="41" t="s">
        <v>289</v>
      </c>
    </row>
    <row r="156" spans="1:1" ht="15" x14ac:dyDescent="0.25">
      <c r="A156" s="41" t="s">
        <v>290</v>
      </c>
    </row>
    <row r="157" spans="1:1" ht="15" x14ac:dyDescent="0.25">
      <c r="A157" s="41" t="s">
        <v>291</v>
      </c>
    </row>
    <row r="158" spans="1:1" ht="15" x14ac:dyDescent="0.25">
      <c r="A158" s="41" t="s">
        <v>292</v>
      </c>
    </row>
    <row r="159" spans="1:1" ht="15" x14ac:dyDescent="0.25">
      <c r="A159" s="41" t="s">
        <v>293</v>
      </c>
    </row>
    <row r="160" spans="1:1" ht="15" x14ac:dyDescent="0.25">
      <c r="A160" s="41" t="s">
        <v>294</v>
      </c>
    </row>
    <row r="161" spans="1:1" ht="15" x14ac:dyDescent="0.25">
      <c r="A161" s="41" t="s">
        <v>295</v>
      </c>
    </row>
    <row r="162" spans="1:1" ht="15" x14ac:dyDescent="0.25">
      <c r="A162" s="41" t="s">
        <v>296</v>
      </c>
    </row>
    <row r="163" spans="1:1" ht="15" x14ac:dyDescent="0.25">
      <c r="A163" s="41" t="s">
        <v>297</v>
      </c>
    </row>
    <row r="164" spans="1:1" ht="15" x14ac:dyDescent="0.25">
      <c r="A164" s="41" t="s">
        <v>298</v>
      </c>
    </row>
    <row r="165" spans="1:1" ht="15" x14ac:dyDescent="0.25">
      <c r="A165" s="41" t="s">
        <v>299</v>
      </c>
    </row>
    <row r="166" spans="1:1" ht="15" x14ac:dyDescent="0.25">
      <c r="A166" s="41" t="s">
        <v>300</v>
      </c>
    </row>
    <row r="167" spans="1:1" ht="15" x14ac:dyDescent="0.25">
      <c r="A167" s="41" t="s">
        <v>301</v>
      </c>
    </row>
    <row r="168" spans="1:1" ht="15" x14ac:dyDescent="0.25">
      <c r="A168" s="41" t="s">
        <v>302</v>
      </c>
    </row>
    <row r="169" spans="1:1" ht="15" x14ac:dyDescent="0.25">
      <c r="A169" s="41" t="s">
        <v>303</v>
      </c>
    </row>
    <row r="170" spans="1:1" ht="15" x14ac:dyDescent="0.25">
      <c r="A170" s="41" t="s">
        <v>304</v>
      </c>
    </row>
    <row r="171" spans="1:1" ht="15" x14ac:dyDescent="0.25">
      <c r="A171" s="41" t="s">
        <v>305</v>
      </c>
    </row>
    <row r="172" spans="1:1" ht="15" x14ac:dyDescent="0.25">
      <c r="A172" s="41" t="s">
        <v>306</v>
      </c>
    </row>
    <row r="173" spans="1:1" ht="15" x14ac:dyDescent="0.25">
      <c r="A173" s="41" t="s">
        <v>307</v>
      </c>
    </row>
    <row r="174" spans="1:1" ht="15" x14ac:dyDescent="0.25">
      <c r="A174" s="41" t="s">
        <v>308</v>
      </c>
    </row>
    <row r="175" spans="1:1" ht="15" x14ac:dyDescent="0.25">
      <c r="A175" s="41" t="s">
        <v>309</v>
      </c>
    </row>
    <row r="176" spans="1:1" ht="15" x14ac:dyDescent="0.25">
      <c r="A176" s="41" t="s">
        <v>310</v>
      </c>
    </row>
    <row r="177" spans="1:1" ht="15" x14ac:dyDescent="0.25">
      <c r="A177" s="41" t="s">
        <v>311</v>
      </c>
    </row>
    <row r="178" spans="1:1" ht="15" x14ac:dyDescent="0.25">
      <c r="A178" s="41" t="s">
        <v>312</v>
      </c>
    </row>
    <row r="179" spans="1:1" ht="15" x14ac:dyDescent="0.25">
      <c r="A179" s="41" t="s">
        <v>313</v>
      </c>
    </row>
    <row r="180" spans="1:1" ht="15" x14ac:dyDescent="0.25">
      <c r="A180" s="41" t="s">
        <v>314</v>
      </c>
    </row>
    <row r="181" spans="1:1" ht="15" x14ac:dyDescent="0.25">
      <c r="A181" s="41" t="s">
        <v>315</v>
      </c>
    </row>
    <row r="182" spans="1:1" ht="15" x14ac:dyDescent="0.25">
      <c r="A182" s="41" t="s">
        <v>316</v>
      </c>
    </row>
    <row r="183" spans="1:1" ht="15" x14ac:dyDescent="0.25">
      <c r="A183" s="41" t="s">
        <v>317</v>
      </c>
    </row>
    <row r="184" spans="1:1" ht="15" x14ac:dyDescent="0.25">
      <c r="A184" s="41" t="s">
        <v>318</v>
      </c>
    </row>
    <row r="185" spans="1:1" ht="15" x14ac:dyDescent="0.25">
      <c r="A185" s="41" t="s">
        <v>319</v>
      </c>
    </row>
    <row r="186" spans="1:1" ht="15" x14ac:dyDescent="0.25">
      <c r="A186" s="41" t="s">
        <v>320</v>
      </c>
    </row>
    <row r="187" spans="1:1" ht="15" x14ac:dyDescent="0.25">
      <c r="A187" s="41" t="s">
        <v>321</v>
      </c>
    </row>
    <row r="188" spans="1:1" ht="15" x14ac:dyDescent="0.25">
      <c r="A188" s="41" t="s">
        <v>322</v>
      </c>
    </row>
    <row r="189" spans="1:1" ht="15" x14ac:dyDescent="0.25">
      <c r="A189" s="41" t="s">
        <v>323</v>
      </c>
    </row>
    <row r="190" spans="1:1" ht="15" x14ac:dyDescent="0.25">
      <c r="A190" s="41" t="s">
        <v>324</v>
      </c>
    </row>
    <row r="191" spans="1:1" ht="15" x14ac:dyDescent="0.25">
      <c r="A191" s="41" t="s">
        <v>325</v>
      </c>
    </row>
    <row r="192" spans="1:1" ht="15" x14ac:dyDescent="0.25">
      <c r="A192" s="41" t="s">
        <v>326</v>
      </c>
    </row>
    <row r="193" spans="1:1" ht="15" x14ac:dyDescent="0.25">
      <c r="A193" s="41" t="s">
        <v>327</v>
      </c>
    </row>
    <row r="194" spans="1:1" ht="15" x14ac:dyDescent="0.25">
      <c r="A194" s="41" t="s">
        <v>328</v>
      </c>
    </row>
    <row r="195" spans="1:1" ht="15" x14ac:dyDescent="0.25">
      <c r="A195" s="41" t="s">
        <v>329</v>
      </c>
    </row>
    <row r="196" spans="1:1" ht="15" x14ac:dyDescent="0.25">
      <c r="A196" s="41" t="s">
        <v>330</v>
      </c>
    </row>
    <row r="197" spans="1:1" ht="15" x14ac:dyDescent="0.25">
      <c r="A197" s="41" t="s">
        <v>331</v>
      </c>
    </row>
    <row r="198" spans="1:1" ht="15" x14ac:dyDescent="0.25">
      <c r="A198" s="41" t="s">
        <v>332</v>
      </c>
    </row>
    <row r="199" spans="1:1" ht="15" x14ac:dyDescent="0.25">
      <c r="A199" s="41" t="s">
        <v>333</v>
      </c>
    </row>
    <row r="200" spans="1:1" ht="15" x14ac:dyDescent="0.25">
      <c r="A200" s="41" t="s">
        <v>334</v>
      </c>
    </row>
    <row r="201" spans="1:1" ht="15" x14ac:dyDescent="0.25">
      <c r="A201" s="41" t="s">
        <v>335</v>
      </c>
    </row>
    <row r="202" spans="1:1" ht="15" x14ac:dyDescent="0.25">
      <c r="A202" s="41" t="s">
        <v>336</v>
      </c>
    </row>
    <row r="203" spans="1:1" ht="15" x14ac:dyDescent="0.25">
      <c r="A203" s="41" t="s">
        <v>337</v>
      </c>
    </row>
    <row r="204" spans="1:1" ht="15" x14ac:dyDescent="0.25">
      <c r="A204" s="41" t="s">
        <v>338</v>
      </c>
    </row>
    <row r="205" spans="1:1" ht="15" x14ac:dyDescent="0.25">
      <c r="A205" s="41" t="s">
        <v>339</v>
      </c>
    </row>
    <row r="206" spans="1:1" ht="15" x14ac:dyDescent="0.25">
      <c r="A206" s="41" t="s">
        <v>340</v>
      </c>
    </row>
    <row r="207" spans="1:1" ht="15" x14ac:dyDescent="0.25">
      <c r="A207" s="41" t="s">
        <v>341</v>
      </c>
    </row>
    <row r="208" spans="1:1" ht="15" x14ac:dyDescent="0.25">
      <c r="A208" s="41" t="s">
        <v>342</v>
      </c>
    </row>
    <row r="209" spans="1:1" ht="15" x14ac:dyDescent="0.25">
      <c r="A209" s="41" t="s">
        <v>343</v>
      </c>
    </row>
    <row r="210" spans="1:1" ht="15" x14ac:dyDescent="0.25">
      <c r="A210" s="41" t="s">
        <v>344</v>
      </c>
    </row>
    <row r="211" spans="1:1" ht="15" x14ac:dyDescent="0.25">
      <c r="A211" s="41" t="s">
        <v>345</v>
      </c>
    </row>
    <row r="212" spans="1:1" ht="15" x14ac:dyDescent="0.25">
      <c r="A212" s="41" t="s">
        <v>346</v>
      </c>
    </row>
    <row r="213" spans="1:1" ht="15" x14ac:dyDescent="0.25">
      <c r="A213" s="41" t="s">
        <v>347</v>
      </c>
    </row>
    <row r="214" spans="1:1" ht="15" x14ac:dyDescent="0.25">
      <c r="A214" s="41" t="s">
        <v>348</v>
      </c>
    </row>
    <row r="215" spans="1:1" ht="15" x14ac:dyDescent="0.25">
      <c r="A215" s="41" t="s">
        <v>349</v>
      </c>
    </row>
    <row r="216" spans="1:1" ht="15" x14ac:dyDescent="0.25">
      <c r="A216" s="41" t="s">
        <v>350</v>
      </c>
    </row>
    <row r="217" spans="1:1" ht="15" x14ac:dyDescent="0.25">
      <c r="A217" s="41" t="s">
        <v>351</v>
      </c>
    </row>
    <row r="218" spans="1:1" ht="15" x14ac:dyDescent="0.25">
      <c r="A218" s="41" t="s">
        <v>352</v>
      </c>
    </row>
    <row r="219" spans="1:1" ht="15" x14ac:dyDescent="0.25">
      <c r="A219" s="41" t="s">
        <v>353</v>
      </c>
    </row>
    <row r="220" spans="1:1" ht="15" x14ac:dyDescent="0.25">
      <c r="A220" s="41" t="s">
        <v>354</v>
      </c>
    </row>
    <row r="221" spans="1:1" ht="15" x14ac:dyDescent="0.25">
      <c r="A221" s="41" t="s">
        <v>355</v>
      </c>
    </row>
    <row r="222" spans="1:1" ht="15" x14ac:dyDescent="0.25">
      <c r="A222" s="41" t="s">
        <v>356</v>
      </c>
    </row>
    <row r="223" spans="1:1" ht="15" x14ac:dyDescent="0.25">
      <c r="A223" s="41" t="s">
        <v>357</v>
      </c>
    </row>
    <row r="224" spans="1:1" ht="15" x14ac:dyDescent="0.25">
      <c r="A224" s="41" t="s">
        <v>358</v>
      </c>
    </row>
    <row r="225" spans="1:1" ht="15" x14ac:dyDescent="0.25">
      <c r="A225" s="41" t="s">
        <v>359</v>
      </c>
    </row>
    <row r="226" spans="1:1" ht="15" x14ac:dyDescent="0.25">
      <c r="A226" s="41" t="s">
        <v>360</v>
      </c>
    </row>
    <row r="227" spans="1:1" ht="15" x14ac:dyDescent="0.25">
      <c r="A227" s="41" t="s">
        <v>361</v>
      </c>
    </row>
    <row r="228" spans="1:1" ht="15" x14ac:dyDescent="0.25">
      <c r="A228" s="41" t="s">
        <v>362</v>
      </c>
    </row>
    <row r="229" spans="1:1" ht="15" x14ac:dyDescent="0.25">
      <c r="A229" s="41" t="s">
        <v>363</v>
      </c>
    </row>
    <row r="230" spans="1:1" ht="15" x14ac:dyDescent="0.25">
      <c r="A230" s="41" t="s">
        <v>364</v>
      </c>
    </row>
    <row r="231" spans="1:1" ht="15" x14ac:dyDescent="0.25">
      <c r="A231" s="41" t="s">
        <v>365</v>
      </c>
    </row>
    <row r="232" spans="1:1" ht="15" x14ac:dyDescent="0.25">
      <c r="A232" s="41" t="s">
        <v>366</v>
      </c>
    </row>
    <row r="233" spans="1:1" ht="15" x14ac:dyDescent="0.25">
      <c r="A233" s="41" t="s">
        <v>367</v>
      </c>
    </row>
    <row r="234" spans="1:1" ht="15" x14ac:dyDescent="0.25">
      <c r="A234" s="41" t="s">
        <v>368</v>
      </c>
    </row>
    <row r="235" spans="1:1" ht="15" x14ac:dyDescent="0.25">
      <c r="A235" s="41" t="s">
        <v>369</v>
      </c>
    </row>
    <row r="236" spans="1:1" ht="15" x14ac:dyDescent="0.25">
      <c r="A236" s="41" t="s">
        <v>370</v>
      </c>
    </row>
    <row r="237" spans="1:1" ht="15" x14ac:dyDescent="0.25">
      <c r="A237" s="41" t="s">
        <v>371</v>
      </c>
    </row>
    <row r="238" spans="1:1" ht="15" x14ac:dyDescent="0.25">
      <c r="A238" s="41" t="s">
        <v>372</v>
      </c>
    </row>
    <row r="239" spans="1:1" ht="15" x14ac:dyDescent="0.25">
      <c r="A239" s="41" t="s">
        <v>373</v>
      </c>
    </row>
    <row r="240" spans="1:1" ht="15" x14ac:dyDescent="0.25">
      <c r="A240" s="41" t="s">
        <v>374</v>
      </c>
    </row>
    <row r="241" spans="1:1" ht="15" x14ac:dyDescent="0.25">
      <c r="A241" s="41" t="s">
        <v>375</v>
      </c>
    </row>
    <row r="242" spans="1:1" ht="15" x14ac:dyDescent="0.25">
      <c r="A242" s="41" t="s">
        <v>376</v>
      </c>
    </row>
    <row r="243" spans="1:1" ht="15" x14ac:dyDescent="0.25">
      <c r="A243" s="41" t="s">
        <v>377</v>
      </c>
    </row>
    <row r="244" spans="1:1" ht="15" x14ac:dyDescent="0.25">
      <c r="A244" s="41" t="s">
        <v>378</v>
      </c>
    </row>
    <row r="245" spans="1:1" ht="15" x14ac:dyDescent="0.25">
      <c r="A245" s="41" t="s">
        <v>379</v>
      </c>
    </row>
    <row r="246" spans="1:1" ht="15" x14ac:dyDescent="0.25">
      <c r="A246" s="41" t="s">
        <v>380</v>
      </c>
    </row>
    <row r="247" spans="1:1" ht="15" x14ac:dyDescent="0.25">
      <c r="A247" s="41" t="s">
        <v>381</v>
      </c>
    </row>
    <row r="248" spans="1:1" ht="15" x14ac:dyDescent="0.25">
      <c r="A248" s="41" t="s">
        <v>382</v>
      </c>
    </row>
    <row r="249" spans="1:1" ht="15" x14ac:dyDescent="0.25">
      <c r="A249" s="41" t="s">
        <v>383</v>
      </c>
    </row>
    <row r="250" spans="1:1" ht="15" x14ac:dyDescent="0.25">
      <c r="A250" s="41" t="s">
        <v>384</v>
      </c>
    </row>
    <row r="251" spans="1:1" ht="15" x14ac:dyDescent="0.25">
      <c r="A251" s="41" t="s">
        <v>385</v>
      </c>
    </row>
    <row r="252" spans="1:1" ht="15" x14ac:dyDescent="0.25">
      <c r="A252" s="41" t="s">
        <v>386</v>
      </c>
    </row>
    <row r="253" spans="1:1" ht="15" x14ac:dyDescent="0.25">
      <c r="A253" s="41" t="s">
        <v>387</v>
      </c>
    </row>
    <row r="254" spans="1:1" ht="15" x14ac:dyDescent="0.25">
      <c r="A254" s="41" t="s">
        <v>388</v>
      </c>
    </row>
    <row r="255" spans="1:1" ht="15" x14ac:dyDescent="0.25">
      <c r="A255" s="41" t="s">
        <v>389</v>
      </c>
    </row>
    <row r="256" spans="1:1" ht="15" x14ac:dyDescent="0.25">
      <c r="A256" s="41" t="s">
        <v>390</v>
      </c>
    </row>
    <row r="257" spans="1:1" ht="15" x14ac:dyDescent="0.25">
      <c r="A257" s="41" t="s">
        <v>391</v>
      </c>
    </row>
    <row r="258" spans="1:1" ht="15" x14ac:dyDescent="0.25">
      <c r="A258" s="41" t="s">
        <v>392</v>
      </c>
    </row>
    <row r="259" spans="1:1" ht="15" x14ac:dyDescent="0.25">
      <c r="A259" s="41" t="s">
        <v>393</v>
      </c>
    </row>
    <row r="260" spans="1:1" ht="15" x14ac:dyDescent="0.25">
      <c r="A260" s="41" t="s">
        <v>394</v>
      </c>
    </row>
    <row r="261" spans="1:1" ht="15" x14ac:dyDescent="0.25">
      <c r="A261" s="41" t="s">
        <v>395</v>
      </c>
    </row>
    <row r="262" spans="1:1" ht="15" x14ac:dyDescent="0.25">
      <c r="A262" s="41" t="s">
        <v>396</v>
      </c>
    </row>
    <row r="263" spans="1:1" ht="15" x14ac:dyDescent="0.25">
      <c r="A263" s="41" t="s">
        <v>397</v>
      </c>
    </row>
    <row r="264" spans="1:1" ht="15" x14ac:dyDescent="0.25">
      <c r="A264" s="41" t="s">
        <v>398</v>
      </c>
    </row>
    <row r="265" spans="1:1" ht="15" x14ac:dyDescent="0.25">
      <c r="A265" s="41" t="s">
        <v>399</v>
      </c>
    </row>
    <row r="266" spans="1:1" ht="15" x14ac:dyDescent="0.25">
      <c r="A266" s="41" t="s">
        <v>400</v>
      </c>
    </row>
    <row r="267" spans="1:1" ht="15" x14ac:dyDescent="0.25">
      <c r="A267" s="41" t="s">
        <v>401</v>
      </c>
    </row>
    <row r="268" spans="1:1" ht="15" x14ac:dyDescent="0.25">
      <c r="A268" s="41" t="s">
        <v>402</v>
      </c>
    </row>
    <row r="269" spans="1:1" ht="15" x14ac:dyDescent="0.25">
      <c r="A269" s="41" t="s">
        <v>403</v>
      </c>
    </row>
    <row r="270" spans="1:1" ht="15" x14ac:dyDescent="0.25">
      <c r="A270" s="41" t="s">
        <v>404</v>
      </c>
    </row>
    <row r="271" spans="1:1" ht="15" x14ac:dyDescent="0.25">
      <c r="A271" s="41" t="s">
        <v>405</v>
      </c>
    </row>
    <row r="272" spans="1:1" ht="15" x14ac:dyDescent="0.25">
      <c r="A272" s="41" t="s">
        <v>406</v>
      </c>
    </row>
    <row r="273" spans="1:1" ht="15" x14ac:dyDescent="0.25">
      <c r="A273" s="41" t="s">
        <v>407</v>
      </c>
    </row>
    <row r="274" spans="1:1" ht="15" x14ac:dyDescent="0.25">
      <c r="A274" s="41" t="s">
        <v>408</v>
      </c>
    </row>
    <row r="275" spans="1:1" ht="15" x14ac:dyDescent="0.25">
      <c r="A275" s="41" t="s">
        <v>409</v>
      </c>
    </row>
    <row r="276" spans="1:1" ht="15" x14ac:dyDescent="0.25">
      <c r="A276" s="41" t="s">
        <v>410</v>
      </c>
    </row>
    <row r="277" spans="1:1" ht="15" x14ac:dyDescent="0.25">
      <c r="A277" s="41" t="s">
        <v>411</v>
      </c>
    </row>
    <row r="278" spans="1:1" ht="15" x14ac:dyDescent="0.25">
      <c r="A278" s="41" t="s">
        <v>412</v>
      </c>
    </row>
    <row r="279" spans="1:1" ht="15" x14ac:dyDescent="0.25">
      <c r="A279" s="41" t="s">
        <v>413</v>
      </c>
    </row>
    <row r="280" spans="1:1" ht="15" x14ac:dyDescent="0.25">
      <c r="A280" s="41" t="s">
        <v>414</v>
      </c>
    </row>
    <row r="281" spans="1:1" ht="15" x14ac:dyDescent="0.25">
      <c r="A281" s="41" t="s">
        <v>415</v>
      </c>
    </row>
    <row r="282" spans="1:1" ht="15" x14ac:dyDescent="0.25">
      <c r="A282" s="41" t="s">
        <v>416</v>
      </c>
    </row>
    <row r="283" spans="1:1" ht="15" x14ac:dyDescent="0.25">
      <c r="A283" s="41" t="s">
        <v>417</v>
      </c>
    </row>
    <row r="284" spans="1:1" ht="15" x14ac:dyDescent="0.25">
      <c r="A284" s="41" t="s">
        <v>418</v>
      </c>
    </row>
    <row r="285" spans="1:1" ht="15" x14ac:dyDescent="0.25">
      <c r="A285" s="41" t="s">
        <v>419</v>
      </c>
    </row>
    <row r="286" spans="1:1" ht="15" x14ac:dyDescent="0.25">
      <c r="A286" s="41" t="s">
        <v>420</v>
      </c>
    </row>
    <row r="287" spans="1:1" ht="15" x14ac:dyDescent="0.25">
      <c r="A287" s="41" t="s">
        <v>421</v>
      </c>
    </row>
    <row r="288" spans="1:1" ht="15" x14ac:dyDescent="0.25">
      <c r="A288" s="41" t="s">
        <v>422</v>
      </c>
    </row>
    <row r="289" spans="1:1" ht="15" x14ac:dyDescent="0.25">
      <c r="A289" s="41" t="s">
        <v>423</v>
      </c>
    </row>
    <row r="290" spans="1:1" ht="15" x14ac:dyDescent="0.25">
      <c r="A290" s="41" t="s">
        <v>424</v>
      </c>
    </row>
    <row r="291" spans="1:1" ht="15" x14ac:dyDescent="0.25">
      <c r="A291" s="41" t="s">
        <v>425</v>
      </c>
    </row>
    <row r="292" spans="1:1" ht="15" x14ac:dyDescent="0.25">
      <c r="A292" s="41" t="s">
        <v>426</v>
      </c>
    </row>
    <row r="293" spans="1:1" ht="15" x14ac:dyDescent="0.25">
      <c r="A293" s="41" t="s">
        <v>427</v>
      </c>
    </row>
    <row r="294" spans="1:1" ht="15" x14ac:dyDescent="0.25">
      <c r="A294" s="41" t="s">
        <v>428</v>
      </c>
    </row>
    <row r="295" spans="1:1" ht="15" x14ac:dyDescent="0.25">
      <c r="A295" s="41" t="s">
        <v>429</v>
      </c>
    </row>
    <row r="296" spans="1:1" ht="15" x14ac:dyDescent="0.25">
      <c r="A296" s="41" t="s">
        <v>430</v>
      </c>
    </row>
    <row r="297" spans="1:1" ht="15" x14ac:dyDescent="0.25">
      <c r="A297" s="41" t="s">
        <v>431</v>
      </c>
    </row>
    <row r="298" spans="1:1" ht="15" x14ac:dyDescent="0.25">
      <c r="A298" s="41" t="s">
        <v>432</v>
      </c>
    </row>
    <row r="299" spans="1:1" ht="15" x14ac:dyDescent="0.25">
      <c r="A299" s="41" t="s">
        <v>433</v>
      </c>
    </row>
    <row r="300" spans="1:1" ht="15" x14ac:dyDescent="0.25">
      <c r="A300" s="41" t="s">
        <v>434</v>
      </c>
    </row>
    <row r="301" spans="1:1" ht="15" x14ac:dyDescent="0.25">
      <c r="A301" s="41" t="s">
        <v>435</v>
      </c>
    </row>
    <row r="302" spans="1:1" ht="15" x14ac:dyDescent="0.25">
      <c r="A302" s="41" t="s">
        <v>436</v>
      </c>
    </row>
    <row r="303" spans="1:1" ht="15" x14ac:dyDescent="0.25">
      <c r="A303" s="41" t="s">
        <v>437</v>
      </c>
    </row>
    <row r="304" spans="1:1" ht="15" x14ac:dyDescent="0.25">
      <c r="A304" s="41" t="s">
        <v>438</v>
      </c>
    </row>
    <row r="305" spans="1:1" ht="15" x14ac:dyDescent="0.25">
      <c r="A305" s="41" t="s">
        <v>439</v>
      </c>
    </row>
    <row r="306" spans="1:1" ht="15" x14ac:dyDescent="0.25">
      <c r="A306" s="41" t="s">
        <v>440</v>
      </c>
    </row>
    <row r="307" spans="1:1" ht="15" x14ac:dyDescent="0.25">
      <c r="A307" s="41" t="s">
        <v>441</v>
      </c>
    </row>
    <row r="308" spans="1:1" ht="15" x14ac:dyDescent="0.25">
      <c r="A308" s="41" t="s">
        <v>442</v>
      </c>
    </row>
    <row r="309" spans="1:1" ht="15" x14ac:dyDescent="0.25">
      <c r="A309" s="41" t="s">
        <v>443</v>
      </c>
    </row>
    <row r="310" spans="1:1" ht="15" x14ac:dyDescent="0.25">
      <c r="A310" s="41" t="s">
        <v>444</v>
      </c>
    </row>
    <row r="311" spans="1:1" ht="15" x14ac:dyDescent="0.25">
      <c r="A311" s="41" t="s">
        <v>445</v>
      </c>
    </row>
    <row r="312" spans="1:1" ht="15" x14ac:dyDescent="0.25">
      <c r="A312" s="41" t="s">
        <v>446</v>
      </c>
    </row>
    <row r="313" spans="1:1" ht="15" x14ac:dyDescent="0.25">
      <c r="A313" s="41" t="s">
        <v>447</v>
      </c>
    </row>
    <row r="314" spans="1:1" ht="15" x14ac:dyDescent="0.25">
      <c r="A314" s="41" t="s">
        <v>448</v>
      </c>
    </row>
    <row r="315" spans="1:1" ht="15" x14ac:dyDescent="0.25">
      <c r="A315" s="41" t="s">
        <v>449</v>
      </c>
    </row>
    <row r="316" spans="1:1" ht="15" x14ac:dyDescent="0.25">
      <c r="A316" s="41" t="s">
        <v>450</v>
      </c>
    </row>
    <row r="317" spans="1:1" ht="15" x14ac:dyDescent="0.25">
      <c r="A317" s="41" t="s">
        <v>451</v>
      </c>
    </row>
    <row r="318" spans="1:1" ht="15" x14ac:dyDescent="0.25">
      <c r="A318" s="41" t="s">
        <v>452</v>
      </c>
    </row>
    <row r="319" spans="1:1" ht="15" x14ac:dyDescent="0.25">
      <c r="A319" s="41" t="s">
        <v>453</v>
      </c>
    </row>
    <row r="320" spans="1:1" ht="15" x14ac:dyDescent="0.25">
      <c r="A320" s="41" t="s">
        <v>454</v>
      </c>
    </row>
    <row r="321" spans="1:1" ht="15" x14ac:dyDescent="0.25">
      <c r="A321" s="41" t="s">
        <v>455</v>
      </c>
    </row>
    <row r="322" spans="1:1" ht="15" x14ac:dyDescent="0.25">
      <c r="A322" s="41" t="s">
        <v>456</v>
      </c>
    </row>
    <row r="323" spans="1:1" ht="15" x14ac:dyDescent="0.25">
      <c r="A323" s="41" t="s">
        <v>457</v>
      </c>
    </row>
    <row r="324" spans="1:1" ht="15" x14ac:dyDescent="0.25">
      <c r="A324" s="41" t="s">
        <v>458</v>
      </c>
    </row>
    <row r="325" spans="1:1" ht="15" x14ac:dyDescent="0.25">
      <c r="A325" s="41" t="s">
        <v>459</v>
      </c>
    </row>
    <row r="326" spans="1:1" ht="15" x14ac:dyDescent="0.25">
      <c r="A326" s="41" t="s">
        <v>460</v>
      </c>
    </row>
    <row r="327" spans="1:1" ht="15" x14ac:dyDescent="0.25">
      <c r="A327" s="41" t="s">
        <v>461</v>
      </c>
    </row>
    <row r="328" spans="1:1" ht="15" x14ac:dyDescent="0.25">
      <c r="A328" s="41" t="s">
        <v>462</v>
      </c>
    </row>
    <row r="329" spans="1:1" ht="15" x14ac:dyDescent="0.25">
      <c r="A329" s="41" t="s">
        <v>463</v>
      </c>
    </row>
    <row r="330" spans="1:1" ht="15" x14ac:dyDescent="0.25">
      <c r="A330" s="41" t="s">
        <v>464</v>
      </c>
    </row>
    <row r="331" spans="1:1" ht="15" x14ac:dyDescent="0.25">
      <c r="A331" s="41" t="s">
        <v>465</v>
      </c>
    </row>
    <row r="332" spans="1:1" ht="15" x14ac:dyDescent="0.25">
      <c r="A332" s="41" t="s">
        <v>466</v>
      </c>
    </row>
    <row r="333" spans="1:1" ht="15" x14ac:dyDescent="0.25">
      <c r="A333" s="41" t="s">
        <v>467</v>
      </c>
    </row>
    <row r="334" spans="1:1" ht="15" x14ac:dyDescent="0.25">
      <c r="A334" s="41" t="s">
        <v>468</v>
      </c>
    </row>
    <row r="335" spans="1:1" ht="15" x14ac:dyDescent="0.25">
      <c r="A335" s="41" t="s">
        <v>469</v>
      </c>
    </row>
    <row r="336" spans="1:1" ht="15" x14ac:dyDescent="0.25">
      <c r="A336" s="41" t="s">
        <v>470</v>
      </c>
    </row>
    <row r="337" spans="1:1" ht="15" x14ac:dyDescent="0.25">
      <c r="A337" s="41" t="s">
        <v>471</v>
      </c>
    </row>
    <row r="338" spans="1:1" ht="15" x14ac:dyDescent="0.25">
      <c r="A338" s="41" t="s">
        <v>472</v>
      </c>
    </row>
    <row r="339" spans="1:1" ht="15" x14ac:dyDescent="0.25">
      <c r="A339" s="41" t="s">
        <v>473</v>
      </c>
    </row>
    <row r="340" spans="1:1" ht="15" x14ac:dyDescent="0.25">
      <c r="A340" s="41" t="s">
        <v>474</v>
      </c>
    </row>
    <row r="341" spans="1:1" ht="15" x14ac:dyDescent="0.25">
      <c r="A341" s="41" t="s">
        <v>475</v>
      </c>
    </row>
    <row r="342" spans="1:1" ht="15" x14ac:dyDescent="0.25">
      <c r="A342" s="41" t="s">
        <v>476</v>
      </c>
    </row>
    <row r="343" spans="1:1" ht="15" x14ac:dyDescent="0.25">
      <c r="A343" s="41" t="s">
        <v>477</v>
      </c>
    </row>
    <row r="344" spans="1:1" ht="15" x14ac:dyDescent="0.25">
      <c r="A344" s="41" t="s">
        <v>478</v>
      </c>
    </row>
    <row r="345" spans="1:1" ht="15" x14ac:dyDescent="0.25">
      <c r="A345" s="41" t="s">
        <v>479</v>
      </c>
    </row>
    <row r="346" spans="1:1" ht="15" x14ac:dyDescent="0.25">
      <c r="A346" s="41" t="s">
        <v>480</v>
      </c>
    </row>
    <row r="347" spans="1:1" ht="15" x14ac:dyDescent="0.25">
      <c r="A347" s="41" t="s">
        <v>481</v>
      </c>
    </row>
    <row r="348" spans="1:1" ht="15" x14ac:dyDescent="0.25">
      <c r="A348" s="41" t="s">
        <v>482</v>
      </c>
    </row>
    <row r="349" spans="1:1" ht="15" x14ac:dyDescent="0.25">
      <c r="A349" s="41" t="s">
        <v>483</v>
      </c>
    </row>
    <row r="350" spans="1:1" ht="15" x14ac:dyDescent="0.25">
      <c r="A350" s="41" t="s">
        <v>484</v>
      </c>
    </row>
    <row r="351" spans="1:1" ht="15" x14ac:dyDescent="0.25">
      <c r="A351" s="41" t="s">
        <v>485</v>
      </c>
    </row>
    <row r="352" spans="1:1" ht="15" x14ac:dyDescent="0.25">
      <c r="A352" s="41" t="s">
        <v>486</v>
      </c>
    </row>
    <row r="353" spans="1:1" ht="15" x14ac:dyDescent="0.25">
      <c r="A353" s="41" t="s">
        <v>487</v>
      </c>
    </row>
    <row r="354" spans="1:1" ht="15" x14ac:dyDescent="0.25">
      <c r="A354" s="41" t="s">
        <v>488</v>
      </c>
    </row>
    <row r="355" spans="1:1" ht="15" x14ac:dyDescent="0.25">
      <c r="A355" s="41" t="s">
        <v>489</v>
      </c>
    </row>
    <row r="356" spans="1:1" ht="15" x14ac:dyDescent="0.25">
      <c r="A356" s="41" t="s">
        <v>490</v>
      </c>
    </row>
    <row r="357" spans="1:1" ht="15" x14ac:dyDescent="0.25">
      <c r="A357" s="41" t="s">
        <v>491</v>
      </c>
    </row>
    <row r="358" spans="1:1" ht="15" x14ac:dyDescent="0.25">
      <c r="A358" s="41" t="s">
        <v>492</v>
      </c>
    </row>
    <row r="359" spans="1:1" ht="15" x14ac:dyDescent="0.25">
      <c r="A359" s="41" t="s">
        <v>493</v>
      </c>
    </row>
    <row r="360" spans="1:1" ht="15" x14ac:dyDescent="0.25">
      <c r="A360" s="41" t="s">
        <v>494</v>
      </c>
    </row>
    <row r="361" spans="1:1" ht="15" x14ac:dyDescent="0.25">
      <c r="A361" s="41" t="s">
        <v>495</v>
      </c>
    </row>
    <row r="362" spans="1:1" ht="15" x14ac:dyDescent="0.25">
      <c r="A362" s="41" t="s">
        <v>496</v>
      </c>
    </row>
    <row r="363" spans="1:1" ht="15" x14ac:dyDescent="0.25">
      <c r="A363" s="41" t="s">
        <v>497</v>
      </c>
    </row>
    <row r="364" spans="1:1" ht="15" x14ac:dyDescent="0.25">
      <c r="A364" s="41" t="s">
        <v>498</v>
      </c>
    </row>
    <row r="365" spans="1:1" ht="15" x14ac:dyDescent="0.25">
      <c r="A365" s="41" t="s">
        <v>499</v>
      </c>
    </row>
    <row r="366" spans="1:1" ht="15" x14ac:dyDescent="0.25">
      <c r="A366" s="41" t="s">
        <v>500</v>
      </c>
    </row>
    <row r="367" spans="1:1" ht="15" x14ac:dyDescent="0.25">
      <c r="A367" s="41" t="s">
        <v>501</v>
      </c>
    </row>
    <row r="368" spans="1:1" ht="15" x14ac:dyDescent="0.25">
      <c r="A368" s="41" t="s">
        <v>502</v>
      </c>
    </row>
    <row r="369" spans="1:1" ht="15" x14ac:dyDescent="0.25">
      <c r="A369" s="41" t="s">
        <v>503</v>
      </c>
    </row>
    <row r="370" spans="1:1" ht="15" x14ac:dyDescent="0.25">
      <c r="A370" s="41" t="s">
        <v>504</v>
      </c>
    </row>
    <row r="371" spans="1:1" ht="15" x14ac:dyDescent="0.25">
      <c r="A371" s="41" t="s">
        <v>505</v>
      </c>
    </row>
    <row r="372" spans="1:1" ht="15" x14ac:dyDescent="0.25">
      <c r="A372" s="41" t="s">
        <v>506</v>
      </c>
    </row>
    <row r="373" spans="1:1" ht="15" x14ac:dyDescent="0.25">
      <c r="A373" s="41" t="s">
        <v>507</v>
      </c>
    </row>
    <row r="374" spans="1:1" ht="15" x14ac:dyDescent="0.25">
      <c r="A374" s="41" t="s">
        <v>508</v>
      </c>
    </row>
    <row r="375" spans="1:1" ht="15" x14ac:dyDescent="0.25">
      <c r="A375" s="41" t="s">
        <v>509</v>
      </c>
    </row>
    <row r="376" spans="1:1" ht="15" x14ac:dyDescent="0.25">
      <c r="A376" s="41" t="s">
        <v>510</v>
      </c>
    </row>
    <row r="377" spans="1:1" ht="15" x14ac:dyDescent="0.25">
      <c r="A377" s="41" t="s">
        <v>511</v>
      </c>
    </row>
    <row r="378" spans="1:1" ht="15" x14ac:dyDescent="0.25">
      <c r="A378" s="41" t="s">
        <v>512</v>
      </c>
    </row>
    <row r="379" spans="1:1" ht="15" x14ac:dyDescent="0.25">
      <c r="A379" s="41" t="s">
        <v>513</v>
      </c>
    </row>
    <row r="380" spans="1:1" ht="15" x14ac:dyDescent="0.25">
      <c r="A380" s="41" t="s">
        <v>514</v>
      </c>
    </row>
    <row r="381" spans="1:1" ht="15" x14ac:dyDescent="0.25">
      <c r="A381" s="41" t="s">
        <v>515</v>
      </c>
    </row>
    <row r="382" spans="1:1" ht="15" x14ac:dyDescent="0.25">
      <c r="A382" s="41" t="s">
        <v>516</v>
      </c>
    </row>
    <row r="383" spans="1:1" ht="15" x14ac:dyDescent="0.25">
      <c r="A383" s="41" t="s">
        <v>517</v>
      </c>
    </row>
    <row r="384" spans="1:1" ht="15" x14ac:dyDescent="0.25">
      <c r="A384" s="41" t="s">
        <v>518</v>
      </c>
    </row>
    <row r="385" spans="1:1" ht="15" x14ac:dyDescent="0.25">
      <c r="A385" s="41" t="s">
        <v>519</v>
      </c>
    </row>
    <row r="386" spans="1:1" ht="15" x14ac:dyDescent="0.25">
      <c r="A386" s="41" t="s">
        <v>520</v>
      </c>
    </row>
    <row r="387" spans="1:1" ht="15" x14ac:dyDescent="0.25">
      <c r="A387" s="41" t="s">
        <v>521</v>
      </c>
    </row>
    <row r="388" spans="1:1" ht="15" x14ac:dyDescent="0.25">
      <c r="A388" s="41" t="s">
        <v>522</v>
      </c>
    </row>
    <row r="389" spans="1:1" ht="15" x14ac:dyDescent="0.25">
      <c r="A389" s="41" t="s">
        <v>523</v>
      </c>
    </row>
    <row r="390" spans="1:1" ht="15" x14ac:dyDescent="0.25">
      <c r="A390" s="41" t="s">
        <v>524</v>
      </c>
    </row>
    <row r="391" spans="1:1" ht="15" x14ac:dyDescent="0.25">
      <c r="A391" s="41" t="s">
        <v>525</v>
      </c>
    </row>
    <row r="392" spans="1:1" ht="15" x14ac:dyDescent="0.25">
      <c r="A392" s="41" t="s">
        <v>526</v>
      </c>
    </row>
    <row r="393" spans="1:1" ht="15" x14ac:dyDescent="0.25">
      <c r="A393" s="41" t="s">
        <v>527</v>
      </c>
    </row>
    <row r="394" spans="1:1" ht="15" x14ac:dyDescent="0.25">
      <c r="A394" s="41" t="s">
        <v>528</v>
      </c>
    </row>
    <row r="395" spans="1:1" ht="15" x14ac:dyDescent="0.25">
      <c r="A395" s="41" t="s">
        <v>529</v>
      </c>
    </row>
    <row r="396" spans="1:1" ht="15" x14ac:dyDescent="0.25">
      <c r="A396" s="41" t="s">
        <v>530</v>
      </c>
    </row>
    <row r="397" spans="1:1" ht="15" x14ac:dyDescent="0.25">
      <c r="A397" s="41" t="s">
        <v>531</v>
      </c>
    </row>
    <row r="398" spans="1:1" ht="15" x14ac:dyDescent="0.25">
      <c r="A398" s="41" t="s">
        <v>532</v>
      </c>
    </row>
    <row r="399" spans="1:1" ht="15" x14ac:dyDescent="0.25">
      <c r="A399" s="41" t="s">
        <v>533</v>
      </c>
    </row>
    <row r="400" spans="1:1" ht="15" x14ac:dyDescent="0.25">
      <c r="A400" s="41" t="s">
        <v>534</v>
      </c>
    </row>
    <row r="401" spans="1:1" ht="15" x14ac:dyDescent="0.25">
      <c r="A401" s="41" t="s">
        <v>535</v>
      </c>
    </row>
    <row r="402" spans="1:1" ht="15" x14ac:dyDescent="0.25">
      <c r="A402" s="41" t="s">
        <v>536</v>
      </c>
    </row>
    <row r="403" spans="1:1" ht="15" x14ac:dyDescent="0.25">
      <c r="A403" s="41" t="s">
        <v>537</v>
      </c>
    </row>
    <row r="404" spans="1:1" ht="15" x14ac:dyDescent="0.25">
      <c r="A404" s="41" t="s">
        <v>538</v>
      </c>
    </row>
    <row r="405" spans="1:1" ht="15" x14ac:dyDescent="0.25">
      <c r="A405" s="41" t="s">
        <v>539</v>
      </c>
    </row>
    <row r="406" spans="1:1" ht="15" x14ac:dyDescent="0.25">
      <c r="A406" s="41" t="s">
        <v>540</v>
      </c>
    </row>
    <row r="407" spans="1:1" ht="15" x14ac:dyDescent="0.25">
      <c r="A407" s="41" t="s">
        <v>541</v>
      </c>
    </row>
    <row r="408" spans="1:1" ht="15" x14ac:dyDescent="0.25">
      <c r="A408" s="41" t="s">
        <v>542</v>
      </c>
    </row>
    <row r="409" spans="1:1" ht="15" x14ac:dyDescent="0.25">
      <c r="A409" s="41" t="s">
        <v>543</v>
      </c>
    </row>
    <row r="410" spans="1:1" ht="15" x14ac:dyDescent="0.25">
      <c r="A410" s="41" t="s">
        <v>544</v>
      </c>
    </row>
    <row r="411" spans="1:1" ht="15" x14ac:dyDescent="0.25">
      <c r="A411" s="41" t="s">
        <v>545</v>
      </c>
    </row>
    <row r="412" spans="1:1" ht="15" x14ac:dyDescent="0.25">
      <c r="A412" s="41" t="s">
        <v>546</v>
      </c>
    </row>
    <row r="413" spans="1:1" ht="15" x14ac:dyDescent="0.25">
      <c r="A413" s="41" t="s">
        <v>547</v>
      </c>
    </row>
    <row r="414" spans="1:1" ht="15" x14ac:dyDescent="0.25">
      <c r="A414" s="41" t="s">
        <v>548</v>
      </c>
    </row>
    <row r="415" spans="1:1" ht="15" x14ac:dyDescent="0.25">
      <c r="A415" s="41" t="s">
        <v>549</v>
      </c>
    </row>
    <row r="416" spans="1:1" ht="15" x14ac:dyDescent="0.25">
      <c r="A416" s="41" t="s">
        <v>550</v>
      </c>
    </row>
    <row r="417" spans="1:1" ht="15" x14ac:dyDescent="0.25">
      <c r="A417" s="41" t="s">
        <v>551</v>
      </c>
    </row>
    <row r="418" spans="1:1" ht="15" x14ac:dyDescent="0.25">
      <c r="A418" s="41" t="s">
        <v>552</v>
      </c>
    </row>
    <row r="419" spans="1:1" ht="15" x14ac:dyDescent="0.25">
      <c r="A419" s="41" t="s">
        <v>553</v>
      </c>
    </row>
    <row r="420" spans="1:1" ht="15" x14ac:dyDescent="0.25">
      <c r="A420" s="41" t="s">
        <v>554</v>
      </c>
    </row>
    <row r="421" spans="1:1" ht="15" x14ac:dyDescent="0.25">
      <c r="A421" s="41" t="s">
        <v>555</v>
      </c>
    </row>
    <row r="422" spans="1:1" ht="15" x14ac:dyDescent="0.25">
      <c r="A422" s="41" t="s">
        <v>556</v>
      </c>
    </row>
    <row r="423" spans="1:1" ht="15" x14ac:dyDescent="0.25">
      <c r="A423" s="41" t="s">
        <v>557</v>
      </c>
    </row>
    <row r="424" spans="1:1" ht="15" x14ac:dyDescent="0.25">
      <c r="A424" s="41" t="s">
        <v>558</v>
      </c>
    </row>
    <row r="425" spans="1:1" ht="15" x14ac:dyDescent="0.25">
      <c r="A425" s="41" t="s">
        <v>559</v>
      </c>
    </row>
    <row r="426" spans="1:1" ht="15" x14ac:dyDescent="0.25">
      <c r="A426" s="41" t="s">
        <v>560</v>
      </c>
    </row>
    <row r="427" spans="1:1" ht="15" x14ac:dyDescent="0.25">
      <c r="A427" s="41" t="s">
        <v>561</v>
      </c>
    </row>
    <row r="428" spans="1:1" ht="15" x14ac:dyDescent="0.25">
      <c r="A428" s="41" t="s">
        <v>562</v>
      </c>
    </row>
    <row r="429" spans="1:1" ht="15" x14ac:dyDescent="0.25">
      <c r="A429" s="41" t="s">
        <v>563</v>
      </c>
    </row>
    <row r="430" spans="1:1" ht="15" x14ac:dyDescent="0.25">
      <c r="A430" s="41" t="s">
        <v>564</v>
      </c>
    </row>
    <row r="431" spans="1:1" ht="15" x14ac:dyDescent="0.25">
      <c r="A431" s="41" t="s">
        <v>565</v>
      </c>
    </row>
    <row r="432" spans="1:1" ht="15" x14ac:dyDescent="0.25">
      <c r="A432" s="41" t="s">
        <v>566</v>
      </c>
    </row>
    <row r="433" spans="1:1" ht="15" x14ac:dyDescent="0.25">
      <c r="A433" s="41" t="s">
        <v>567</v>
      </c>
    </row>
    <row r="434" spans="1:1" ht="15" x14ac:dyDescent="0.25">
      <c r="A434" s="41" t="s">
        <v>568</v>
      </c>
    </row>
    <row r="435" spans="1:1" ht="15" x14ac:dyDescent="0.25">
      <c r="A435" s="41" t="s">
        <v>569</v>
      </c>
    </row>
    <row r="436" spans="1:1" ht="15" x14ac:dyDescent="0.25">
      <c r="A436" s="41" t="s">
        <v>570</v>
      </c>
    </row>
    <row r="437" spans="1:1" ht="15" x14ac:dyDescent="0.25">
      <c r="A437" s="41" t="s">
        <v>571</v>
      </c>
    </row>
    <row r="438" spans="1:1" ht="15" x14ac:dyDescent="0.25">
      <c r="A438" s="41" t="s">
        <v>572</v>
      </c>
    </row>
    <row r="439" spans="1:1" ht="15" x14ac:dyDescent="0.25">
      <c r="A439" s="41" t="s">
        <v>573</v>
      </c>
    </row>
    <row r="440" spans="1:1" ht="15" x14ac:dyDescent="0.25">
      <c r="A440" s="41" t="s">
        <v>574</v>
      </c>
    </row>
    <row r="441" spans="1:1" ht="15" x14ac:dyDescent="0.25">
      <c r="A441" s="41" t="s">
        <v>575</v>
      </c>
    </row>
    <row r="442" spans="1:1" ht="15" x14ac:dyDescent="0.25">
      <c r="A442" s="41" t="s">
        <v>576</v>
      </c>
    </row>
    <row r="443" spans="1:1" ht="15" x14ac:dyDescent="0.25">
      <c r="A443" s="41" t="s">
        <v>577</v>
      </c>
    </row>
    <row r="444" spans="1:1" ht="15" x14ac:dyDescent="0.25">
      <c r="A444" s="41" t="s">
        <v>578</v>
      </c>
    </row>
    <row r="445" spans="1:1" ht="15" x14ac:dyDescent="0.25">
      <c r="A445" s="41" t="s">
        <v>579</v>
      </c>
    </row>
    <row r="446" spans="1:1" ht="15" x14ac:dyDescent="0.25">
      <c r="A446" s="41" t="s">
        <v>580</v>
      </c>
    </row>
    <row r="447" spans="1:1" ht="15" x14ac:dyDescent="0.25">
      <c r="A447" s="41" t="s">
        <v>581</v>
      </c>
    </row>
    <row r="448" spans="1:1" ht="15" x14ac:dyDescent="0.25">
      <c r="A448" s="41" t="s">
        <v>582</v>
      </c>
    </row>
    <row r="449" spans="1:1" ht="15" x14ac:dyDescent="0.25">
      <c r="A449" s="41" t="s">
        <v>583</v>
      </c>
    </row>
    <row r="450" spans="1:1" ht="15" x14ac:dyDescent="0.25">
      <c r="A450" s="41" t="s">
        <v>584</v>
      </c>
    </row>
    <row r="451" spans="1:1" ht="15" x14ac:dyDescent="0.25">
      <c r="A451" s="41" t="s">
        <v>585</v>
      </c>
    </row>
    <row r="452" spans="1:1" ht="15" x14ac:dyDescent="0.25">
      <c r="A452" s="41" t="s">
        <v>586</v>
      </c>
    </row>
    <row r="453" spans="1:1" ht="15" x14ac:dyDescent="0.25">
      <c r="A453" s="41" t="s">
        <v>587</v>
      </c>
    </row>
    <row r="454" spans="1:1" ht="15" x14ac:dyDescent="0.25">
      <c r="A454" s="41" t="s">
        <v>588</v>
      </c>
    </row>
    <row r="455" spans="1:1" ht="15" x14ac:dyDescent="0.25">
      <c r="A455" s="41" t="s">
        <v>589</v>
      </c>
    </row>
    <row r="456" spans="1:1" ht="15" x14ac:dyDescent="0.25">
      <c r="A456" s="41" t="s">
        <v>590</v>
      </c>
    </row>
    <row r="457" spans="1:1" ht="15" x14ac:dyDescent="0.25">
      <c r="A457" s="41" t="s">
        <v>591</v>
      </c>
    </row>
    <row r="458" spans="1:1" ht="15" x14ac:dyDescent="0.25">
      <c r="A458" s="41" t="s">
        <v>592</v>
      </c>
    </row>
    <row r="459" spans="1:1" ht="15" x14ac:dyDescent="0.25">
      <c r="A459" s="41" t="s">
        <v>593</v>
      </c>
    </row>
    <row r="460" spans="1:1" ht="15" x14ac:dyDescent="0.25">
      <c r="A460" s="41" t="s">
        <v>594</v>
      </c>
    </row>
    <row r="461" spans="1:1" ht="15" x14ac:dyDescent="0.25">
      <c r="A461" s="41" t="s">
        <v>595</v>
      </c>
    </row>
    <row r="462" spans="1:1" ht="15" x14ac:dyDescent="0.25">
      <c r="A462" s="41" t="s">
        <v>596</v>
      </c>
    </row>
    <row r="463" spans="1:1" ht="15" x14ac:dyDescent="0.25">
      <c r="A463" s="41" t="s">
        <v>597</v>
      </c>
    </row>
    <row r="464" spans="1:1" ht="15" x14ac:dyDescent="0.25">
      <c r="A464" s="41" t="s">
        <v>598</v>
      </c>
    </row>
    <row r="465" spans="1:1" ht="15" x14ac:dyDescent="0.25">
      <c r="A465" s="41" t="s">
        <v>599</v>
      </c>
    </row>
    <row r="466" spans="1:1" ht="15" x14ac:dyDescent="0.25">
      <c r="A466" s="41" t="s">
        <v>600</v>
      </c>
    </row>
    <row r="467" spans="1:1" ht="15" x14ac:dyDescent="0.25">
      <c r="A467" s="41" t="s">
        <v>601</v>
      </c>
    </row>
    <row r="468" spans="1:1" ht="15" x14ac:dyDescent="0.25">
      <c r="A468" s="41" t="s">
        <v>602</v>
      </c>
    </row>
    <row r="469" spans="1:1" ht="15" x14ac:dyDescent="0.25">
      <c r="A469" s="41" t="s">
        <v>603</v>
      </c>
    </row>
    <row r="470" spans="1:1" ht="15" x14ac:dyDescent="0.25">
      <c r="A470" s="41" t="s">
        <v>604</v>
      </c>
    </row>
    <row r="471" spans="1:1" ht="15" x14ac:dyDescent="0.25">
      <c r="A471" s="41" t="s">
        <v>605</v>
      </c>
    </row>
    <row r="472" spans="1:1" ht="15" x14ac:dyDescent="0.25">
      <c r="A472" s="41" t="s">
        <v>606</v>
      </c>
    </row>
    <row r="473" spans="1:1" ht="15" x14ac:dyDescent="0.25">
      <c r="A473" s="41" t="s">
        <v>607</v>
      </c>
    </row>
    <row r="474" spans="1:1" ht="15" x14ac:dyDescent="0.25">
      <c r="A474" s="41" t="s">
        <v>608</v>
      </c>
    </row>
    <row r="475" spans="1:1" ht="15" x14ac:dyDescent="0.25">
      <c r="A475" s="41" t="s">
        <v>609</v>
      </c>
    </row>
    <row r="476" spans="1:1" ht="15" x14ac:dyDescent="0.25">
      <c r="A476" s="41" t="s">
        <v>610</v>
      </c>
    </row>
    <row r="477" spans="1:1" ht="15" x14ac:dyDescent="0.25">
      <c r="A477" s="41" t="s">
        <v>611</v>
      </c>
    </row>
    <row r="478" spans="1:1" ht="15" x14ac:dyDescent="0.25">
      <c r="A478" s="41" t="s">
        <v>612</v>
      </c>
    </row>
    <row r="479" spans="1:1" ht="15" x14ac:dyDescent="0.25">
      <c r="A479" s="41" t="s">
        <v>613</v>
      </c>
    </row>
    <row r="480" spans="1:1" ht="15" x14ac:dyDescent="0.25">
      <c r="A480" s="41" t="s">
        <v>614</v>
      </c>
    </row>
    <row r="481" spans="1:1" ht="15" x14ac:dyDescent="0.25">
      <c r="A481" s="41" t="s">
        <v>615</v>
      </c>
    </row>
    <row r="482" spans="1:1" ht="15" x14ac:dyDescent="0.25">
      <c r="A482" s="41" t="s">
        <v>616</v>
      </c>
    </row>
    <row r="483" spans="1:1" ht="15" x14ac:dyDescent="0.25">
      <c r="A483" s="41" t="s">
        <v>617</v>
      </c>
    </row>
    <row r="484" spans="1:1" ht="15" x14ac:dyDescent="0.25">
      <c r="A484" s="41" t="s">
        <v>618</v>
      </c>
    </row>
    <row r="485" spans="1:1" ht="15" x14ac:dyDescent="0.25">
      <c r="A485" s="41" t="s">
        <v>619</v>
      </c>
    </row>
    <row r="486" spans="1:1" ht="15" x14ac:dyDescent="0.25">
      <c r="A486" s="41" t="s">
        <v>620</v>
      </c>
    </row>
    <row r="487" spans="1:1" ht="15" x14ac:dyDescent="0.25">
      <c r="A487" s="41" t="s">
        <v>621</v>
      </c>
    </row>
    <row r="488" spans="1:1" ht="15" x14ac:dyDescent="0.25">
      <c r="A488" s="41" t="s">
        <v>622</v>
      </c>
    </row>
    <row r="489" spans="1:1" ht="15" x14ac:dyDescent="0.25">
      <c r="A489" s="41" t="s">
        <v>623</v>
      </c>
    </row>
    <row r="490" spans="1:1" ht="15" x14ac:dyDescent="0.25">
      <c r="A490" s="41" t="s">
        <v>624</v>
      </c>
    </row>
    <row r="491" spans="1:1" ht="15" x14ac:dyDescent="0.25">
      <c r="A491" s="41" t="s">
        <v>625</v>
      </c>
    </row>
    <row r="492" spans="1:1" ht="15" x14ac:dyDescent="0.25">
      <c r="A492" s="41" t="s">
        <v>626</v>
      </c>
    </row>
    <row r="493" spans="1:1" ht="15" x14ac:dyDescent="0.25">
      <c r="A493" s="41" t="s">
        <v>627</v>
      </c>
    </row>
    <row r="494" spans="1:1" ht="15" x14ac:dyDescent="0.25">
      <c r="A494" s="41" t="s">
        <v>628</v>
      </c>
    </row>
    <row r="495" spans="1:1" ht="15" x14ac:dyDescent="0.25">
      <c r="A495" s="41" t="s">
        <v>629</v>
      </c>
    </row>
    <row r="496" spans="1:1" ht="15" x14ac:dyDescent="0.25">
      <c r="A496" s="41" t="s">
        <v>630</v>
      </c>
    </row>
    <row r="497" spans="1:1" ht="15" x14ac:dyDescent="0.25">
      <c r="A497" s="41" t="s">
        <v>631</v>
      </c>
    </row>
    <row r="498" spans="1:1" ht="15" x14ac:dyDescent="0.25">
      <c r="A498" s="41" t="s">
        <v>632</v>
      </c>
    </row>
    <row r="499" spans="1:1" ht="15" x14ac:dyDescent="0.25">
      <c r="A499" s="41" t="s">
        <v>633</v>
      </c>
    </row>
    <row r="500" spans="1:1" ht="15" x14ac:dyDescent="0.25">
      <c r="A500" s="41" t="s">
        <v>634</v>
      </c>
    </row>
    <row r="501" spans="1:1" ht="15" x14ac:dyDescent="0.25">
      <c r="A501" s="41" t="s">
        <v>635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7"/>
  <sheetViews>
    <sheetView workbookViewId="0">
      <selection activeCell="G5" sqref="G5"/>
    </sheetView>
  </sheetViews>
  <sheetFormatPr defaultRowHeight="12.75" x14ac:dyDescent="0.2"/>
  <cols>
    <col min="1" max="1" width="9.140625" style="15"/>
    <col min="2" max="2" width="1.7109375" style="15" customWidth="1"/>
    <col min="3" max="4" width="9.140625" style="15"/>
    <col min="5" max="5" width="16.7109375" style="23" customWidth="1"/>
    <col min="6" max="6" width="9.140625" style="24"/>
    <col min="7" max="7" width="9.140625" style="23"/>
    <col min="8" max="8" width="1.7109375" style="15" customWidth="1"/>
    <col min="9" max="10" width="9.140625" style="15"/>
    <col min="11" max="11" width="16" style="23" bestFit="1" customWidth="1"/>
    <col min="12" max="12" width="9.140625" style="24"/>
    <col min="13" max="13" width="9.140625" style="23"/>
    <col min="14" max="14" width="1.7109375" style="15" customWidth="1"/>
    <col min="15" max="16384" width="9.140625" style="15"/>
  </cols>
  <sheetData>
    <row r="1" spans="1:17" x14ac:dyDescent="0.2">
      <c r="A1" s="7"/>
      <c r="B1" s="7"/>
      <c r="C1" s="8" t="s">
        <v>0</v>
      </c>
      <c r="D1" s="8" t="s">
        <v>0</v>
      </c>
      <c r="E1" s="9" t="s">
        <v>0</v>
      </c>
      <c r="F1" s="10"/>
      <c r="G1" s="11"/>
      <c r="H1" s="12"/>
      <c r="I1" s="8" t="s">
        <v>9</v>
      </c>
      <c r="J1" s="8" t="s">
        <v>9</v>
      </c>
      <c r="K1" s="13" t="s">
        <v>9</v>
      </c>
      <c r="L1" s="14"/>
      <c r="M1" s="11"/>
      <c r="N1" s="12"/>
      <c r="O1" s="12"/>
      <c r="P1" s="12"/>
      <c r="Q1" s="12"/>
    </row>
    <row r="2" spans="1:17" x14ac:dyDescent="0.2">
      <c r="A2" s="7"/>
      <c r="B2" s="7"/>
      <c r="C2" s="8"/>
      <c r="D2" s="8"/>
      <c r="E2" s="9"/>
      <c r="F2" s="10"/>
      <c r="G2" s="11"/>
      <c r="H2" s="12"/>
      <c r="I2" s="8"/>
      <c r="J2" s="8"/>
      <c r="K2" s="13"/>
      <c r="L2" s="14"/>
      <c r="M2" s="11"/>
      <c r="N2" s="12"/>
      <c r="O2" s="12"/>
      <c r="P2" s="12"/>
      <c r="Q2" s="12"/>
    </row>
    <row r="3" spans="1:17" x14ac:dyDescent="0.2">
      <c r="C3" s="16" t="s">
        <v>10</v>
      </c>
      <c r="D3" s="16"/>
      <c r="E3" s="17"/>
      <c r="F3" s="18"/>
      <c r="G3" s="17"/>
      <c r="I3" s="16" t="s">
        <v>11</v>
      </c>
      <c r="J3" s="16"/>
      <c r="K3" s="17"/>
      <c r="L3" s="18"/>
      <c r="M3" s="17"/>
    </row>
    <row r="4" spans="1:17" x14ac:dyDescent="0.2">
      <c r="C4" s="19" t="s">
        <v>12</v>
      </c>
      <c r="D4" s="19" t="s">
        <v>13</v>
      </c>
      <c r="E4" s="20" t="s">
        <v>14</v>
      </c>
      <c r="F4" s="21" t="s">
        <v>13</v>
      </c>
      <c r="G4" s="20" t="s">
        <v>15</v>
      </c>
      <c r="H4" s="19"/>
      <c r="I4" s="19" t="s">
        <v>12</v>
      </c>
      <c r="J4" s="19" t="s">
        <v>13</v>
      </c>
      <c r="K4" s="20" t="s">
        <v>14</v>
      </c>
      <c r="L4" s="21" t="s">
        <v>13</v>
      </c>
      <c r="M4" s="20" t="s">
        <v>15</v>
      </c>
      <c r="N4" s="19"/>
      <c r="O4" s="19" t="s">
        <v>16</v>
      </c>
      <c r="P4" s="19" t="s">
        <v>17</v>
      </c>
      <c r="Q4" s="19"/>
    </row>
    <row r="5" spans="1:17" x14ac:dyDescent="0.2">
      <c r="A5" s="7" t="s">
        <v>18</v>
      </c>
      <c r="B5" s="7"/>
      <c r="C5" s="12" t="s">
        <v>19</v>
      </c>
      <c r="D5" s="12" t="s">
        <v>20</v>
      </c>
      <c r="E5" s="11" t="s">
        <v>21</v>
      </c>
      <c r="F5" s="22" t="s">
        <v>16</v>
      </c>
      <c r="G5" s="11" t="s">
        <v>22</v>
      </c>
      <c r="H5" s="12"/>
      <c r="I5" s="12" t="s">
        <v>19</v>
      </c>
      <c r="J5" s="12" t="s">
        <v>20</v>
      </c>
      <c r="K5" s="11" t="s">
        <v>21</v>
      </c>
      <c r="L5" s="22" t="s">
        <v>16</v>
      </c>
      <c r="M5" s="11" t="s">
        <v>22</v>
      </c>
      <c r="N5" s="12"/>
      <c r="O5" s="12" t="s">
        <v>23</v>
      </c>
      <c r="P5" s="12" t="s">
        <v>23</v>
      </c>
      <c r="Q5" s="12"/>
    </row>
    <row r="7" spans="1:17" x14ac:dyDescent="0.2">
      <c r="A7" s="15" t="s">
        <v>24</v>
      </c>
      <c r="O7" s="25"/>
      <c r="P7" s="26"/>
      <c r="Q7" s="27"/>
    </row>
    <row r="8" spans="1:17" x14ac:dyDescent="0.2">
      <c r="A8" s="15" t="s">
        <v>25</v>
      </c>
      <c r="O8" s="25"/>
      <c r="P8" s="26"/>
      <c r="Q8" s="27"/>
    </row>
    <row r="9" spans="1:17" x14ac:dyDescent="0.2">
      <c r="A9" s="15" t="s">
        <v>26</v>
      </c>
      <c r="O9" s="25"/>
      <c r="P9" s="26"/>
      <c r="Q9" s="27"/>
    </row>
    <row r="10" spans="1:17" x14ac:dyDescent="0.2">
      <c r="A10" s="15" t="s">
        <v>27</v>
      </c>
      <c r="O10" s="25"/>
      <c r="P10" s="26"/>
      <c r="Q10" s="27"/>
    </row>
    <row r="11" spans="1:17" x14ac:dyDescent="0.2">
      <c r="A11" s="15" t="s">
        <v>28</v>
      </c>
      <c r="O11" s="25"/>
      <c r="P11" s="26"/>
      <c r="Q11" s="27"/>
    </row>
    <row r="12" spans="1:17" x14ac:dyDescent="0.2">
      <c r="A12" s="15" t="s">
        <v>29</v>
      </c>
      <c r="O12" s="25"/>
      <c r="P12" s="26"/>
      <c r="Q12" s="27"/>
    </row>
    <row r="13" spans="1:17" x14ac:dyDescent="0.2">
      <c r="A13" s="15" t="s">
        <v>30</v>
      </c>
      <c r="O13" s="25"/>
      <c r="P13" s="26"/>
      <c r="Q13" s="27"/>
    </row>
    <row r="14" spans="1:17" x14ac:dyDescent="0.2">
      <c r="A14" s="15" t="s">
        <v>31</v>
      </c>
      <c r="O14" s="25"/>
      <c r="P14" s="26"/>
      <c r="Q14" s="27"/>
    </row>
    <row r="15" spans="1:17" x14ac:dyDescent="0.2">
      <c r="A15" s="15" t="s">
        <v>32</v>
      </c>
      <c r="O15" s="25"/>
      <c r="P15" s="26"/>
      <c r="Q15" s="27"/>
    </row>
    <row r="16" spans="1:17" x14ac:dyDescent="0.2">
      <c r="A16" s="15" t="s">
        <v>33</v>
      </c>
      <c r="O16" s="25"/>
      <c r="P16" s="26"/>
      <c r="Q16" s="27"/>
    </row>
    <row r="17" spans="1:17" x14ac:dyDescent="0.2">
      <c r="A17" s="15" t="s">
        <v>34</v>
      </c>
      <c r="O17" s="25"/>
      <c r="P17" s="26"/>
      <c r="Q17" s="27"/>
    </row>
    <row r="18" spans="1:17" x14ac:dyDescent="0.2">
      <c r="A18" s="15" t="s">
        <v>35</v>
      </c>
      <c r="O18" s="25"/>
      <c r="P18" s="26"/>
      <c r="Q18" s="27"/>
    </row>
    <row r="19" spans="1:17" x14ac:dyDescent="0.2">
      <c r="A19" s="15" t="s">
        <v>36</v>
      </c>
      <c r="O19" s="25"/>
      <c r="P19" s="26"/>
      <c r="Q19" s="27"/>
    </row>
    <row r="20" spans="1:17" x14ac:dyDescent="0.2">
      <c r="A20" s="15" t="s">
        <v>37</v>
      </c>
      <c r="O20" s="25"/>
      <c r="P20" s="26"/>
      <c r="Q20" s="27"/>
    </row>
    <row r="21" spans="1:17" x14ac:dyDescent="0.2">
      <c r="A21" s="15" t="s">
        <v>38</v>
      </c>
      <c r="O21" s="25"/>
      <c r="P21" s="26"/>
      <c r="Q21" s="27"/>
    </row>
    <row r="22" spans="1:17" x14ac:dyDescent="0.2">
      <c r="A22" s="15" t="s">
        <v>39</v>
      </c>
      <c r="O22" s="25"/>
      <c r="P22" s="26"/>
      <c r="Q22" s="27"/>
    </row>
    <row r="23" spans="1:17" x14ac:dyDescent="0.2">
      <c r="A23" s="15" t="s">
        <v>40</v>
      </c>
      <c r="O23" s="25"/>
      <c r="P23" s="26"/>
      <c r="Q23" s="27"/>
    </row>
    <row r="24" spans="1:17" x14ac:dyDescent="0.2">
      <c r="A24" s="15" t="s">
        <v>41</v>
      </c>
      <c r="O24" s="25"/>
      <c r="P24" s="26"/>
      <c r="Q24" s="27"/>
    </row>
    <row r="25" spans="1:17" x14ac:dyDescent="0.2">
      <c r="A25" s="15" t="s">
        <v>42</v>
      </c>
      <c r="O25" s="25"/>
      <c r="P25" s="26"/>
      <c r="Q25" s="27"/>
    </row>
    <row r="26" spans="1:17" x14ac:dyDescent="0.2">
      <c r="A26" s="15" t="s">
        <v>43</v>
      </c>
      <c r="O26" s="25"/>
      <c r="P26" s="26"/>
      <c r="Q26" s="27"/>
    </row>
    <row r="27" spans="1:17" x14ac:dyDescent="0.2">
      <c r="A27" s="15" t="s">
        <v>44</v>
      </c>
      <c r="O27" s="25"/>
      <c r="P27" s="26"/>
      <c r="Q27" s="27"/>
    </row>
    <row r="28" spans="1:17" x14ac:dyDescent="0.2">
      <c r="A28" s="15" t="s">
        <v>45</v>
      </c>
      <c r="O28" s="25"/>
      <c r="P28" s="26"/>
      <c r="Q28" s="27"/>
    </row>
    <row r="29" spans="1:17" x14ac:dyDescent="0.2">
      <c r="A29" s="15" t="s">
        <v>46</v>
      </c>
      <c r="O29" s="25"/>
      <c r="P29" s="26"/>
      <c r="Q29" s="27"/>
    </row>
    <row r="30" spans="1:17" x14ac:dyDescent="0.2">
      <c r="A30" s="15" t="s">
        <v>47</v>
      </c>
      <c r="O30" s="25"/>
      <c r="P30" s="26"/>
      <c r="Q30" s="27"/>
    </row>
    <row r="31" spans="1:17" x14ac:dyDescent="0.2">
      <c r="A31" s="15" t="s">
        <v>48</v>
      </c>
      <c r="O31" s="25"/>
      <c r="P31" s="26"/>
      <c r="Q31" s="27"/>
    </row>
    <row r="32" spans="1:17" x14ac:dyDescent="0.2">
      <c r="A32" s="15" t="s">
        <v>49</v>
      </c>
      <c r="O32" s="25"/>
      <c r="P32" s="26"/>
      <c r="Q32" s="27"/>
    </row>
    <row r="33" spans="1:17" x14ac:dyDescent="0.2">
      <c r="A33" s="15" t="s">
        <v>50</v>
      </c>
      <c r="O33" s="25"/>
      <c r="P33" s="26"/>
      <c r="Q33" s="27"/>
    </row>
    <row r="34" spans="1:17" x14ac:dyDescent="0.2">
      <c r="A34" s="15" t="s">
        <v>51</v>
      </c>
      <c r="O34" s="25"/>
      <c r="P34" s="26"/>
      <c r="Q34" s="27"/>
    </row>
    <row r="35" spans="1:17" x14ac:dyDescent="0.2">
      <c r="A35" s="15" t="s">
        <v>52</v>
      </c>
      <c r="O35" s="25"/>
      <c r="P35" s="26"/>
      <c r="Q35" s="27"/>
    </row>
    <row r="36" spans="1:17" x14ac:dyDescent="0.2">
      <c r="A36" s="15" t="s">
        <v>53</v>
      </c>
      <c r="O36" s="25"/>
      <c r="P36" s="26"/>
      <c r="Q36" s="27"/>
    </row>
    <row r="37" spans="1:17" x14ac:dyDescent="0.2">
      <c r="A37" s="15" t="s">
        <v>54</v>
      </c>
      <c r="O37" s="25"/>
      <c r="P37" s="26"/>
      <c r="Q37" s="27"/>
    </row>
    <row r="38" spans="1:17" x14ac:dyDescent="0.2">
      <c r="A38" s="15" t="s">
        <v>55</v>
      </c>
      <c r="O38" s="25"/>
      <c r="P38" s="26"/>
      <c r="Q38" s="27"/>
    </row>
    <row r="39" spans="1:17" x14ac:dyDescent="0.2">
      <c r="A39" s="15" t="s">
        <v>56</v>
      </c>
      <c r="O39" s="25"/>
      <c r="P39" s="26"/>
      <c r="Q39" s="27"/>
    </row>
    <row r="40" spans="1:17" x14ac:dyDescent="0.2">
      <c r="A40" s="15" t="s">
        <v>57</v>
      </c>
      <c r="O40" s="25"/>
      <c r="P40" s="26"/>
      <c r="Q40" s="27"/>
    </row>
    <row r="41" spans="1:17" x14ac:dyDescent="0.2">
      <c r="A41" s="15" t="s">
        <v>58</v>
      </c>
      <c r="O41" s="25"/>
      <c r="P41" s="26"/>
      <c r="Q41" s="27"/>
    </row>
    <row r="42" spans="1:17" x14ac:dyDescent="0.2">
      <c r="A42" s="15" t="s">
        <v>59</v>
      </c>
      <c r="O42" s="25"/>
      <c r="P42" s="26"/>
      <c r="Q42" s="27"/>
    </row>
    <row r="43" spans="1:17" x14ac:dyDescent="0.2">
      <c r="A43" s="15" t="s">
        <v>60</v>
      </c>
      <c r="O43" s="25"/>
      <c r="P43" s="26"/>
      <c r="Q43" s="27"/>
    </row>
    <row r="44" spans="1:17" x14ac:dyDescent="0.2">
      <c r="A44" s="15" t="s">
        <v>61</v>
      </c>
      <c r="O44" s="25"/>
      <c r="P44" s="26"/>
      <c r="Q44" s="27"/>
    </row>
    <row r="45" spans="1:17" x14ac:dyDescent="0.2">
      <c r="A45" s="15" t="s">
        <v>62</v>
      </c>
      <c r="O45" s="25"/>
      <c r="P45" s="26"/>
      <c r="Q45" s="27"/>
    </row>
    <row r="46" spans="1:17" x14ac:dyDescent="0.2">
      <c r="A46" s="15" t="s">
        <v>63</v>
      </c>
      <c r="O46" s="25"/>
      <c r="P46" s="26"/>
      <c r="Q46" s="27"/>
    </row>
    <row r="47" spans="1:17" x14ac:dyDescent="0.2">
      <c r="A47" s="15" t="s">
        <v>64</v>
      </c>
      <c r="O47" s="25"/>
      <c r="P47" s="26"/>
      <c r="Q47" s="27"/>
    </row>
    <row r="48" spans="1:17" x14ac:dyDescent="0.2">
      <c r="A48" s="15" t="s">
        <v>65</v>
      </c>
      <c r="O48" s="25"/>
      <c r="P48" s="26"/>
      <c r="Q48" s="27"/>
    </row>
    <row r="49" spans="1:17" x14ac:dyDescent="0.2">
      <c r="A49" s="15" t="s">
        <v>66</v>
      </c>
      <c r="O49" s="25"/>
      <c r="P49" s="26"/>
      <c r="Q49" s="27"/>
    </row>
    <row r="50" spans="1:17" x14ac:dyDescent="0.2">
      <c r="A50" s="15" t="s">
        <v>67</v>
      </c>
      <c r="O50" s="25"/>
      <c r="P50" s="26"/>
      <c r="Q50" s="27"/>
    </row>
    <row r="51" spans="1:17" x14ac:dyDescent="0.2">
      <c r="A51" s="15" t="s">
        <v>68</v>
      </c>
      <c r="O51" s="25"/>
      <c r="P51" s="26"/>
      <c r="Q51" s="27"/>
    </row>
    <row r="52" spans="1:17" x14ac:dyDescent="0.2">
      <c r="A52" s="15" t="s">
        <v>69</v>
      </c>
      <c r="O52" s="25"/>
      <c r="P52" s="26"/>
      <c r="Q52" s="27"/>
    </row>
    <row r="53" spans="1:17" x14ac:dyDescent="0.2">
      <c r="A53" s="15" t="s">
        <v>70</v>
      </c>
      <c r="O53" s="25"/>
      <c r="P53" s="26"/>
      <c r="Q53" s="27"/>
    </row>
    <row r="54" spans="1:17" x14ac:dyDescent="0.2">
      <c r="A54" s="15" t="s">
        <v>71</v>
      </c>
      <c r="O54" s="25"/>
      <c r="P54" s="26"/>
      <c r="Q54" s="27"/>
    </row>
    <row r="55" spans="1:17" x14ac:dyDescent="0.2">
      <c r="A55" s="15" t="s">
        <v>72</v>
      </c>
      <c r="O55" s="25"/>
      <c r="P55" s="26"/>
      <c r="Q55" s="27"/>
    </row>
    <row r="56" spans="1:17" x14ac:dyDescent="0.2">
      <c r="A56" s="15" t="s">
        <v>73</v>
      </c>
      <c r="O56" s="25"/>
      <c r="P56" s="26"/>
      <c r="Q56" s="27"/>
    </row>
    <row r="57" spans="1:17" x14ac:dyDescent="0.2">
      <c r="A57" s="15" t="s">
        <v>74</v>
      </c>
      <c r="O57" s="25"/>
      <c r="P57" s="26"/>
      <c r="Q57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2" sqref="G22"/>
    </sheetView>
  </sheetViews>
  <sheetFormatPr defaultRowHeight="12.75" x14ac:dyDescent="0.2"/>
  <cols>
    <col min="1" max="1" width="9.140625" style="15"/>
    <col min="2" max="2" width="7.28515625" style="15" customWidth="1"/>
    <col min="3" max="3" width="6.5703125" style="15" bestFit="1" customWidth="1"/>
    <col min="4" max="4" width="7.85546875" style="15" bestFit="1" customWidth="1"/>
    <col min="5" max="5" width="9.5703125" style="15" bestFit="1" customWidth="1"/>
    <col min="6" max="6" width="11.140625" style="15" bestFit="1" customWidth="1"/>
    <col min="7" max="7" width="11.85546875" style="15" bestFit="1" customWidth="1"/>
    <col min="8" max="9" width="12" style="15" bestFit="1" customWidth="1"/>
    <col min="10" max="10" width="13.140625" style="15" bestFit="1" customWidth="1"/>
    <col min="11" max="12" width="10.85546875" style="15" customWidth="1"/>
    <col min="13" max="16384" width="9.140625" style="15"/>
  </cols>
  <sheetData>
    <row r="1" spans="1:12" x14ac:dyDescent="0.2">
      <c r="A1" s="19" t="s">
        <v>124</v>
      </c>
      <c r="B1" s="39" t="s">
        <v>75</v>
      </c>
      <c r="C1" s="39" t="s">
        <v>123</v>
      </c>
      <c r="D1" s="39" t="s">
        <v>122</v>
      </c>
      <c r="E1" s="38" t="s">
        <v>121</v>
      </c>
      <c r="F1" s="38" t="s">
        <v>120</v>
      </c>
      <c r="G1" s="38" t="s">
        <v>119</v>
      </c>
      <c r="H1" s="38" t="s">
        <v>16</v>
      </c>
      <c r="I1" s="38" t="s">
        <v>118</v>
      </c>
      <c r="J1" s="38" t="s">
        <v>117</v>
      </c>
      <c r="K1" s="38" t="s">
        <v>116</v>
      </c>
      <c r="L1" s="38" t="s">
        <v>115</v>
      </c>
    </row>
    <row r="2" spans="1:12" x14ac:dyDescent="0.2">
      <c r="A2" s="19">
        <v>1</v>
      </c>
      <c r="B2" s="15" t="s">
        <v>40</v>
      </c>
      <c r="C2" s="15" t="s">
        <v>97</v>
      </c>
      <c r="D2" s="15" t="s">
        <v>114</v>
      </c>
      <c r="E2" s="15">
        <v>945700</v>
      </c>
      <c r="F2" s="15">
        <v>109933</v>
      </c>
      <c r="G2" s="15">
        <v>118949411</v>
      </c>
      <c r="H2" s="15">
        <v>11.624510944274082</v>
      </c>
      <c r="I2" s="15">
        <v>1082.0173287365942</v>
      </c>
      <c r="J2" s="15">
        <v>125.77922279792746</v>
      </c>
      <c r="K2" s="27">
        <f t="shared" ref="K2:K19" si="0">H$21*$A2+H$22</f>
        <v>10.901826471062108</v>
      </c>
      <c r="L2" s="27">
        <f t="shared" ref="L2:L19" si="1">I$21*$A2+I$22</f>
        <v>1124.4081453641311</v>
      </c>
    </row>
    <row r="3" spans="1:12" x14ac:dyDescent="0.2">
      <c r="A3" s="19">
        <v>2</v>
      </c>
      <c r="B3" s="15" t="s">
        <v>40</v>
      </c>
      <c r="C3" s="15" t="s">
        <v>97</v>
      </c>
      <c r="D3" s="15" t="s">
        <v>113</v>
      </c>
      <c r="E3" s="15">
        <v>947266</v>
      </c>
      <c r="F3" s="15">
        <v>110307</v>
      </c>
      <c r="G3" s="15">
        <v>123748920</v>
      </c>
      <c r="H3" s="15">
        <v>11.644775596295021</v>
      </c>
      <c r="I3" s="15">
        <v>1121.8591748483777</v>
      </c>
      <c r="J3" s="15">
        <v>130.6379834175406</v>
      </c>
      <c r="K3" s="27">
        <f t="shared" si="0"/>
        <v>10.611086975665467</v>
      </c>
      <c r="L3" s="27">
        <f t="shared" si="1"/>
        <v>1128.3846565312824</v>
      </c>
    </row>
    <row r="4" spans="1:12" x14ac:dyDescent="0.2">
      <c r="A4" s="19">
        <v>3</v>
      </c>
      <c r="B4" s="15" t="s">
        <v>40</v>
      </c>
      <c r="C4" s="15" t="s">
        <v>97</v>
      </c>
      <c r="D4" s="15" t="s">
        <v>112</v>
      </c>
      <c r="E4" s="15">
        <v>948493</v>
      </c>
      <c r="F4" s="15">
        <v>102986</v>
      </c>
      <c r="G4" s="15">
        <v>117512739</v>
      </c>
      <c r="H4" s="15">
        <v>10.857855566672606</v>
      </c>
      <c r="I4" s="15">
        <v>1141.0554735595128</v>
      </c>
      <c r="J4" s="15">
        <v>123.89415525470405</v>
      </c>
      <c r="K4" s="27">
        <f t="shared" si="0"/>
        <v>10.320347480268826</v>
      </c>
      <c r="L4" s="27">
        <f t="shared" si="1"/>
        <v>1132.3611676984337</v>
      </c>
    </row>
    <row r="5" spans="1:12" x14ac:dyDescent="0.2">
      <c r="A5" s="19">
        <v>4</v>
      </c>
      <c r="B5" s="15" t="s">
        <v>40</v>
      </c>
      <c r="C5" s="15" t="s">
        <v>97</v>
      </c>
      <c r="D5" s="15" t="s">
        <v>111</v>
      </c>
      <c r="E5" s="15">
        <v>948674</v>
      </c>
      <c r="F5" s="15">
        <v>93299</v>
      </c>
      <c r="G5" s="15">
        <v>103550074</v>
      </c>
      <c r="H5" s="15">
        <v>9.8346745035702465</v>
      </c>
      <c r="I5" s="15">
        <v>1109.8733534121479</v>
      </c>
      <c r="J5" s="15">
        <v>109.15243170994462</v>
      </c>
      <c r="K5" s="27">
        <f t="shared" si="0"/>
        <v>10.029607984872184</v>
      </c>
      <c r="L5" s="27">
        <f t="shared" si="1"/>
        <v>1136.3376788655851</v>
      </c>
    </row>
    <row r="6" spans="1:12" x14ac:dyDescent="0.2">
      <c r="A6" s="19">
        <v>5</v>
      </c>
      <c r="B6" s="15" t="s">
        <v>40</v>
      </c>
      <c r="C6" s="15" t="s">
        <v>97</v>
      </c>
      <c r="D6" s="15" t="s">
        <v>110</v>
      </c>
      <c r="E6" s="15">
        <v>947408</v>
      </c>
      <c r="F6" s="15">
        <v>88460</v>
      </c>
      <c r="G6" s="15">
        <v>96827433</v>
      </c>
      <c r="H6" s="15">
        <v>9.3370543630621654</v>
      </c>
      <c r="I6" s="15">
        <v>1094.5900180872711</v>
      </c>
      <c r="J6" s="15">
        <v>102.20246504146048</v>
      </c>
      <c r="K6" s="27">
        <f t="shared" si="0"/>
        <v>9.7388684894755428</v>
      </c>
      <c r="L6" s="27">
        <f t="shared" si="1"/>
        <v>1140.3141900327362</v>
      </c>
    </row>
    <row r="7" spans="1:12" x14ac:dyDescent="0.2">
      <c r="A7" s="19">
        <v>6</v>
      </c>
      <c r="B7" s="15" t="s">
        <v>40</v>
      </c>
      <c r="C7" s="15" t="s">
        <v>97</v>
      </c>
      <c r="D7" s="15" t="s">
        <v>109</v>
      </c>
      <c r="E7" s="15">
        <v>944704</v>
      </c>
      <c r="F7" s="15">
        <v>83528</v>
      </c>
      <c r="G7" s="15">
        <v>91649341</v>
      </c>
      <c r="H7" s="15">
        <v>8.8417112661743786</v>
      </c>
      <c r="I7" s="15">
        <v>1097.228965137439</v>
      </c>
      <c r="J7" s="15">
        <v>97.01381702628548</v>
      </c>
      <c r="K7" s="27">
        <f t="shared" si="0"/>
        <v>9.4481289940789015</v>
      </c>
      <c r="L7" s="27">
        <f t="shared" si="1"/>
        <v>1144.2907011998875</v>
      </c>
    </row>
    <row r="8" spans="1:12" x14ac:dyDescent="0.2">
      <c r="A8" s="19">
        <v>7</v>
      </c>
      <c r="B8" s="15" t="s">
        <v>40</v>
      </c>
      <c r="C8" s="15" t="s">
        <v>97</v>
      </c>
      <c r="D8" s="15" t="s">
        <v>108</v>
      </c>
      <c r="E8" s="15">
        <v>941128</v>
      </c>
      <c r="F8" s="15">
        <v>74626</v>
      </c>
      <c r="G8" s="15">
        <v>78456767</v>
      </c>
      <c r="H8" s="15">
        <v>7.9294208651745564</v>
      </c>
      <c r="I8" s="15">
        <v>1051.3328732613297</v>
      </c>
      <c r="J8" s="15">
        <v>83.364608214823065</v>
      </c>
      <c r="K8" s="27">
        <f t="shared" si="0"/>
        <v>9.1573894986822602</v>
      </c>
      <c r="L8" s="27">
        <f t="shared" si="1"/>
        <v>1148.2672123670388</v>
      </c>
    </row>
    <row r="9" spans="1:12" x14ac:dyDescent="0.2">
      <c r="A9" s="19">
        <v>8</v>
      </c>
      <c r="B9" s="15" t="s">
        <v>40</v>
      </c>
      <c r="C9" s="15" t="s">
        <v>97</v>
      </c>
      <c r="D9" s="15" t="s">
        <v>107</v>
      </c>
      <c r="E9" s="15">
        <v>938018</v>
      </c>
      <c r="F9" s="15">
        <v>81809</v>
      </c>
      <c r="G9" s="15">
        <v>104623348</v>
      </c>
      <c r="H9" s="15">
        <v>8.7214744279960517</v>
      </c>
      <c r="I9" s="15">
        <v>1278.8733268955739</v>
      </c>
      <c r="J9" s="15">
        <v>111.53661017165982</v>
      </c>
      <c r="K9" s="27">
        <f t="shared" si="0"/>
        <v>8.8666500032856188</v>
      </c>
      <c r="L9" s="27">
        <f t="shared" si="1"/>
        <v>1152.2437235341902</v>
      </c>
    </row>
    <row r="10" spans="1:12" x14ac:dyDescent="0.2">
      <c r="A10" s="19">
        <v>9</v>
      </c>
      <c r="B10" s="15" t="s">
        <v>40</v>
      </c>
      <c r="C10" s="15" t="s">
        <v>97</v>
      </c>
      <c r="D10" s="15" t="s">
        <v>106</v>
      </c>
      <c r="E10" s="15">
        <v>935698</v>
      </c>
      <c r="F10" s="15">
        <v>79453</v>
      </c>
      <c r="G10" s="15">
        <v>104064913</v>
      </c>
      <c r="H10" s="15">
        <v>8.4913080929958173</v>
      </c>
      <c r="I10" s="15">
        <v>1309.7669439794595</v>
      </c>
      <c r="J10" s="15">
        <v>111.21634651351184</v>
      </c>
      <c r="K10" s="27">
        <f t="shared" si="0"/>
        <v>8.5759105078889775</v>
      </c>
      <c r="L10" s="27">
        <f t="shared" si="1"/>
        <v>1156.2202347013415</v>
      </c>
    </row>
    <row r="11" spans="1:12" x14ac:dyDescent="0.2">
      <c r="A11" s="19">
        <v>10</v>
      </c>
      <c r="B11" s="15" t="s">
        <v>40</v>
      </c>
      <c r="C11" s="15" t="s">
        <v>97</v>
      </c>
      <c r="D11" s="15" t="s">
        <v>105</v>
      </c>
      <c r="E11" s="15">
        <v>933961</v>
      </c>
      <c r="F11" s="15">
        <v>77839</v>
      </c>
      <c r="G11" s="15">
        <v>101602741</v>
      </c>
      <c r="H11" s="15">
        <v>8.3342880484302881</v>
      </c>
      <c r="I11" s="15">
        <v>1305.2935032567223</v>
      </c>
      <c r="J11" s="15">
        <v>108.78692043886201</v>
      </c>
      <c r="K11" s="27">
        <f t="shared" si="0"/>
        <v>8.2851710124923361</v>
      </c>
      <c r="L11" s="27">
        <f t="shared" si="1"/>
        <v>1160.1967458684928</v>
      </c>
    </row>
    <row r="12" spans="1:12" x14ac:dyDescent="0.2">
      <c r="A12" s="19">
        <v>11</v>
      </c>
      <c r="B12" s="15" t="s">
        <v>40</v>
      </c>
      <c r="C12" s="15" t="s">
        <v>97</v>
      </c>
      <c r="D12" s="15" t="s">
        <v>104</v>
      </c>
      <c r="E12" s="15">
        <v>932967</v>
      </c>
      <c r="F12" s="15">
        <v>74598</v>
      </c>
      <c r="G12" s="15">
        <v>96197484</v>
      </c>
      <c r="H12" s="15">
        <v>7.9957812012643537</v>
      </c>
      <c r="I12" s="15">
        <v>1289.5450816375774</v>
      </c>
      <c r="J12" s="15">
        <v>103.10920321940647</v>
      </c>
      <c r="K12" s="27">
        <f t="shared" si="0"/>
        <v>7.9944315170956948</v>
      </c>
      <c r="L12" s="27">
        <f t="shared" si="1"/>
        <v>1164.1732570356442</v>
      </c>
    </row>
    <row r="13" spans="1:12" x14ac:dyDescent="0.2">
      <c r="A13" s="19">
        <v>12</v>
      </c>
      <c r="B13" s="15" t="s">
        <v>40</v>
      </c>
      <c r="C13" s="15" t="s">
        <v>97</v>
      </c>
      <c r="D13" s="15" t="s">
        <v>103</v>
      </c>
      <c r="E13" s="15">
        <v>932067</v>
      </c>
      <c r="F13" s="15">
        <v>65226</v>
      </c>
      <c r="G13" s="15">
        <v>72351017</v>
      </c>
      <c r="H13" s="15">
        <v>6.9979947793452615</v>
      </c>
      <c r="I13" s="15">
        <v>1109.2358415355839</v>
      </c>
      <c r="J13" s="15">
        <v>77.624266281286651</v>
      </c>
      <c r="K13" s="27">
        <f t="shared" si="0"/>
        <v>7.7036920216990534</v>
      </c>
      <c r="L13" s="27">
        <f t="shared" si="1"/>
        <v>1168.1497682027955</v>
      </c>
    </row>
    <row r="14" spans="1:12" x14ac:dyDescent="0.2">
      <c r="A14" s="19">
        <v>13</v>
      </c>
      <c r="B14" s="15" t="s">
        <v>40</v>
      </c>
      <c r="C14" s="15" t="s">
        <v>97</v>
      </c>
      <c r="D14" s="15" t="s">
        <v>102</v>
      </c>
      <c r="E14" s="15">
        <v>931957</v>
      </c>
      <c r="F14" s="15">
        <v>64224</v>
      </c>
      <c r="G14" s="15">
        <v>70943335</v>
      </c>
      <c r="H14" s="15">
        <v>6.8913050709421144</v>
      </c>
      <c r="I14" s="15">
        <v>1104.6234273791729</v>
      </c>
      <c r="J14" s="15">
        <v>76.12297026579553</v>
      </c>
      <c r="K14" s="27">
        <f t="shared" si="0"/>
        <v>7.4129525263024121</v>
      </c>
      <c r="L14" s="27">
        <f t="shared" si="1"/>
        <v>1172.1262793699468</v>
      </c>
    </row>
    <row r="15" spans="1:12" x14ac:dyDescent="0.2">
      <c r="A15" s="19">
        <v>14</v>
      </c>
      <c r="B15" s="15" t="s">
        <v>40</v>
      </c>
      <c r="C15" s="15" t="s">
        <v>97</v>
      </c>
      <c r="D15" s="15" t="s">
        <v>101</v>
      </c>
      <c r="E15" s="15">
        <v>933337</v>
      </c>
      <c r="F15" s="15">
        <v>65024</v>
      </c>
      <c r="G15" s="15">
        <v>72469814</v>
      </c>
      <c r="H15" s="15">
        <v>6.9668297731687483</v>
      </c>
      <c r="I15" s="15">
        <v>1114.5087044783465</v>
      </c>
      <c r="J15" s="15">
        <v>77.645924248154742</v>
      </c>
      <c r="K15" s="27">
        <f t="shared" si="0"/>
        <v>7.1222130309057707</v>
      </c>
      <c r="L15" s="27">
        <f t="shared" si="1"/>
        <v>1176.1027905370981</v>
      </c>
    </row>
    <row r="16" spans="1:12" x14ac:dyDescent="0.2">
      <c r="A16" s="19">
        <v>15</v>
      </c>
      <c r="B16" s="15" t="s">
        <v>40</v>
      </c>
      <c r="C16" s="15" t="s">
        <v>97</v>
      </c>
      <c r="D16" s="15" t="s">
        <v>100</v>
      </c>
      <c r="E16" s="15">
        <v>935298</v>
      </c>
      <c r="F16" s="15">
        <v>64267</v>
      </c>
      <c r="G16" s="15">
        <v>69615891</v>
      </c>
      <c r="H16" s="15">
        <v>6.8712859430897959</v>
      </c>
      <c r="I16" s="15">
        <v>1083.2292000560162</v>
      </c>
      <c r="J16" s="15">
        <v>74.431775754893096</v>
      </c>
      <c r="K16" s="27">
        <f t="shared" si="0"/>
        <v>6.8314735355091294</v>
      </c>
      <c r="L16" s="27">
        <f t="shared" si="1"/>
        <v>1180.0793017042492</v>
      </c>
    </row>
    <row r="17" spans="1:12" x14ac:dyDescent="0.2">
      <c r="A17" s="19">
        <v>16</v>
      </c>
      <c r="B17" s="15" t="s">
        <v>40</v>
      </c>
      <c r="C17" s="15" t="s">
        <v>97</v>
      </c>
      <c r="D17" s="15" t="s">
        <v>99</v>
      </c>
      <c r="E17" s="15">
        <v>938067</v>
      </c>
      <c r="F17" s="15">
        <v>63689</v>
      </c>
      <c r="G17" s="15">
        <v>71017650</v>
      </c>
      <c r="H17" s="15">
        <v>6.7893871120079909</v>
      </c>
      <c r="I17" s="15">
        <v>1115.0693212328661</v>
      </c>
      <c r="J17" s="15">
        <v>75.706372785739191</v>
      </c>
      <c r="K17" s="27">
        <f t="shared" si="0"/>
        <v>6.540734040112488</v>
      </c>
      <c r="L17" s="27">
        <f t="shared" si="1"/>
        <v>1184.0558128714006</v>
      </c>
    </row>
    <row r="18" spans="1:12" x14ac:dyDescent="0.2">
      <c r="A18" s="19">
        <v>17</v>
      </c>
      <c r="B18" s="15" t="s">
        <v>40</v>
      </c>
      <c r="C18" s="15" t="s">
        <v>97</v>
      </c>
      <c r="D18" s="15" t="s">
        <v>98</v>
      </c>
      <c r="E18" s="15">
        <v>941234</v>
      </c>
      <c r="F18" s="15">
        <v>63609</v>
      </c>
      <c r="G18" s="15">
        <v>73653299</v>
      </c>
      <c r="H18" s="15">
        <v>6.7580431646115633</v>
      </c>
      <c r="I18" s="15">
        <v>1157.9068842459401</v>
      </c>
      <c r="J18" s="15">
        <v>78.251847043349471</v>
      </c>
      <c r="K18" s="27">
        <f t="shared" si="0"/>
        <v>6.2499945447158467</v>
      </c>
      <c r="L18" s="27">
        <f t="shared" si="1"/>
        <v>1188.0323240385519</v>
      </c>
    </row>
    <row r="19" spans="1:12" x14ac:dyDescent="0.2">
      <c r="A19" s="19">
        <v>18</v>
      </c>
      <c r="B19" s="15" t="s">
        <v>40</v>
      </c>
      <c r="C19" s="15" t="s">
        <v>97</v>
      </c>
      <c r="D19" s="15" t="s">
        <v>96</v>
      </c>
      <c r="E19" s="15">
        <v>944414</v>
      </c>
      <c r="F19" s="15">
        <v>64806</v>
      </c>
      <c r="G19" s="15">
        <v>83064663</v>
      </c>
      <c r="H19" s="15">
        <v>6.8620329643567333</v>
      </c>
      <c r="I19" s="15">
        <v>1281.7434033885752</v>
      </c>
      <c r="J19" s="15">
        <v>87.953654858991925</v>
      </c>
      <c r="K19" s="27">
        <f t="shared" si="0"/>
        <v>5.9592550493192054</v>
      </c>
      <c r="L19" s="27">
        <f t="shared" si="1"/>
        <v>1192.0088352057032</v>
      </c>
    </row>
    <row r="20" spans="1:12" ht="13.5" thickBot="1" x14ac:dyDescent="0.25"/>
    <row r="21" spans="1:12" x14ac:dyDescent="0.2">
      <c r="G21" s="15" t="s">
        <v>95</v>
      </c>
      <c r="H21" s="37">
        <f>LINEST(H$2:H$19,$A$2:$A$19)</f>
        <v>-0.29073949539664135</v>
      </c>
      <c r="I21" s="36">
        <f>LINEST(I$2:I$19,$A$2:$A$19)</f>
        <v>3.9765111671513056</v>
      </c>
    </row>
    <row r="22" spans="1:12" ht="13.5" thickBot="1" x14ac:dyDescent="0.25">
      <c r="G22" s="15" t="s">
        <v>94</v>
      </c>
      <c r="H22" s="35">
        <f>INTERCEPT(H$2:H$19,$A$2:$A$19)</f>
        <v>11.19256596645875</v>
      </c>
      <c r="I22" s="34">
        <f>INTERCEPT(I$2:I$19,$A$2:$A$19)</f>
        <v>1120.4316341969798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3"/>
  <sheetViews>
    <sheetView workbookViewId="0">
      <selection activeCell="I2" sqref="I2"/>
    </sheetView>
  </sheetViews>
  <sheetFormatPr defaultRowHeight="12.75" x14ac:dyDescent="0.2"/>
  <cols>
    <col min="1" max="3" width="9.140625" style="15"/>
    <col min="4" max="4" width="17.42578125" style="15" bestFit="1" customWidth="1"/>
    <col min="5" max="5" width="15" style="15" bestFit="1" customWidth="1"/>
    <col min="6" max="6" width="14.7109375" style="15" bestFit="1" customWidth="1"/>
    <col min="7" max="7" width="14" style="15" customWidth="1"/>
    <col min="8" max="8" width="9.140625" style="15"/>
    <col min="9" max="9" width="24.5703125" style="15" customWidth="1"/>
    <col min="10" max="16384" width="9.140625" style="15"/>
  </cols>
  <sheetData>
    <row r="1" spans="1:9" x14ac:dyDescent="0.2">
      <c r="A1" s="28" t="s">
        <v>75</v>
      </c>
      <c r="B1" s="28" t="s">
        <v>76</v>
      </c>
      <c r="C1" s="28" t="s">
        <v>77</v>
      </c>
      <c r="D1" s="28" t="s">
        <v>78</v>
      </c>
      <c r="E1" s="28" t="s">
        <v>79</v>
      </c>
      <c r="F1" s="28" t="s">
        <v>80</v>
      </c>
      <c r="G1" s="28" t="s">
        <v>81</v>
      </c>
    </row>
    <row r="2" spans="1:9" x14ac:dyDescent="0.2">
      <c r="A2" s="15" t="s">
        <v>24</v>
      </c>
      <c r="B2" s="15">
        <v>0</v>
      </c>
      <c r="C2" s="29" t="s">
        <v>82</v>
      </c>
      <c r="D2" s="30">
        <v>122400</v>
      </c>
      <c r="E2" s="30">
        <v>5400</v>
      </c>
      <c r="F2" s="30">
        <v>43103600</v>
      </c>
      <c r="G2" s="30">
        <v>73117700</v>
      </c>
    </row>
    <row r="3" spans="1:9" x14ac:dyDescent="0.2">
      <c r="A3" s="15" t="s">
        <v>25</v>
      </c>
      <c r="B3" s="15">
        <v>0</v>
      </c>
      <c r="C3" s="29" t="s">
        <v>82</v>
      </c>
      <c r="D3" s="30">
        <v>11400</v>
      </c>
      <c r="E3" s="30">
        <v>700</v>
      </c>
      <c r="F3" s="30">
        <v>5632700</v>
      </c>
      <c r="G3" s="30">
        <v>10132300</v>
      </c>
    </row>
    <row r="4" spans="1:9" x14ac:dyDescent="0.2">
      <c r="A4" s="15" t="s">
        <v>26</v>
      </c>
      <c r="B4" s="15">
        <v>0</v>
      </c>
      <c r="C4" s="29" t="s">
        <v>82</v>
      </c>
      <c r="D4" s="30">
        <v>92000</v>
      </c>
      <c r="E4" s="30">
        <v>4700</v>
      </c>
      <c r="F4" s="30">
        <v>37928200</v>
      </c>
      <c r="G4" s="30">
        <v>65612400</v>
      </c>
    </row>
    <row r="5" spans="1:9" x14ac:dyDescent="0.2">
      <c r="A5" s="15" t="s">
        <v>27</v>
      </c>
      <c r="B5" s="15">
        <v>0</v>
      </c>
      <c r="C5" s="29" t="s">
        <v>82</v>
      </c>
      <c r="D5" s="30">
        <v>41000</v>
      </c>
      <c r="E5" s="30">
        <v>2000</v>
      </c>
      <c r="F5" s="30">
        <v>14995900</v>
      </c>
      <c r="G5" s="30">
        <v>23753200</v>
      </c>
    </row>
    <row r="6" spans="1:9" x14ac:dyDescent="0.2">
      <c r="A6" s="15" t="s">
        <v>28</v>
      </c>
      <c r="B6" s="15">
        <v>1</v>
      </c>
      <c r="C6" s="29" t="s">
        <v>82</v>
      </c>
      <c r="D6" s="30">
        <v>302400</v>
      </c>
      <c r="E6" s="30">
        <v>13700</v>
      </c>
      <c r="F6" s="30">
        <v>108215900</v>
      </c>
      <c r="G6" s="30">
        <v>188687500</v>
      </c>
      <c r="I6" s="30"/>
    </row>
    <row r="7" spans="1:9" x14ac:dyDescent="0.2">
      <c r="A7" s="15" t="s">
        <v>28</v>
      </c>
      <c r="B7" s="15">
        <v>2</v>
      </c>
      <c r="C7" s="29" t="s">
        <v>82</v>
      </c>
      <c r="D7" s="30">
        <v>369700</v>
      </c>
      <c r="E7" s="30">
        <v>16800</v>
      </c>
      <c r="F7" s="30">
        <v>143593600</v>
      </c>
      <c r="G7" s="30">
        <v>232150200</v>
      </c>
    </row>
    <row r="8" spans="1:9" x14ac:dyDescent="0.2">
      <c r="A8" s="15" t="s">
        <v>29</v>
      </c>
      <c r="B8" s="15">
        <v>0</v>
      </c>
      <c r="C8" s="29" t="s">
        <v>82</v>
      </c>
      <c r="D8" s="30">
        <v>100700</v>
      </c>
      <c r="E8" s="30">
        <v>5800</v>
      </c>
      <c r="F8" s="30">
        <v>47591200</v>
      </c>
      <c r="G8" s="30">
        <v>78294500</v>
      </c>
    </row>
    <row r="9" spans="1:9" x14ac:dyDescent="0.2">
      <c r="A9" s="15" t="s">
        <v>30</v>
      </c>
      <c r="B9" s="15">
        <v>0</v>
      </c>
      <c r="C9" s="29" t="s">
        <v>82</v>
      </c>
      <c r="D9" s="30">
        <v>81500</v>
      </c>
      <c r="E9" s="30">
        <v>3700</v>
      </c>
      <c r="F9" s="30">
        <v>30747600</v>
      </c>
      <c r="G9" s="30">
        <v>52696600</v>
      </c>
    </row>
    <row r="10" spans="1:9" x14ac:dyDescent="0.2">
      <c r="A10" s="15" t="s">
        <v>31</v>
      </c>
      <c r="B10" s="15">
        <v>0</v>
      </c>
      <c r="C10" s="29" t="s">
        <v>82</v>
      </c>
      <c r="D10" s="30">
        <v>20700</v>
      </c>
      <c r="E10" s="30">
        <v>1100</v>
      </c>
      <c r="F10" s="30">
        <v>8877600</v>
      </c>
      <c r="G10" s="30">
        <v>14288600</v>
      </c>
    </row>
    <row r="11" spans="1:9" x14ac:dyDescent="0.2">
      <c r="A11" s="15" t="s">
        <v>32</v>
      </c>
      <c r="B11" s="15">
        <v>0</v>
      </c>
      <c r="C11" s="29" t="s">
        <v>82</v>
      </c>
      <c r="D11" s="30">
        <v>11500</v>
      </c>
      <c r="E11" s="30">
        <v>600</v>
      </c>
      <c r="F11" s="30">
        <v>4967300</v>
      </c>
      <c r="G11" s="30">
        <v>8298600</v>
      </c>
      <c r="I11" s="30"/>
    </row>
    <row r="12" spans="1:9" x14ac:dyDescent="0.2">
      <c r="A12" s="15" t="s">
        <v>33</v>
      </c>
      <c r="B12" s="15">
        <v>0</v>
      </c>
      <c r="C12" s="29" t="s">
        <v>82</v>
      </c>
      <c r="D12" s="30">
        <v>220100</v>
      </c>
      <c r="E12" s="30">
        <v>9300</v>
      </c>
      <c r="F12" s="30">
        <v>70358900</v>
      </c>
      <c r="G12" s="30">
        <v>108936500</v>
      </c>
      <c r="I12" s="30"/>
    </row>
    <row r="13" spans="1:9" x14ac:dyDescent="0.2">
      <c r="A13" s="15" t="s">
        <v>34</v>
      </c>
      <c r="B13" s="15">
        <v>0</v>
      </c>
      <c r="C13" s="29" t="s">
        <v>82</v>
      </c>
      <c r="D13" s="30">
        <v>178900</v>
      </c>
      <c r="E13" s="30">
        <v>8800</v>
      </c>
      <c r="F13" s="30">
        <v>61342000</v>
      </c>
      <c r="G13" s="30">
        <v>108635800</v>
      </c>
      <c r="I13" s="30"/>
    </row>
    <row r="14" spans="1:9" x14ac:dyDescent="0.2">
      <c r="A14" s="15" t="s">
        <v>35</v>
      </c>
      <c r="B14" s="15">
        <v>0</v>
      </c>
      <c r="C14" s="29" t="s">
        <v>82</v>
      </c>
      <c r="D14" s="30">
        <v>12400</v>
      </c>
      <c r="E14" s="30">
        <v>700</v>
      </c>
      <c r="F14" s="30">
        <v>5378100</v>
      </c>
      <c r="G14" s="30">
        <v>9374100</v>
      </c>
      <c r="I14" s="30"/>
    </row>
    <row r="15" spans="1:9" x14ac:dyDescent="0.2">
      <c r="A15" s="15" t="s">
        <v>36</v>
      </c>
      <c r="B15" s="15">
        <v>0</v>
      </c>
      <c r="C15" s="29" t="s">
        <v>82</v>
      </c>
      <c r="D15" s="30">
        <v>24400</v>
      </c>
      <c r="E15" s="30">
        <v>1200</v>
      </c>
      <c r="F15" s="30">
        <v>10131200</v>
      </c>
      <c r="G15" s="30">
        <v>17315700</v>
      </c>
      <c r="I15" s="30"/>
    </row>
    <row r="16" spans="1:9" x14ac:dyDescent="0.2">
      <c r="A16" s="15" t="s">
        <v>37</v>
      </c>
      <c r="B16" s="15">
        <v>0</v>
      </c>
      <c r="C16" s="29" t="s">
        <v>82</v>
      </c>
      <c r="D16" s="30">
        <v>147600</v>
      </c>
      <c r="E16" s="30">
        <v>7100</v>
      </c>
      <c r="F16" s="30">
        <v>55154600</v>
      </c>
      <c r="G16" s="30">
        <v>96125300</v>
      </c>
    </row>
    <row r="17" spans="1:7" x14ac:dyDescent="0.2">
      <c r="A17" s="15" t="s">
        <v>38</v>
      </c>
      <c r="B17" s="15">
        <v>0</v>
      </c>
      <c r="C17" s="29" t="s">
        <v>82</v>
      </c>
      <c r="D17" s="30">
        <v>133300</v>
      </c>
      <c r="E17" s="30">
        <v>3700</v>
      </c>
      <c r="F17" s="30">
        <v>28160400</v>
      </c>
      <c r="G17" s="30">
        <v>46831700</v>
      </c>
    </row>
    <row r="18" spans="1:7" x14ac:dyDescent="0.2">
      <c r="A18" s="15" t="s">
        <v>39</v>
      </c>
      <c r="B18" s="15">
        <v>0</v>
      </c>
      <c r="C18" s="29" t="s">
        <v>82</v>
      </c>
      <c r="D18" s="30">
        <v>28200</v>
      </c>
      <c r="E18" s="30">
        <v>1300</v>
      </c>
      <c r="F18" s="30">
        <v>10075900</v>
      </c>
      <c r="G18" s="30">
        <v>16378400</v>
      </c>
    </row>
    <row r="19" spans="1:7" x14ac:dyDescent="0.2">
      <c r="A19" s="15" t="s">
        <v>40</v>
      </c>
      <c r="B19" s="15">
        <v>0</v>
      </c>
      <c r="C19" s="29" t="s">
        <v>82</v>
      </c>
      <c r="D19" s="30">
        <v>43200</v>
      </c>
      <c r="E19" s="30">
        <v>2600</v>
      </c>
      <c r="F19" s="30">
        <v>19299300</v>
      </c>
      <c r="G19" s="30">
        <v>30477700</v>
      </c>
    </row>
    <row r="20" spans="1:7" x14ac:dyDescent="0.2">
      <c r="A20" s="15" t="s">
        <v>41</v>
      </c>
      <c r="B20" s="15">
        <v>0</v>
      </c>
      <c r="C20" s="29" t="s">
        <v>82</v>
      </c>
      <c r="D20" s="30">
        <v>65200</v>
      </c>
      <c r="E20" s="30">
        <v>4000</v>
      </c>
      <c r="F20" s="30">
        <v>32082900</v>
      </c>
      <c r="G20" s="30">
        <v>52508700</v>
      </c>
    </row>
    <row r="21" spans="1:7" x14ac:dyDescent="0.2">
      <c r="A21" s="15" t="s">
        <v>42</v>
      </c>
      <c r="B21" s="15">
        <v>0</v>
      </c>
      <c r="C21" s="29" t="s">
        <v>82</v>
      </c>
      <c r="D21" s="30">
        <v>74500</v>
      </c>
      <c r="E21" s="30">
        <v>2100</v>
      </c>
      <c r="F21" s="30">
        <v>17208600</v>
      </c>
      <c r="G21" s="30">
        <v>27281700</v>
      </c>
    </row>
    <row r="22" spans="1:7" x14ac:dyDescent="0.2">
      <c r="A22" s="15" t="s">
        <v>43</v>
      </c>
      <c r="B22" s="15">
        <v>0</v>
      </c>
      <c r="C22" s="29" t="s">
        <v>82</v>
      </c>
      <c r="D22" s="30">
        <v>27500</v>
      </c>
      <c r="E22" s="30">
        <v>1400</v>
      </c>
      <c r="F22" s="30">
        <v>11149400</v>
      </c>
      <c r="G22" s="30">
        <v>18714500</v>
      </c>
    </row>
    <row r="23" spans="1:7" x14ac:dyDescent="0.2">
      <c r="A23" s="15" t="s">
        <v>44</v>
      </c>
      <c r="B23" s="15">
        <v>0</v>
      </c>
      <c r="C23" s="29" t="s">
        <v>82</v>
      </c>
      <c r="D23" s="30">
        <v>109100</v>
      </c>
      <c r="E23" s="30">
        <v>5400</v>
      </c>
      <c r="F23" s="30">
        <v>42744100</v>
      </c>
      <c r="G23" s="30">
        <v>65809400</v>
      </c>
    </row>
    <row r="24" spans="1:7" x14ac:dyDescent="0.2">
      <c r="A24" s="15" t="s">
        <v>45</v>
      </c>
      <c r="B24" s="15">
        <v>0</v>
      </c>
      <c r="C24" s="29" t="s">
        <v>82</v>
      </c>
      <c r="D24" s="30">
        <v>139900</v>
      </c>
      <c r="E24" s="30">
        <v>6700</v>
      </c>
      <c r="F24" s="30">
        <v>55642500</v>
      </c>
      <c r="G24" s="30">
        <v>97136300</v>
      </c>
    </row>
    <row r="25" spans="1:7" x14ac:dyDescent="0.2">
      <c r="A25" s="15" t="s">
        <v>46</v>
      </c>
      <c r="B25" s="15">
        <v>0</v>
      </c>
      <c r="C25" s="29" t="s">
        <v>82</v>
      </c>
      <c r="D25" s="30">
        <v>121100</v>
      </c>
      <c r="E25" s="30">
        <v>7400</v>
      </c>
      <c r="F25" s="30">
        <v>55802500</v>
      </c>
      <c r="G25" s="30">
        <v>100545800</v>
      </c>
    </row>
    <row r="26" spans="1:7" x14ac:dyDescent="0.2">
      <c r="A26" s="15" t="s">
        <v>47</v>
      </c>
      <c r="B26" s="15">
        <v>0</v>
      </c>
      <c r="C26" s="29" t="s">
        <v>82</v>
      </c>
      <c r="D26" s="30">
        <v>84100</v>
      </c>
      <c r="E26" s="30">
        <v>5500</v>
      </c>
      <c r="F26" s="30">
        <v>45489100</v>
      </c>
      <c r="G26" s="30">
        <v>72212500</v>
      </c>
    </row>
    <row r="27" spans="1:7" x14ac:dyDescent="0.2">
      <c r="A27" s="15" t="s">
        <v>48</v>
      </c>
      <c r="B27" s="15">
        <v>0</v>
      </c>
      <c r="C27" s="29" t="s">
        <v>82</v>
      </c>
      <c r="D27" s="30">
        <v>55400</v>
      </c>
      <c r="E27" s="30">
        <v>3400</v>
      </c>
      <c r="F27" s="30">
        <v>23870800</v>
      </c>
      <c r="G27" s="30">
        <v>38986500</v>
      </c>
    </row>
    <row r="28" spans="1:7" x14ac:dyDescent="0.2">
      <c r="A28" s="15" t="s">
        <v>49</v>
      </c>
      <c r="B28" s="15">
        <v>0</v>
      </c>
      <c r="C28" s="29" t="s">
        <v>82</v>
      </c>
      <c r="D28" s="30">
        <v>86900</v>
      </c>
      <c r="E28" s="30">
        <v>4500</v>
      </c>
      <c r="F28" s="30">
        <v>34629100</v>
      </c>
      <c r="G28" s="30">
        <v>58167200</v>
      </c>
    </row>
    <row r="29" spans="1:7" x14ac:dyDescent="0.2">
      <c r="A29" s="15" t="s">
        <v>50</v>
      </c>
      <c r="B29" s="15">
        <v>0</v>
      </c>
      <c r="C29" s="29" t="s">
        <v>82</v>
      </c>
      <c r="D29" s="30">
        <v>18700</v>
      </c>
      <c r="E29" s="30">
        <v>700</v>
      </c>
      <c r="F29" s="30">
        <v>5511300</v>
      </c>
      <c r="G29" s="30">
        <v>8861900</v>
      </c>
    </row>
    <row r="30" spans="1:7" x14ac:dyDescent="0.2">
      <c r="A30" s="15" t="s">
        <v>51</v>
      </c>
      <c r="B30" s="15">
        <v>0</v>
      </c>
      <c r="C30" s="29" t="s">
        <v>82</v>
      </c>
      <c r="D30" s="30">
        <v>32400</v>
      </c>
      <c r="E30" s="30">
        <v>2100</v>
      </c>
      <c r="F30" s="30">
        <v>16118700</v>
      </c>
      <c r="G30" s="30">
        <v>24349800</v>
      </c>
    </row>
    <row r="31" spans="1:7" x14ac:dyDescent="0.2">
      <c r="A31" s="15" t="s">
        <v>52</v>
      </c>
      <c r="B31" s="15">
        <v>0</v>
      </c>
      <c r="C31" s="29" t="s">
        <v>82</v>
      </c>
      <c r="D31" s="30">
        <v>38500</v>
      </c>
      <c r="E31" s="30">
        <v>1800</v>
      </c>
      <c r="F31" s="30">
        <v>14478400</v>
      </c>
      <c r="G31" s="30">
        <v>22301300</v>
      </c>
    </row>
    <row r="32" spans="1:7" x14ac:dyDescent="0.2">
      <c r="A32" s="15" t="s">
        <v>53</v>
      </c>
      <c r="B32" s="15">
        <v>0</v>
      </c>
      <c r="C32" s="29" t="s">
        <v>82</v>
      </c>
      <c r="D32" s="30">
        <v>24200</v>
      </c>
      <c r="E32" s="30">
        <v>1100</v>
      </c>
      <c r="F32" s="30">
        <v>8753600</v>
      </c>
      <c r="G32" s="30">
        <v>14177300</v>
      </c>
    </row>
    <row r="33" spans="1:7" x14ac:dyDescent="0.2">
      <c r="A33" s="15" t="s">
        <v>54</v>
      </c>
      <c r="B33" s="15">
        <v>0</v>
      </c>
      <c r="C33" s="29" t="s">
        <v>82</v>
      </c>
      <c r="D33" s="30">
        <v>137300</v>
      </c>
      <c r="E33" s="30">
        <v>4700</v>
      </c>
      <c r="F33" s="30">
        <v>38453900</v>
      </c>
      <c r="G33" s="30">
        <v>62766800</v>
      </c>
    </row>
    <row r="34" spans="1:7" x14ac:dyDescent="0.2">
      <c r="A34" s="15" t="s">
        <v>55</v>
      </c>
      <c r="B34" s="15">
        <v>0</v>
      </c>
      <c r="C34" s="29" t="s">
        <v>82</v>
      </c>
      <c r="D34" s="30">
        <v>45000</v>
      </c>
      <c r="E34" s="30">
        <v>2400</v>
      </c>
      <c r="F34" s="30">
        <v>18281000</v>
      </c>
      <c r="G34" s="30">
        <v>30040900</v>
      </c>
    </row>
    <row r="35" spans="1:7" x14ac:dyDescent="0.2">
      <c r="A35" s="15" t="s">
        <v>56</v>
      </c>
      <c r="B35" s="15">
        <v>0</v>
      </c>
      <c r="C35" s="29" t="s">
        <v>82</v>
      </c>
      <c r="D35" s="30">
        <v>413900</v>
      </c>
      <c r="E35" s="30">
        <v>20700</v>
      </c>
      <c r="F35" s="30">
        <v>171574100</v>
      </c>
      <c r="G35" s="30">
        <v>280975400</v>
      </c>
    </row>
    <row r="36" spans="1:7" x14ac:dyDescent="0.2">
      <c r="A36" s="15" t="s">
        <v>57</v>
      </c>
      <c r="B36" s="15">
        <v>0</v>
      </c>
      <c r="C36" s="29" t="s">
        <v>82</v>
      </c>
      <c r="D36" s="30">
        <v>148800</v>
      </c>
      <c r="E36" s="30">
        <v>9000</v>
      </c>
      <c r="F36" s="30">
        <v>69969300</v>
      </c>
      <c r="G36" s="30">
        <v>122718700</v>
      </c>
    </row>
    <row r="37" spans="1:7" x14ac:dyDescent="0.2">
      <c r="A37" s="15" t="s">
        <v>58</v>
      </c>
      <c r="B37" s="15">
        <v>0</v>
      </c>
      <c r="C37" s="29" t="s">
        <v>82</v>
      </c>
      <c r="D37" s="30">
        <v>13500</v>
      </c>
      <c r="E37" s="30">
        <v>800</v>
      </c>
      <c r="F37" s="30">
        <v>6150100</v>
      </c>
      <c r="G37" s="30">
        <v>10215500</v>
      </c>
    </row>
    <row r="38" spans="1:7" x14ac:dyDescent="0.2">
      <c r="A38" s="15" t="s">
        <v>59</v>
      </c>
      <c r="B38" s="15">
        <v>0</v>
      </c>
      <c r="C38" s="29" t="s">
        <v>82</v>
      </c>
      <c r="D38" s="30">
        <v>196700</v>
      </c>
      <c r="E38" s="30">
        <v>11300</v>
      </c>
      <c r="F38" s="30">
        <v>93858800</v>
      </c>
      <c r="G38" s="30">
        <v>155975900</v>
      </c>
    </row>
    <row r="39" spans="1:7" x14ac:dyDescent="0.2">
      <c r="A39" s="15" t="s">
        <v>60</v>
      </c>
      <c r="B39" s="15">
        <v>0</v>
      </c>
      <c r="C39" s="29" t="s">
        <v>82</v>
      </c>
      <c r="D39" s="30">
        <v>59900</v>
      </c>
      <c r="E39" s="30">
        <v>2900</v>
      </c>
      <c r="F39" s="30">
        <v>22876700</v>
      </c>
      <c r="G39" s="30">
        <v>39177200</v>
      </c>
    </row>
    <row r="40" spans="1:7" x14ac:dyDescent="0.2">
      <c r="A40" s="15" t="s">
        <v>61</v>
      </c>
      <c r="B40" s="15">
        <v>0</v>
      </c>
      <c r="C40" s="29" t="s">
        <v>82</v>
      </c>
      <c r="D40" s="30">
        <v>62900</v>
      </c>
      <c r="E40" s="30">
        <v>4700</v>
      </c>
      <c r="F40" s="30">
        <v>36600400</v>
      </c>
      <c r="G40" s="30">
        <v>62820800</v>
      </c>
    </row>
    <row r="41" spans="1:7" x14ac:dyDescent="0.2">
      <c r="A41" s="15" t="s">
        <v>62</v>
      </c>
      <c r="B41" s="15">
        <v>0</v>
      </c>
      <c r="C41" s="29" t="s">
        <v>82</v>
      </c>
      <c r="D41" s="30">
        <v>184100</v>
      </c>
      <c r="E41" s="30">
        <v>11800</v>
      </c>
      <c r="F41" s="30">
        <v>94768200</v>
      </c>
      <c r="G41" s="30">
        <v>162801800</v>
      </c>
    </row>
    <row r="42" spans="1:7" x14ac:dyDescent="0.2">
      <c r="A42" s="15" t="s">
        <v>63</v>
      </c>
      <c r="B42" s="15">
        <v>0</v>
      </c>
      <c r="C42" s="29" t="s">
        <v>82</v>
      </c>
      <c r="D42" s="30">
        <v>13700</v>
      </c>
      <c r="E42" s="30">
        <v>500</v>
      </c>
      <c r="F42" s="30">
        <v>3803200</v>
      </c>
      <c r="G42" s="30">
        <v>6568900</v>
      </c>
    </row>
    <row r="43" spans="1:7" x14ac:dyDescent="0.2">
      <c r="A43" s="15" t="s">
        <v>64</v>
      </c>
      <c r="B43" s="15">
        <v>0</v>
      </c>
      <c r="C43" s="29" t="s">
        <v>82</v>
      </c>
      <c r="D43" s="30">
        <v>58300</v>
      </c>
      <c r="E43" s="30">
        <v>2700</v>
      </c>
      <c r="F43" s="30">
        <v>20631500</v>
      </c>
      <c r="G43" s="30">
        <v>35089000</v>
      </c>
    </row>
    <row r="44" spans="1:7" x14ac:dyDescent="0.2">
      <c r="A44" s="15" t="s">
        <v>65</v>
      </c>
      <c r="B44" s="15">
        <v>0</v>
      </c>
      <c r="C44" s="29" t="s">
        <v>82</v>
      </c>
      <c r="D44" s="30">
        <v>15400</v>
      </c>
      <c r="E44" s="30">
        <v>800</v>
      </c>
      <c r="F44" s="30">
        <v>6055900</v>
      </c>
      <c r="G44" s="30">
        <v>9588600</v>
      </c>
    </row>
    <row r="45" spans="1:7" x14ac:dyDescent="0.2">
      <c r="A45" s="15" t="s">
        <v>66</v>
      </c>
      <c r="B45" s="15">
        <v>0</v>
      </c>
      <c r="C45" s="29" t="s">
        <v>82</v>
      </c>
      <c r="D45" s="30">
        <v>127200</v>
      </c>
      <c r="E45" s="30">
        <v>5000</v>
      </c>
      <c r="F45" s="30">
        <v>41105200</v>
      </c>
      <c r="G45" s="30">
        <v>65854800</v>
      </c>
    </row>
    <row r="46" spans="1:7" x14ac:dyDescent="0.2">
      <c r="A46" s="15" t="s">
        <v>67</v>
      </c>
      <c r="B46" s="15">
        <v>1</v>
      </c>
      <c r="C46" s="29" t="s">
        <v>82</v>
      </c>
      <c r="D46" s="30">
        <v>217400</v>
      </c>
      <c r="E46" s="30">
        <v>10200</v>
      </c>
      <c r="F46" s="30">
        <v>82997000</v>
      </c>
      <c r="G46" s="30">
        <v>142188600</v>
      </c>
    </row>
    <row r="47" spans="1:7" x14ac:dyDescent="0.2">
      <c r="A47" s="15" t="s">
        <v>67</v>
      </c>
      <c r="B47" s="15">
        <v>2</v>
      </c>
      <c r="C47" s="29" t="s">
        <v>82</v>
      </c>
      <c r="D47" s="30">
        <v>144900</v>
      </c>
      <c r="E47" s="30">
        <v>6800</v>
      </c>
      <c r="F47" s="30">
        <v>55978800</v>
      </c>
      <c r="G47" s="30">
        <v>91559900</v>
      </c>
    </row>
    <row r="48" spans="1:7" x14ac:dyDescent="0.2">
      <c r="A48" s="15" t="s">
        <v>68</v>
      </c>
      <c r="B48" s="15">
        <v>0</v>
      </c>
      <c r="C48" s="29" t="s">
        <v>82</v>
      </c>
      <c r="D48" s="30">
        <v>34800</v>
      </c>
      <c r="E48" s="30">
        <v>1900</v>
      </c>
      <c r="F48" s="30">
        <v>15381800</v>
      </c>
      <c r="G48" s="30">
        <v>25759900</v>
      </c>
    </row>
    <row r="49" spans="1:7" x14ac:dyDescent="0.2">
      <c r="A49" s="15" t="s">
        <v>69</v>
      </c>
      <c r="B49" s="15">
        <v>0</v>
      </c>
      <c r="C49" s="29" t="s">
        <v>82</v>
      </c>
      <c r="D49" s="30">
        <v>12600</v>
      </c>
      <c r="E49" s="30">
        <v>500</v>
      </c>
      <c r="F49" s="30">
        <v>4050400</v>
      </c>
      <c r="G49" s="30">
        <v>7034100</v>
      </c>
    </row>
    <row r="50" spans="1:7" x14ac:dyDescent="0.2">
      <c r="A50" s="15" t="s">
        <v>70</v>
      </c>
      <c r="B50" s="15">
        <v>0</v>
      </c>
      <c r="C50" s="29" t="s">
        <v>82</v>
      </c>
      <c r="D50" s="30">
        <v>144500</v>
      </c>
      <c r="E50" s="30">
        <v>8200</v>
      </c>
      <c r="F50" s="30">
        <v>68881100</v>
      </c>
      <c r="G50" s="30">
        <v>115571500</v>
      </c>
    </row>
    <row r="51" spans="1:7" x14ac:dyDescent="0.2">
      <c r="A51" s="15" t="s">
        <v>71</v>
      </c>
      <c r="B51" s="15">
        <v>0</v>
      </c>
      <c r="C51" s="29" t="s">
        <v>82</v>
      </c>
      <c r="D51" s="30">
        <v>74700</v>
      </c>
      <c r="E51" s="30">
        <v>4500</v>
      </c>
      <c r="F51" s="30">
        <v>37059200</v>
      </c>
      <c r="G51" s="30">
        <v>61586100</v>
      </c>
    </row>
    <row r="52" spans="1:7" x14ac:dyDescent="0.2">
      <c r="A52" s="15" t="s">
        <v>72</v>
      </c>
      <c r="B52" s="15">
        <v>0</v>
      </c>
      <c r="C52" s="29" t="s">
        <v>82</v>
      </c>
      <c r="D52" s="30">
        <v>35200</v>
      </c>
      <c r="E52" s="30">
        <v>1300</v>
      </c>
      <c r="F52" s="30">
        <v>10902600</v>
      </c>
      <c r="G52" s="30">
        <v>17903900</v>
      </c>
    </row>
    <row r="53" spans="1:7" x14ac:dyDescent="0.2">
      <c r="A53" s="15" t="s">
        <v>73</v>
      </c>
      <c r="B53" s="15">
        <v>0</v>
      </c>
      <c r="C53" s="29" t="s">
        <v>82</v>
      </c>
      <c r="D53" s="30">
        <v>85400</v>
      </c>
      <c r="E53" s="30">
        <v>4800</v>
      </c>
      <c r="F53" s="30">
        <v>35457200</v>
      </c>
      <c r="G53" s="30">
        <v>57508700</v>
      </c>
    </row>
    <row r="54" spans="1:7" x14ac:dyDescent="0.2">
      <c r="A54" s="15" t="s">
        <v>74</v>
      </c>
      <c r="B54" s="15">
        <v>0</v>
      </c>
      <c r="C54" s="29" t="s">
        <v>82</v>
      </c>
      <c r="D54" s="30">
        <v>9400</v>
      </c>
      <c r="E54" s="30">
        <v>600</v>
      </c>
      <c r="F54" s="30">
        <v>4817800</v>
      </c>
      <c r="G54" s="30">
        <v>7289000</v>
      </c>
    </row>
    <row r="55" spans="1:7" s="31" customFormat="1" ht="15" x14ac:dyDescent="0.25">
      <c r="A55" s="31" t="s">
        <v>24</v>
      </c>
      <c r="B55" s="31">
        <v>0</v>
      </c>
      <c r="C55" s="31" t="s">
        <v>83</v>
      </c>
      <c r="D55" s="32">
        <v>51100</v>
      </c>
      <c r="E55" s="32">
        <v>3400</v>
      </c>
      <c r="F55" s="32">
        <v>29152100</v>
      </c>
      <c r="G55" s="32">
        <v>50804300</v>
      </c>
    </row>
    <row r="56" spans="1:7" x14ac:dyDescent="0.2">
      <c r="A56" s="15" t="s">
        <v>25</v>
      </c>
      <c r="B56" s="15">
        <v>0</v>
      </c>
      <c r="C56" s="15" t="s">
        <v>83</v>
      </c>
      <c r="D56" s="30">
        <v>5900</v>
      </c>
      <c r="E56" s="30">
        <v>500</v>
      </c>
      <c r="F56" s="30">
        <v>3947500</v>
      </c>
      <c r="G56" s="30">
        <v>6328100</v>
      </c>
    </row>
    <row r="57" spans="1:7" x14ac:dyDescent="0.2">
      <c r="A57" s="15" t="s">
        <v>26</v>
      </c>
      <c r="B57" s="15">
        <v>0</v>
      </c>
      <c r="C57" s="15" t="s">
        <v>83</v>
      </c>
      <c r="D57" s="30">
        <v>49100</v>
      </c>
      <c r="E57" s="30">
        <v>3000</v>
      </c>
      <c r="F57" s="30">
        <v>22064700</v>
      </c>
      <c r="G57" s="30">
        <v>36278600</v>
      </c>
    </row>
    <row r="58" spans="1:7" x14ac:dyDescent="0.2">
      <c r="A58" s="15" t="s">
        <v>27</v>
      </c>
      <c r="B58" s="15">
        <v>0</v>
      </c>
      <c r="C58" s="15" t="s">
        <v>83</v>
      </c>
      <c r="D58" s="30">
        <v>25200</v>
      </c>
      <c r="E58" s="30">
        <v>2000</v>
      </c>
      <c r="F58" s="30">
        <v>17628400</v>
      </c>
      <c r="G58" s="30">
        <v>26948700</v>
      </c>
    </row>
    <row r="59" spans="1:7" x14ac:dyDescent="0.2">
      <c r="A59" s="15" t="s">
        <v>28</v>
      </c>
      <c r="B59" s="15">
        <v>1</v>
      </c>
      <c r="C59" s="29" t="s">
        <v>83</v>
      </c>
      <c r="D59" s="30">
        <v>137300</v>
      </c>
      <c r="E59" s="30">
        <v>9000</v>
      </c>
      <c r="F59" s="30">
        <v>67697600</v>
      </c>
      <c r="G59" s="30">
        <v>108794300</v>
      </c>
    </row>
    <row r="60" spans="1:7" x14ac:dyDescent="0.2">
      <c r="A60" s="15" t="s">
        <v>28</v>
      </c>
      <c r="B60" s="15">
        <v>2</v>
      </c>
      <c r="C60" s="29" t="s">
        <v>83</v>
      </c>
      <c r="D60" s="30">
        <v>167700</v>
      </c>
      <c r="E60" s="30">
        <v>11000</v>
      </c>
      <c r="F60" s="30">
        <v>82923400</v>
      </c>
      <c r="G60" s="30">
        <v>143127400</v>
      </c>
    </row>
    <row r="61" spans="1:7" x14ac:dyDescent="0.2">
      <c r="A61" s="15" t="s">
        <v>29</v>
      </c>
      <c r="B61" s="15">
        <v>0</v>
      </c>
      <c r="C61" s="15" t="s">
        <v>83</v>
      </c>
      <c r="D61" s="30">
        <v>49900</v>
      </c>
      <c r="E61" s="30">
        <v>3900</v>
      </c>
      <c r="F61" s="30">
        <v>30975200</v>
      </c>
      <c r="G61" s="30">
        <v>49944500</v>
      </c>
    </row>
    <row r="62" spans="1:7" x14ac:dyDescent="0.2">
      <c r="A62" s="15" t="s">
        <v>30</v>
      </c>
      <c r="B62" s="15">
        <v>0</v>
      </c>
      <c r="C62" s="15" t="s">
        <v>83</v>
      </c>
      <c r="D62" s="30">
        <v>33500</v>
      </c>
      <c r="E62" s="30">
        <v>2000</v>
      </c>
      <c r="F62" s="30">
        <v>16733400</v>
      </c>
      <c r="G62" s="30">
        <v>29114100</v>
      </c>
    </row>
    <row r="63" spans="1:7" x14ac:dyDescent="0.2">
      <c r="A63" s="15" t="s">
        <v>31</v>
      </c>
      <c r="B63" s="15">
        <v>0</v>
      </c>
      <c r="C63" s="15" t="s">
        <v>83</v>
      </c>
      <c r="D63" s="30">
        <v>8600</v>
      </c>
      <c r="E63" s="30">
        <v>600</v>
      </c>
      <c r="F63" s="30">
        <v>4763200</v>
      </c>
      <c r="G63" s="30">
        <v>7520200</v>
      </c>
    </row>
    <row r="64" spans="1:7" x14ac:dyDescent="0.2">
      <c r="A64" s="15" t="s">
        <v>32</v>
      </c>
      <c r="B64" s="15">
        <v>0</v>
      </c>
      <c r="C64" s="15" t="s">
        <v>83</v>
      </c>
      <c r="D64" s="30">
        <v>7000</v>
      </c>
      <c r="E64" s="30">
        <v>500</v>
      </c>
      <c r="F64" s="30">
        <v>3919700</v>
      </c>
      <c r="G64" s="30">
        <v>6358000</v>
      </c>
    </row>
    <row r="65" spans="1:7" x14ac:dyDescent="0.2">
      <c r="A65" s="15" t="s">
        <v>33</v>
      </c>
      <c r="B65" s="15">
        <v>0</v>
      </c>
      <c r="C65" s="15" t="s">
        <v>83</v>
      </c>
      <c r="D65" s="30">
        <v>151500</v>
      </c>
      <c r="E65" s="30">
        <v>11200</v>
      </c>
      <c r="F65" s="30">
        <v>91588000</v>
      </c>
      <c r="G65" s="30">
        <v>141181700</v>
      </c>
    </row>
    <row r="66" spans="1:7" x14ac:dyDescent="0.2">
      <c r="A66" s="15" t="s">
        <v>34</v>
      </c>
      <c r="B66" s="15">
        <v>0</v>
      </c>
      <c r="C66" s="15" t="s">
        <v>83</v>
      </c>
      <c r="D66" s="30">
        <v>94700</v>
      </c>
      <c r="E66" s="30">
        <v>6800</v>
      </c>
      <c r="F66" s="30">
        <v>49200800</v>
      </c>
      <c r="G66" s="30">
        <v>90665600</v>
      </c>
    </row>
    <row r="67" spans="1:7" x14ac:dyDescent="0.2">
      <c r="A67" s="15" t="s">
        <v>35</v>
      </c>
      <c r="B67" s="15">
        <v>0</v>
      </c>
      <c r="C67" s="15" t="s">
        <v>83</v>
      </c>
      <c r="D67" s="30">
        <v>8000</v>
      </c>
      <c r="E67" s="30">
        <v>600</v>
      </c>
      <c r="F67" s="30">
        <v>4864200</v>
      </c>
      <c r="G67" s="30">
        <v>8704600</v>
      </c>
    </row>
    <row r="68" spans="1:7" x14ac:dyDescent="0.2">
      <c r="A68" s="15" t="s">
        <v>36</v>
      </c>
      <c r="B68" s="15">
        <v>0</v>
      </c>
      <c r="C68" s="15" t="s">
        <v>83</v>
      </c>
      <c r="D68" s="30">
        <v>14200</v>
      </c>
      <c r="E68" s="30">
        <v>1100</v>
      </c>
      <c r="F68" s="30">
        <v>9132300</v>
      </c>
      <c r="G68" s="30">
        <v>15650500</v>
      </c>
    </row>
    <row r="69" spans="1:7" x14ac:dyDescent="0.2">
      <c r="A69" s="15" t="s">
        <v>37</v>
      </c>
      <c r="B69" s="15">
        <v>0</v>
      </c>
      <c r="C69" s="15" t="s">
        <v>83</v>
      </c>
      <c r="D69" s="30">
        <v>99600</v>
      </c>
      <c r="E69" s="30">
        <v>7800</v>
      </c>
      <c r="F69" s="30">
        <v>61687800</v>
      </c>
      <c r="G69" s="30">
        <v>112287800</v>
      </c>
    </row>
    <row r="70" spans="1:7" x14ac:dyDescent="0.2">
      <c r="A70" s="15" t="s">
        <v>38</v>
      </c>
      <c r="B70" s="15">
        <v>0</v>
      </c>
      <c r="C70" s="15" t="s">
        <v>83</v>
      </c>
      <c r="D70" s="30">
        <v>73900</v>
      </c>
      <c r="E70" s="30">
        <v>4300</v>
      </c>
      <c r="F70" s="30">
        <v>33188500</v>
      </c>
      <c r="G70" s="30">
        <v>62296800</v>
      </c>
    </row>
    <row r="71" spans="1:7" x14ac:dyDescent="0.2">
      <c r="A71" s="15" t="s">
        <v>39</v>
      </c>
      <c r="B71" s="15">
        <v>0</v>
      </c>
      <c r="C71" s="15" t="s">
        <v>83</v>
      </c>
      <c r="D71" s="30">
        <v>18600</v>
      </c>
      <c r="E71" s="30">
        <v>1200</v>
      </c>
      <c r="F71" s="30">
        <v>9828800</v>
      </c>
      <c r="G71" s="30">
        <v>17212000</v>
      </c>
    </row>
    <row r="72" spans="1:7" x14ac:dyDescent="0.2">
      <c r="A72" s="15" t="s">
        <v>40</v>
      </c>
      <c r="B72" s="15">
        <v>0</v>
      </c>
      <c r="C72" s="15" t="s">
        <v>83</v>
      </c>
      <c r="D72" s="30">
        <v>23000</v>
      </c>
      <c r="E72" s="30">
        <v>1700</v>
      </c>
      <c r="F72" s="30">
        <v>15085700</v>
      </c>
      <c r="G72" s="30">
        <v>24558300</v>
      </c>
    </row>
    <row r="73" spans="1:7" x14ac:dyDescent="0.2">
      <c r="A73" s="15" t="s">
        <v>41</v>
      </c>
      <c r="B73" s="15">
        <v>0</v>
      </c>
      <c r="C73" s="15" t="s">
        <v>83</v>
      </c>
      <c r="D73" s="30">
        <v>24900</v>
      </c>
      <c r="E73" s="30">
        <v>2200</v>
      </c>
      <c r="F73" s="30">
        <v>16911500</v>
      </c>
      <c r="G73" s="30">
        <v>26065900</v>
      </c>
    </row>
    <row r="74" spans="1:7" x14ac:dyDescent="0.2">
      <c r="A74" s="15" t="s">
        <v>42</v>
      </c>
      <c r="B74" s="15">
        <v>0</v>
      </c>
      <c r="C74" s="15" t="s">
        <v>83</v>
      </c>
      <c r="D74" s="30">
        <v>34900</v>
      </c>
      <c r="E74" s="30">
        <v>2000</v>
      </c>
      <c r="F74" s="30">
        <v>17186300</v>
      </c>
      <c r="G74" s="30">
        <v>27931800</v>
      </c>
    </row>
    <row r="75" spans="1:7" x14ac:dyDescent="0.2">
      <c r="A75" s="15" t="s">
        <v>43</v>
      </c>
      <c r="B75" s="15">
        <v>0</v>
      </c>
      <c r="C75" s="15" t="s">
        <v>83</v>
      </c>
      <c r="D75" s="30">
        <v>14400</v>
      </c>
      <c r="E75" s="30">
        <v>1000</v>
      </c>
      <c r="F75" s="30">
        <v>7663000</v>
      </c>
      <c r="G75" s="30">
        <v>13310800</v>
      </c>
    </row>
    <row r="76" spans="1:7" x14ac:dyDescent="0.2">
      <c r="A76" s="15" t="s">
        <v>44</v>
      </c>
      <c r="B76" s="15">
        <v>0</v>
      </c>
      <c r="C76" s="15" t="s">
        <v>83</v>
      </c>
      <c r="D76" s="30">
        <v>51900</v>
      </c>
      <c r="E76" s="30">
        <v>4300</v>
      </c>
      <c r="F76" s="30">
        <v>34159000</v>
      </c>
      <c r="G76" s="30">
        <v>57649100</v>
      </c>
    </row>
    <row r="77" spans="1:7" x14ac:dyDescent="0.2">
      <c r="A77" s="15" t="s">
        <v>45</v>
      </c>
      <c r="B77" s="15">
        <v>0</v>
      </c>
      <c r="C77" s="15" t="s">
        <v>83</v>
      </c>
      <c r="D77" s="30">
        <v>66600</v>
      </c>
      <c r="E77" s="30">
        <v>4800</v>
      </c>
      <c r="F77" s="30">
        <v>39782500</v>
      </c>
      <c r="G77" s="30">
        <v>64769400</v>
      </c>
    </row>
    <row r="78" spans="1:7" x14ac:dyDescent="0.2">
      <c r="A78" s="15" t="s">
        <v>46</v>
      </c>
      <c r="B78" s="15">
        <v>0</v>
      </c>
      <c r="C78" s="15" t="s">
        <v>83</v>
      </c>
      <c r="D78" s="30">
        <v>56700</v>
      </c>
      <c r="E78" s="30">
        <v>5200</v>
      </c>
      <c r="F78" s="30">
        <v>42469700</v>
      </c>
      <c r="G78" s="30">
        <v>69077900</v>
      </c>
    </row>
    <row r="79" spans="1:7" x14ac:dyDescent="0.2">
      <c r="A79" s="15" t="s">
        <v>47</v>
      </c>
      <c r="B79" s="15">
        <v>0</v>
      </c>
      <c r="C79" s="15" t="s">
        <v>83</v>
      </c>
      <c r="D79" s="30">
        <v>46100</v>
      </c>
      <c r="E79" s="30">
        <v>4100</v>
      </c>
      <c r="F79" s="30">
        <v>31979800</v>
      </c>
      <c r="G79" s="30">
        <v>50053800</v>
      </c>
    </row>
    <row r="80" spans="1:7" x14ac:dyDescent="0.2">
      <c r="A80" s="15" t="s">
        <v>48</v>
      </c>
      <c r="B80" s="15">
        <v>0</v>
      </c>
      <c r="C80" s="15" t="s">
        <v>83</v>
      </c>
      <c r="D80" s="30">
        <v>24900</v>
      </c>
      <c r="E80" s="30">
        <v>2200</v>
      </c>
      <c r="F80" s="30">
        <v>18352300</v>
      </c>
      <c r="G80" s="30">
        <v>30279300</v>
      </c>
    </row>
    <row r="81" spans="1:7" x14ac:dyDescent="0.2">
      <c r="A81" s="15" t="s">
        <v>49</v>
      </c>
      <c r="B81" s="15">
        <v>0</v>
      </c>
      <c r="C81" s="15" t="s">
        <v>83</v>
      </c>
      <c r="D81" s="30">
        <v>51000</v>
      </c>
      <c r="E81" s="30">
        <v>4100</v>
      </c>
      <c r="F81" s="30">
        <v>31386900</v>
      </c>
      <c r="G81" s="30">
        <v>55197100</v>
      </c>
    </row>
    <row r="82" spans="1:7" x14ac:dyDescent="0.2">
      <c r="A82" s="15" t="s">
        <v>50</v>
      </c>
      <c r="B82" s="15">
        <v>0</v>
      </c>
      <c r="C82" s="15" t="s">
        <v>83</v>
      </c>
      <c r="D82" s="30">
        <v>9200</v>
      </c>
      <c r="E82" s="30">
        <v>600</v>
      </c>
      <c r="F82" s="30">
        <v>5135400</v>
      </c>
      <c r="G82" s="30">
        <v>9039000</v>
      </c>
    </row>
    <row r="83" spans="1:7" x14ac:dyDescent="0.2">
      <c r="A83" s="15" t="s">
        <v>51</v>
      </c>
      <c r="B83" s="15">
        <v>0</v>
      </c>
      <c r="C83" s="15" t="s">
        <v>83</v>
      </c>
      <c r="D83" s="30">
        <v>21100</v>
      </c>
      <c r="E83" s="30">
        <v>1900</v>
      </c>
      <c r="F83" s="30">
        <v>16967500</v>
      </c>
      <c r="G83" s="30">
        <v>27667000</v>
      </c>
    </row>
    <row r="84" spans="1:7" x14ac:dyDescent="0.2">
      <c r="A84" s="15" t="s">
        <v>52</v>
      </c>
      <c r="B84" s="15">
        <v>0</v>
      </c>
      <c r="C84" s="15" t="s">
        <v>83</v>
      </c>
      <c r="D84" s="30">
        <v>23000</v>
      </c>
      <c r="E84" s="30">
        <v>1600</v>
      </c>
      <c r="F84" s="30">
        <v>12961000</v>
      </c>
      <c r="G84" s="30">
        <v>22176700</v>
      </c>
    </row>
    <row r="85" spans="1:7" x14ac:dyDescent="0.2">
      <c r="A85" s="15" t="s">
        <v>53</v>
      </c>
      <c r="B85" s="15">
        <v>0</v>
      </c>
      <c r="C85" s="15" t="s">
        <v>83</v>
      </c>
      <c r="D85" s="30">
        <v>11900</v>
      </c>
      <c r="E85" s="30">
        <v>900</v>
      </c>
      <c r="F85" s="30">
        <v>6923700</v>
      </c>
      <c r="G85" s="30">
        <v>11516800</v>
      </c>
    </row>
    <row r="86" spans="1:7" x14ac:dyDescent="0.2">
      <c r="A86" s="15" t="s">
        <v>54</v>
      </c>
      <c r="B86" s="15">
        <v>0</v>
      </c>
      <c r="C86" s="15" t="s">
        <v>83</v>
      </c>
      <c r="D86" s="30">
        <v>70300</v>
      </c>
      <c r="E86" s="30">
        <v>3900</v>
      </c>
      <c r="F86" s="30">
        <v>29956300</v>
      </c>
      <c r="G86" s="30">
        <v>54238700</v>
      </c>
    </row>
    <row r="87" spans="1:7" x14ac:dyDescent="0.2">
      <c r="A87" s="15" t="s">
        <v>55</v>
      </c>
      <c r="B87" s="15">
        <v>0</v>
      </c>
      <c r="C87" s="15" t="s">
        <v>83</v>
      </c>
      <c r="D87" s="30">
        <v>21200</v>
      </c>
      <c r="E87" s="30">
        <v>1800</v>
      </c>
      <c r="F87" s="30">
        <v>14268200</v>
      </c>
      <c r="G87" s="30">
        <v>23802700</v>
      </c>
    </row>
    <row r="88" spans="1:7" x14ac:dyDescent="0.2">
      <c r="A88" s="15" t="s">
        <v>56</v>
      </c>
      <c r="B88" s="15">
        <v>0</v>
      </c>
      <c r="C88" s="15" t="s">
        <v>83</v>
      </c>
      <c r="D88" s="30">
        <v>169300</v>
      </c>
      <c r="E88" s="30">
        <v>11700</v>
      </c>
      <c r="F88" s="30">
        <v>100316700</v>
      </c>
      <c r="G88" s="30">
        <v>148944400</v>
      </c>
    </row>
    <row r="89" spans="1:7" x14ac:dyDescent="0.2">
      <c r="A89" s="15" t="s">
        <v>57</v>
      </c>
      <c r="B89" s="15">
        <v>0</v>
      </c>
      <c r="C89" s="15" t="s">
        <v>83</v>
      </c>
      <c r="D89" s="30">
        <v>71200</v>
      </c>
      <c r="E89" s="30">
        <v>5900</v>
      </c>
      <c r="F89" s="30">
        <v>51518700</v>
      </c>
      <c r="G89" s="30">
        <v>84234200</v>
      </c>
    </row>
    <row r="90" spans="1:7" x14ac:dyDescent="0.2">
      <c r="A90" s="15" t="s">
        <v>58</v>
      </c>
      <c r="B90" s="15">
        <v>0</v>
      </c>
      <c r="C90" s="15" t="s">
        <v>83</v>
      </c>
      <c r="D90" s="30">
        <v>8000</v>
      </c>
      <c r="E90" s="30">
        <v>600</v>
      </c>
      <c r="F90" s="30">
        <v>4813100</v>
      </c>
      <c r="G90" s="30">
        <v>8097600</v>
      </c>
    </row>
    <row r="91" spans="1:7" x14ac:dyDescent="0.2">
      <c r="A91" s="15" t="s">
        <v>59</v>
      </c>
      <c r="B91" s="15">
        <v>0</v>
      </c>
      <c r="C91" s="15" t="s">
        <v>83</v>
      </c>
      <c r="D91" s="30">
        <v>92000</v>
      </c>
      <c r="E91" s="30">
        <v>7200</v>
      </c>
      <c r="F91" s="30">
        <v>56725100</v>
      </c>
      <c r="G91" s="30">
        <v>92015900</v>
      </c>
    </row>
    <row r="92" spans="1:7" x14ac:dyDescent="0.2">
      <c r="A92" s="15" t="s">
        <v>60</v>
      </c>
      <c r="B92" s="15">
        <v>0</v>
      </c>
      <c r="C92" s="15" t="s">
        <v>83</v>
      </c>
      <c r="D92" s="30">
        <v>32500</v>
      </c>
      <c r="E92" s="30">
        <v>2300</v>
      </c>
      <c r="F92" s="30">
        <v>18093600</v>
      </c>
      <c r="G92" s="30">
        <v>30719800</v>
      </c>
    </row>
    <row r="93" spans="1:7" x14ac:dyDescent="0.2">
      <c r="A93" s="15" t="s">
        <v>61</v>
      </c>
      <c r="B93" s="15">
        <v>0</v>
      </c>
      <c r="C93" s="15" t="s">
        <v>83</v>
      </c>
      <c r="D93" s="30">
        <v>34900</v>
      </c>
      <c r="E93" s="30">
        <v>3500</v>
      </c>
      <c r="F93" s="30">
        <v>27415100</v>
      </c>
      <c r="G93" s="30">
        <v>43977000</v>
      </c>
    </row>
    <row r="94" spans="1:7" x14ac:dyDescent="0.2">
      <c r="A94" s="15" t="s">
        <v>62</v>
      </c>
      <c r="B94" s="15">
        <v>0</v>
      </c>
      <c r="C94" s="15" t="s">
        <v>83</v>
      </c>
      <c r="D94" s="30">
        <v>89900</v>
      </c>
      <c r="E94" s="30">
        <v>7300</v>
      </c>
      <c r="F94" s="30">
        <v>54097000</v>
      </c>
      <c r="G94" s="30">
        <v>89351300</v>
      </c>
    </row>
    <row r="95" spans="1:7" x14ac:dyDescent="0.2">
      <c r="A95" s="15" t="s">
        <v>63</v>
      </c>
      <c r="B95" s="15">
        <v>0</v>
      </c>
      <c r="C95" s="15" t="s">
        <v>83</v>
      </c>
      <c r="D95" s="30">
        <v>6900</v>
      </c>
      <c r="E95" s="30">
        <v>500</v>
      </c>
      <c r="F95" s="30">
        <v>4276200</v>
      </c>
      <c r="G95" s="30">
        <v>7855600</v>
      </c>
    </row>
    <row r="96" spans="1:7" x14ac:dyDescent="0.2">
      <c r="A96" s="15" t="s">
        <v>64</v>
      </c>
      <c r="B96" s="15">
        <v>0</v>
      </c>
      <c r="C96" s="15" t="s">
        <v>83</v>
      </c>
      <c r="D96" s="30">
        <v>31500</v>
      </c>
      <c r="E96" s="30">
        <v>2200</v>
      </c>
      <c r="F96" s="30">
        <v>17994900</v>
      </c>
      <c r="G96" s="30">
        <v>31397700</v>
      </c>
    </row>
    <row r="97" spans="1:7" x14ac:dyDescent="0.2">
      <c r="A97" s="15" t="s">
        <v>65</v>
      </c>
      <c r="B97" s="15">
        <v>0</v>
      </c>
      <c r="C97" s="15" t="s">
        <v>83</v>
      </c>
      <c r="D97" s="30">
        <v>6700</v>
      </c>
      <c r="E97" s="30">
        <v>600</v>
      </c>
      <c r="F97" s="30">
        <v>4981900</v>
      </c>
      <c r="G97" s="30">
        <v>8794000</v>
      </c>
    </row>
    <row r="98" spans="1:7" x14ac:dyDescent="0.2">
      <c r="A98" s="15" t="s">
        <v>66</v>
      </c>
      <c r="B98" s="15">
        <v>0</v>
      </c>
      <c r="C98" s="15" t="s">
        <v>83</v>
      </c>
      <c r="D98" s="30">
        <v>55100</v>
      </c>
      <c r="E98" s="30">
        <v>3500</v>
      </c>
      <c r="F98" s="30">
        <v>27713200</v>
      </c>
      <c r="G98" s="30">
        <v>47007500</v>
      </c>
    </row>
    <row r="99" spans="1:7" x14ac:dyDescent="0.2">
      <c r="A99" s="15" t="s">
        <v>67</v>
      </c>
      <c r="B99" s="15">
        <v>1</v>
      </c>
      <c r="C99" s="29" t="s">
        <v>83</v>
      </c>
      <c r="D99" s="30">
        <v>94400</v>
      </c>
      <c r="E99" s="30">
        <v>7100</v>
      </c>
      <c r="F99" s="30">
        <v>58951600</v>
      </c>
      <c r="G99" s="30">
        <v>96772700</v>
      </c>
    </row>
    <row r="100" spans="1:7" x14ac:dyDescent="0.2">
      <c r="A100" s="15" t="s">
        <v>67</v>
      </c>
      <c r="B100" s="15">
        <v>2</v>
      </c>
      <c r="C100" s="29" t="s">
        <v>83</v>
      </c>
      <c r="D100" s="30">
        <v>63000</v>
      </c>
      <c r="E100" s="30">
        <v>4700</v>
      </c>
      <c r="F100" s="30">
        <v>35654500</v>
      </c>
      <c r="G100" s="30">
        <v>56524000</v>
      </c>
    </row>
    <row r="101" spans="1:7" x14ac:dyDescent="0.2">
      <c r="A101" s="15" t="s">
        <v>68</v>
      </c>
      <c r="B101" s="15">
        <v>0</v>
      </c>
      <c r="C101" s="15" t="s">
        <v>83</v>
      </c>
      <c r="D101" s="30">
        <v>15400</v>
      </c>
      <c r="E101" s="30">
        <v>1300</v>
      </c>
      <c r="F101" s="30">
        <v>10248000</v>
      </c>
      <c r="G101" s="30">
        <v>17492100</v>
      </c>
    </row>
    <row r="102" spans="1:7" x14ac:dyDescent="0.2">
      <c r="A102" s="15" t="s">
        <v>69</v>
      </c>
      <c r="B102" s="15">
        <v>0</v>
      </c>
      <c r="C102" s="15" t="s">
        <v>83</v>
      </c>
      <c r="D102" s="30">
        <v>7000</v>
      </c>
      <c r="E102" s="30">
        <v>400</v>
      </c>
      <c r="F102" s="30">
        <v>3310700</v>
      </c>
      <c r="G102" s="30">
        <v>5235100</v>
      </c>
    </row>
    <row r="103" spans="1:7" x14ac:dyDescent="0.2">
      <c r="A103" s="15" t="s">
        <v>70</v>
      </c>
      <c r="B103" s="15">
        <v>0</v>
      </c>
      <c r="C103" s="15" t="s">
        <v>83</v>
      </c>
      <c r="D103" s="30">
        <v>61400</v>
      </c>
      <c r="E103" s="30">
        <v>5500</v>
      </c>
      <c r="F103" s="30">
        <v>45944200</v>
      </c>
      <c r="G103" s="30">
        <v>74849500</v>
      </c>
    </row>
    <row r="104" spans="1:7" x14ac:dyDescent="0.2">
      <c r="A104" s="15" t="s">
        <v>71</v>
      </c>
      <c r="B104" s="15">
        <v>0</v>
      </c>
      <c r="C104" s="15" t="s">
        <v>83</v>
      </c>
      <c r="D104" s="30">
        <v>39500</v>
      </c>
      <c r="E104" s="30">
        <v>3000</v>
      </c>
      <c r="F104" s="30">
        <v>25324100</v>
      </c>
      <c r="G104" s="30">
        <v>41484900</v>
      </c>
    </row>
    <row r="105" spans="1:7" x14ac:dyDescent="0.2">
      <c r="A105" s="15" t="s">
        <v>72</v>
      </c>
      <c r="B105" s="15">
        <v>0</v>
      </c>
      <c r="C105" s="15" t="s">
        <v>83</v>
      </c>
      <c r="D105" s="30">
        <v>17900</v>
      </c>
      <c r="E105" s="30">
        <v>1000</v>
      </c>
      <c r="F105" s="30">
        <v>7582600</v>
      </c>
      <c r="G105" s="30">
        <v>12215800</v>
      </c>
    </row>
    <row r="106" spans="1:7" x14ac:dyDescent="0.2">
      <c r="A106" s="15" t="s">
        <v>73</v>
      </c>
      <c r="B106" s="15">
        <v>0</v>
      </c>
      <c r="C106" s="15" t="s">
        <v>83</v>
      </c>
      <c r="D106" s="30">
        <v>43700</v>
      </c>
      <c r="E106" s="30">
        <v>3700</v>
      </c>
      <c r="F106" s="30">
        <v>26598100</v>
      </c>
      <c r="G106" s="30">
        <v>45890600</v>
      </c>
    </row>
    <row r="107" spans="1:7" x14ac:dyDescent="0.2">
      <c r="A107" s="15" t="s">
        <v>74</v>
      </c>
      <c r="B107" s="15">
        <v>0</v>
      </c>
      <c r="C107" s="15" t="s">
        <v>83</v>
      </c>
      <c r="D107" s="30">
        <v>4600</v>
      </c>
      <c r="E107" s="30">
        <v>400</v>
      </c>
      <c r="F107" s="30">
        <v>3370000</v>
      </c>
      <c r="G107" s="30">
        <v>5536800</v>
      </c>
    </row>
    <row r="108" spans="1:7" s="31" customFormat="1" ht="15" x14ac:dyDescent="0.25">
      <c r="A108" s="31" t="s">
        <v>24</v>
      </c>
      <c r="B108" s="31">
        <v>0</v>
      </c>
      <c r="C108" s="33" t="s">
        <v>84</v>
      </c>
      <c r="D108" s="32">
        <v>79100</v>
      </c>
      <c r="E108" s="32">
        <v>3100</v>
      </c>
      <c r="F108" s="32">
        <v>26463900</v>
      </c>
      <c r="G108" s="32">
        <v>44597000</v>
      </c>
    </row>
    <row r="109" spans="1:7" x14ac:dyDescent="0.2">
      <c r="A109" s="15" t="s">
        <v>25</v>
      </c>
      <c r="B109" s="15">
        <v>0</v>
      </c>
      <c r="C109" s="29" t="s">
        <v>84</v>
      </c>
      <c r="D109" s="30">
        <v>10000</v>
      </c>
      <c r="E109" s="30">
        <v>400</v>
      </c>
      <c r="F109" s="30">
        <v>3389200</v>
      </c>
      <c r="G109" s="30">
        <v>5692000</v>
      </c>
    </row>
    <row r="110" spans="1:7" x14ac:dyDescent="0.2">
      <c r="A110" s="15" t="s">
        <v>26</v>
      </c>
      <c r="B110" s="15">
        <v>0</v>
      </c>
      <c r="C110" s="29" t="s">
        <v>84</v>
      </c>
      <c r="D110" s="30">
        <v>79900</v>
      </c>
      <c r="E110" s="30">
        <v>4700</v>
      </c>
      <c r="F110" s="30">
        <v>39597100</v>
      </c>
      <c r="G110" s="30">
        <v>69176300</v>
      </c>
    </row>
    <row r="111" spans="1:7" x14ac:dyDescent="0.2">
      <c r="A111" s="15" t="s">
        <v>27</v>
      </c>
      <c r="B111" s="15">
        <v>0</v>
      </c>
      <c r="C111" s="29" t="s">
        <v>84</v>
      </c>
      <c r="D111" s="30">
        <v>37700</v>
      </c>
      <c r="E111" s="30">
        <v>2100</v>
      </c>
      <c r="F111" s="30">
        <v>18101800</v>
      </c>
      <c r="G111" s="30">
        <v>30819400</v>
      </c>
    </row>
    <row r="112" spans="1:7" x14ac:dyDescent="0.2">
      <c r="A112" s="15" t="s">
        <v>28</v>
      </c>
      <c r="B112" s="15">
        <v>1</v>
      </c>
      <c r="C112" s="29" t="s">
        <v>84</v>
      </c>
      <c r="D112" s="30">
        <v>232000</v>
      </c>
      <c r="E112" s="30">
        <v>10000</v>
      </c>
      <c r="F112" s="30">
        <v>89111400</v>
      </c>
      <c r="G112" s="30">
        <v>154430200</v>
      </c>
    </row>
    <row r="113" spans="1:7" x14ac:dyDescent="0.2">
      <c r="A113" s="15" t="s">
        <v>28</v>
      </c>
      <c r="B113" s="15">
        <v>2</v>
      </c>
      <c r="C113" s="29" t="s">
        <v>84</v>
      </c>
      <c r="D113" s="30">
        <v>283600</v>
      </c>
      <c r="E113" s="30">
        <v>12300</v>
      </c>
      <c r="F113" s="30">
        <v>98718700</v>
      </c>
      <c r="G113" s="30">
        <v>151412400</v>
      </c>
    </row>
    <row r="114" spans="1:7" x14ac:dyDescent="0.2">
      <c r="A114" s="15" t="s">
        <v>29</v>
      </c>
      <c r="B114" s="15">
        <v>0</v>
      </c>
      <c r="C114" s="29" t="s">
        <v>84</v>
      </c>
      <c r="D114" s="30">
        <v>70000</v>
      </c>
      <c r="E114" s="30">
        <v>1800</v>
      </c>
      <c r="F114" s="30">
        <v>15362300</v>
      </c>
      <c r="G114" s="30">
        <v>28141600</v>
      </c>
    </row>
    <row r="115" spans="1:7" x14ac:dyDescent="0.2">
      <c r="A115" s="15" t="s">
        <v>30</v>
      </c>
      <c r="B115" s="15">
        <v>0</v>
      </c>
      <c r="C115" s="29" t="s">
        <v>84</v>
      </c>
      <c r="D115" s="30">
        <v>42300</v>
      </c>
      <c r="E115" s="30">
        <v>1500</v>
      </c>
      <c r="F115" s="30">
        <v>14172700</v>
      </c>
      <c r="G115" s="30">
        <v>24300800</v>
      </c>
    </row>
    <row r="116" spans="1:7" x14ac:dyDescent="0.2">
      <c r="A116" s="15" t="s">
        <v>31</v>
      </c>
      <c r="B116" s="15">
        <v>0</v>
      </c>
      <c r="C116" s="29" t="s">
        <v>84</v>
      </c>
      <c r="D116" s="30">
        <v>15900</v>
      </c>
      <c r="E116" s="30">
        <v>500</v>
      </c>
      <c r="F116" s="30">
        <v>4293400</v>
      </c>
      <c r="G116" s="30">
        <v>7719200</v>
      </c>
    </row>
    <row r="117" spans="1:7" x14ac:dyDescent="0.2">
      <c r="A117" s="15" t="s">
        <v>32</v>
      </c>
      <c r="B117" s="15">
        <v>0</v>
      </c>
      <c r="C117" s="29" t="s">
        <v>84</v>
      </c>
      <c r="D117" s="30">
        <v>8300</v>
      </c>
      <c r="E117" s="30">
        <v>400</v>
      </c>
      <c r="F117" s="30">
        <v>3410800</v>
      </c>
      <c r="G117" s="30">
        <v>6000400</v>
      </c>
    </row>
    <row r="118" spans="1:7" x14ac:dyDescent="0.2">
      <c r="A118" s="15" t="s">
        <v>33</v>
      </c>
      <c r="B118" s="15">
        <v>0</v>
      </c>
      <c r="C118" s="29" t="s">
        <v>84</v>
      </c>
      <c r="D118" s="30">
        <v>204100</v>
      </c>
      <c r="E118" s="30">
        <v>7000</v>
      </c>
      <c r="F118" s="30">
        <v>57515400</v>
      </c>
      <c r="G118" s="30">
        <v>96674600</v>
      </c>
    </row>
    <row r="119" spans="1:7" x14ac:dyDescent="0.2">
      <c r="A119" s="15" t="s">
        <v>34</v>
      </c>
      <c r="B119" s="15">
        <v>0</v>
      </c>
      <c r="C119" s="29" t="s">
        <v>84</v>
      </c>
      <c r="D119" s="30">
        <v>143300</v>
      </c>
      <c r="E119" s="30">
        <v>5700</v>
      </c>
      <c r="F119" s="30">
        <v>49856200</v>
      </c>
      <c r="G119" s="30">
        <v>83454300</v>
      </c>
    </row>
    <row r="120" spans="1:7" x14ac:dyDescent="0.2">
      <c r="A120" s="15" t="s">
        <v>35</v>
      </c>
      <c r="B120" s="15">
        <v>0</v>
      </c>
      <c r="C120" s="29" t="s">
        <v>84</v>
      </c>
      <c r="D120" s="30">
        <v>7900</v>
      </c>
      <c r="E120" s="30">
        <v>300</v>
      </c>
      <c r="F120" s="30">
        <v>2658500</v>
      </c>
      <c r="G120" s="30">
        <v>4122500</v>
      </c>
    </row>
    <row r="121" spans="1:7" x14ac:dyDescent="0.2">
      <c r="A121" s="15" t="s">
        <v>36</v>
      </c>
      <c r="B121" s="15">
        <v>0</v>
      </c>
      <c r="C121" s="29" t="s">
        <v>84</v>
      </c>
      <c r="D121" s="30">
        <v>24200</v>
      </c>
      <c r="E121" s="30">
        <v>1000</v>
      </c>
      <c r="F121" s="30">
        <v>7886000</v>
      </c>
      <c r="G121" s="30">
        <v>13245000</v>
      </c>
    </row>
    <row r="122" spans="1:7" x14ac:dyDescent="0.2">
      <c r="A122" s="15" t="s">
        <v>37</v>
      </c>
      <c r="B122" s="15">
        <v>0</v>
      </c>
      <c r="C122" s="29" t="s">
        <v>84</v>
      </c>
      <c r="D122" s="30">
        <v>128400</v>
      </c>
      <c r="E122" s="30">
        <v>4600</v>
      </c>
      <c r="F122" s="30">
        <v>39166600</v>
      </c>
      <c r="G122" s="30">
        <v>69260200</v>
      </c>
    </row>
    <row r="123" spans="1:7" x14ac:dyDescent="0.2">
      <c r="A123" s="15" t="s">
        <v>38</v>
      </c>
      <c r="B123" s="15">
        <v>0</v>
      </c>
      <c r="C123" s="29" t="s">
        <v>84</v>
      </c>
      <c r="D123" s="30">
        <v>108300</v>
      </c>
      <c r="E123" s="30">
        <v>3600</v>
      </c>
      <c r="F123" s="30">
        <v>30697900</v>
      </c>
      <c r="G123" s="30">
        <v>49817800</v>
      </c>
    </row>
    <row r="124" spans="1:7" x14ac:dyDescent="0.2">
      <c r="A124" s="15" t="s">
        <v>39</v>
      </c>
      <c r="B124" s="15">
        <v>0</v>
      </c>
      <c r="C124" s="29" t="s">
        <v>84</v>
      </c>
      <c r="D124" s="30">
        <v>25200</v>
      </c>
      <c r="E124" s="30">
        <v>500</v>
      </c>
      <c r="F124" s="30">
        <v>4208400</v>
      </c>
      <c r="G124" s="30">
        <v>6348200</v>
      </c>
    </row>
    <row r="125" spans="1:7" x14ac:dyDescent="0.2">
      <c r="A125" s="15" t="s">
        <v>40</v>
      </c>
      <c r="B125" s="15">
        <v>0</v>
      </c>
      <c r="C125" s="29" t="s">
        <v>84</v>
      </c>
      <c r="D125" s="30">
        <v>41600</v>
      </c>
      <c r="E125" s="30">
        <v>1800</v>
      </c>
      <c r="F125" s="30">
        <v>14662300</v>
      </c>
      <c r="G125" s="30">
        <v>22768900</v>
      </c>
    </row>
    <row r="126" spans="1:7" x14ac:dyDescent="0.2">
      <c r="A126" s="15" t="s">
        <v>41</v>
      </c>
      <c r="B126" s="15">
        <v>0</v>
      </c>
      <c r="C126" s="29" t="s">
        <v>84</v>
      </c>
      <c r="D126" s="30">
        <v>41400</v>
      </c>
      <c r="E126" s="30">
        <v>1600</v>
      </c>
      <c r="F126" s="30">
        <v>14819400</v>
      </c>
      <c r="G126" s="30">
        <v>24396100</v>
      </c>
    </row>
    <row r="127" spans="1:7" x14ac:dyDescent="0.2">
      <c r="A127" s="15" t="s">
        <v>42</v>
      </c>
      <c r="B127" s="15">
        <v>0</v>
      </c>
      <c r="C127" s="29" t="s">
        <v>84</v>
      </c>
      <c r="D127" s="30">
        <v>60100</v>
      </c>
      <c r="E127" s="30">
        <v>2900</v>
      </c>
      <c r="F127" s="30">
        <v>23746500</v>
      </c>
      <c r="G127" s="30">
        <v>39231600</v>
      </c>
    </row>
    <row r="128" spans="1:7" x14ac:dyDescent="0.2">
      <c r="A128" s="15" t="s">
        <v>43</v>
      </c>
      <c r="B128" s="15">
        <v>0</v>
      </c>
      <c r="C128" s="29" t="s">
        <v>84</v>
      </c>
      <c r="D128" s="30">
        <v>23400</v>
      </c>
      <c r="E128" s="30">
        <v>800</v>
      </c>
      <c r="F128" s="30">
        <v>6767400</v>
      </c>
      <c r="G128" s="30">
        <v>10396400</v>
      </c>
    </row>
    <row r="129" spans="1:7" x14ac:dyDescent="0.2">
      <c r="A129" s="15" t="s">
        <v>44</v>
      </c>
      <c r="B129" s="15">
        <v>0</v>
      </c>
      <c r="C129" s="29" t="s">
        <v>84</v>
      </c>
      <c r="D129" s="30">
        <v>64300</v>
      </c>
      <c r="E129" s="30">
        <v>1800</v>
      </c>
      <c r="F129" s="30">
        <v>13508300</v>
      </c>
      <c r="G129" s="30">
        <v>23359800</v>
      </c>
    </row>
    <row r="130" spans="1:7" x14ac:dyDescent="0.2">
      <c r="A130" s="15" t="s">
        <v>45</v>
      </c>
      <c r="B130" s="15">
        <v>0</v>
      </c>
      <c r="C130" s="29" t="s">
        <v>84</v>
      </c>
      <c r="D130" s="30">
        <v>92100</v>
      </c>
      <c r="E130" s="30">
        <v>4600</v>
      </c>
      <c r="F130" s="30">
        <v>39678200</v>
      </c>
      <c r="G130" s="30">
        <v>66324000</v>
      </c>
    </row>
    <row r="131" spans="1:7" x14ac:dyDescent="0.2">
      <c r="A131" s="15" t="s">
        <v>46</v>
      </c>
      <c r="B131" s="15">
        <v>0</v>
      </c>
      <c r="C131" s="29" t="s">
        <v>84</v>
      </c>
      <c r="D131" s="30">
        <v>85100</v>
      </c>
      <c r="E131" s="30">
        <v>3200</v>
      </c>
      <c r="F131" s="30">
        <v>26333300</v>
      </c>
      <c r="G131" s="30">
        <v>45278000</v>
      </c>
    </row>
    <row r="132" spans="1:7" x14ac:dyDescent="0.2">
      <c r="A132" s="15" t="s">
        <v>47</v>
      </c>
      <c r="B132" s="15">
        <v>0</v>
      </c>
      <c r="C132" s="29" t="s">
        <v>84</v>
      </c>
      <c r="D132" s="30">
        <v>76100</v>
      </c>
      <c r="E132" s="30">
        <v>2200</v>
      </c>
      <c r="F132" s="30">
        <v>19354500</v>
      </c>
      <c r="G132" s="30">
        <v>30370700</v>
      </c>
    </row>
    <row r="133" spans="1:7" x14ac:dyDescent="0.2">
      <c r="A133" s="15" t="s">
        <v>48</v>
      </c>
      <c r="B133" s="15">
        <v>0</v>
      </c>
      <c r="C133" s="29" t="s">
        <v>84</v>
      </c>
      <c r="D133" s="30">
        <v>39800</v>
      </c>
      <c r="E133" s="30">
        <v>1600</v>
      </c>
      <c r="F133" s="30">
        <v>14787400</v>
      </c>
      <c r="G133" s="30">
        <v>25483900</v>
      </c>
    </row>
    <row r="134" spans="1:7" x14ac:dyDescent="0.2">
      <c r="A134" s="15" t="s">
        <v>49</v>
      </c>
      <c r="B134" s="15">
        <v>0</v>
      </c>
      <c r="C134" s="29" t="s">
        <v>84</v>
      </c>
      <c r="D134" s="30">
        <v>59400</v>
      </c>
      <c r="E134" s="30">
        <v>2200</v>
      </c>
      <c r="F134" s="30">
        <v>18310400</v>
      </c>
      <c r="G134" s="30">
        <v>33257800</v>
      </c>
    </row>
    <row r="135" spans="1:7" x14ac:dyDescent="0.2">
      <c r="A135" s="15" t="s">
        <v>50</v>
      </c>
      <c r="B135" s="15">
        <v>0</v>
      </c>
      <c r="C135" s="29" t="s">
        <v>84</v>
      </c>
      <c r="D135" s="30">
        <v>14600</v>
      </c>
      <c r="E135" s="30">
        <v>700</v>
      </c>
      <c r="F135" s="30">
        <v>6286500</v>
      </c>
      <c r="G135" s="30">
        <v>10589000</v>
      </c>
    </row>
    <row r="136" spans="1:7" x14ac:dyDescent="0.2">
      <c r="A136" s="15" t="s">
        <v>51</v>
      </c>
      <c r="B136" s="15">
        <v>0</v>
      </c>
      <c r="C136" s="29" t="s">
        <v>84</v>
      </c>
      <c r="D136" s="30">
        <v>24300</v>
      </c>
      <c r="E136" s="30">
        <v>900</v>
      </c>
      <c r="F136" s="30">
        <v>7902900</v>
      </c>
      <c r="G136" s="30">
        <v>12595900</v>
      </c>
    </row>
    <row r="137" spans="1:7" x14ac:dyDescent="0.2">
      <c r="A137" s="15" t="s">
        <v>52</v>
      </c>
      <c r="B137" s="15">
        <v>0</v>
      </c>
      <c r="C137" s="29" t="s">
        <v>84</v>
      </c>
      <c r="D137" s="30">
        <v>31400</v>
      </c>
      <c r="E137" s="30">
        <v>1400</v>
      </c>
      <c r="F137" s="30">
        <v>11946100</v>
      </c>
      <c r="G137" s="30">
        <v>20701000</v>
      </c>
    </row>
    <row r="138" spans="1:7" x14ac:dyDescent="0.2">
      <c r="A138" s="15" t="s">
        <v>53</v>
      </c>
      <c r="B138" s="15">
        <v>0</v>
      </c>
      <c r="C138" s="29" t="s">
        <v>84</v>
      </c>
      <c r="D138" s="30">
        <v>18200</v>
      </c>
      <c r="E138" s="30">
        <v>900</v>
      </c>
      <c r="F138" s="30">
        <v>7750000</v>
      </c>
      <c r="G138" s="30">
        <v>13038100</v>
      </c>
    </row>
    <row r="139" spans="1:7" x14ac:dyDescent="0.2">
      <c r="A139" s="15" t="s">
        <v>54</v>
      </c>
      <c r="B139" s="15">
        <v>0</v>
      </c>
      <c r="C139" s="29" t="s">
        <v>84</v>
      </c>
      <c r="D139" s="30">
        <v>91100</v>
      </c>
      <c r="E139" s="30">
        <v>3300</v>
      </c>
      <c r="F139" s="30">
        <v>27283700</v>
      </c>
      <c r="G139" s="30">
        <v>51019800</v>
      </c>
    </row>
    <row r="140" spans="1:7" x14ac:dyDescent="0.2">
      <c r="A140" s="15" t="s">
        <v>55</v>
      </c>
      <c r="B140" s="15">
        <v>0</v>
      </c>
      <c r="C140" s="29" t="s">
        <v>84</v>
      </c>
      <c r="D140" s="30">
        <v>34800</v>
      </c>
      <c r="E140" s="30">
        <v>1600</v>
      </c>
      <c r="F140" s="30">
        <v>13810200</v>
      </c>
      <c r="G140" s="30">
        <v>23899200</v>
      </c>
    </row>
    <row r="141" spans="1:7" x14ac:dyDescent="0.2">
      <c r="A141" s="15" t="s">
        <v>56</v>
      </c>
      <c r="B141" s="15">
        <v>0</v>
      </c>
      <c r="C141" s="29" t="s">
        <v>84</v>
      </c>
      <c r="D141" s="30">
        <v>243600</v>
      </c>
      <c r="E141" s="30">
        <v>8500</v>
      </c>
      <c r="F141" s="30">
        <v>73173800</v>
      </c>
      <c r="G141" s="30">
        <v>126677200</v>
      </c>
    </row>
    <row r="142" spans="1:7" x14ac:dyDescent="0.2">
      <c r="A142" s="15" t="s">
        <v>57</v>
      </c>
      <c r="B142" s="15">
        <v>0</v>
      </c>
      <c r="C142" s="29" t="s">
        <v>84</v>
      </c>
      <c r="D142" s="30">
        <v>98000</v>
      </c>
      <c r="E142" s="30">
        <v>3600</v>
      </c>
      <c r="F142" s="30">
        <v>29505500</v>
      </c>
      <c r="G142" s="30">
        <v>49375200</v>
      </c>
    </row>
    <row r="143" spans="1:7" x14ac:dyDescent="0.2">
      <c r="A143" s="15" t="s">
        <v>58</v>
      </c>
      <c r="B143" s="15">
        <v>0</v>
      </c>
      <c r="C143" s="29" t="s">
        <v>84</v>
      </c>
      <c r="D143" s="30">
        <v>9600</v>
      </c>
      <c r="E143" s="30">
        <v>300</v>
      </c>
      <c r="F143" s="30">
        <v>2513500</v>
      </c>
      <c r="G143" s="30">
        <v>4119000</v>
      </c>
    </row>
    <row r="144" spans="1:7" x14ac:dyDescent="0.2">
      <c r="A144" s="15" t="s">
        <v>59</v>
      </c>
      <c r="B144" s="15">
        <v>0</v>
      </c>
      <c r="C144" s="29" t="s">
        <v>84</v>
      </c>
      <c r="D144" s="30">
        <v>152200</v>
      </c>
      <c r="E144" s="30">
        <v>4200</v>
      </c>
      <c r="F144" s="30">
        <v>33727000</v>
      </c>
      <c r="G144" s="30">
        <v>54962100</v>
      </c>
    </row>
    <row r="145" spans="1:7" x14ac:dyDescent="0.2">
      <c r="A145" s="15" t="s">
        <v>60</v>
      </c>
      <c r="B145" s="15">
        <v>0</v>
      </c>
      <c r="C145" s="29" t="s">
        <v>84</v>
      </c>
      <c r="D145" s="30">
        <v>42000</v>
      </c>
      <c r="E145" s="30">
        <v>1600</v>
      </c>
      <c r="F145" s="30">
        <v>12714500</v>
      </c>
      <c r="G145" s="30">
        <v>21511100</v>
      </c>
    </row>
    <row r="146" spans="1:7" x14ac:dyDescent="0.2">
      <c r="A146" s="15" t="s">
        <v>61</v>
      </c>
      <c r="B146" s="15">
        <v>0</v>
      </c>
      <c r="C146" s="29" t="s">
        <v>84</v>
      </c>
      <c r="D146" s="30">
        <v>46800</v>
      </c>
      <c r="E146" s="30">
        <v>2100</v>
      </c>
      <c r="F146" s="30">
        <v>18109100</v>
      </c>
      <c r="G146" s="30">
        <v>33298300</v>
      </c>
    </row>
    <row r="147" spans="1:7" x14ac:dyDescent="0.2">
      <c r="A147" s="15" t="s">
        <v>62</v>
      </c>
      <c r="B147" s="15">
        <v>0</v>
      </c>
      <c r="C147" s="29" t="s">
        <v>84</v>
      </c>
      <c r="D147" s="30">
        <v>145400</v>
      </c>
      <c r="E147" s="30">
        <v>8000</v>
      </c>
      <c r="F147" s="30">
        <v>68031700</v>
      </c>
      <c r="G147" s="30">
        <v>109922800</v>
      </c>
    </row>
    <row r="148" spans="1:7" x14ac:dyDescent="0.2">
      <c r="A148" s="15" t="s">
        <v>63</v>
      </c>
      <c r="B148" s="15">
        <v>0</v>
      </c>
      <c r="C148" s="29" t="s">
        <v>84</v>
      </c>
      <c r="D148" s="30">
        <v>9600</v>
      </c>
      <c r="E148" s="30">
        <v>400</v>
      </c>
      <c r="F148" s="30">
        <v>3380500</v>
      </c>
      <c r="G148" s="30">
        <v>5577300</v>
      </c>
    </row>
    <row r="149" spans="1:7" x14ac:dyDescent="0.2">
      <c r="A149" s="15" t="s">
        <v>64</v>
      </c>
      <c r="B149" s="15">
        <v>0</v>
      </c>
      <c r="C149" s="29" t="s">
        <v>84</v>
      </c>
      <c r="D149" s="30">
        <v>47400</v>
      </c>
      <c r="E149" s="30">
        <v>2000</v>
      </c>
      <c r="F149" s="30">
        <v>18198200</v>
      </c>
      <c r="G149" s="30">
        <v>28804200</v>
      </c>
    </row>
    <row r="150" spans="1:7" x14ac:dyDescent="0.2">
      <c r="A150" s="15" t="s">
        <v>65</v>
      </c>
      <c r="B150" s="15">
        <v>0</v>
      </c>
      <c r="C150" s="29" t="s">
        <v>84</v>
      </c>
      <c r="D150" s="30">
        <v>12400</v>
      </c>
      <c r="E150" s="30">
        <v>600</v>
      </c>
      <c r="F150" s="30">
        <v>4982900</v>
      </c>
      <c r="G150" s="30">
        <v>8494900</v>
      </c>
    </row>
    <row r="151" spans="1:7" x14ac:dyDescent="0.2">
      <c r="A151" s="15" t="s">
        <v>66</v>
      </c>
      <c r="B151" s="15">
        <v>0</v>
      </c>
      <c r="C151" s="29" t="s">
        <v>84</v>
      </c>
      <c r="D151" s="30">
        <v>82900</v>
      </c>
      <c r="E151" s="30">
        <v>3500</v>
      </c>
      <c r="F151" s="30">
        <v>27823300</v>
      </c>
      <c r="G151" s="30">
        <v>51009200</v>
      </c>
    </row>
    <row r="152" spans="1:7" x14ac:dyDescent="0.2">
      <c r="A152" s="15" t="s">
        <v>67</v>
      </c>
      <c r="B152" s="15">
        <v>1</v>
      </c>
      <c r="C152" s="29" t="s">
        <v>84</v>
      </c>
      <c r="D152" s="30">
        <v>134600</v>
      </c>
      <c r="E152" s="30">
        <v>5000</v>
      </c>
      <c r="F152" s="30">
        <v>43770300</v>
      </c>
      <c r="G152" s="30">
        <v>77993900</v>
      </c>
    </row>
    <row r="153" spans="1:7" x14ac:dyDescent="0.2">
      <c r="A153" s="15" t="s">
        <v>67</v>
      </c>
      <c r="B153" s="15">
        <v>2</v>
      </c>
      <c r="C153" s="29" t="s">
        <v>84</v>
      </c>
      <c r="D153" s="30">
        <v>89800</v>
      </c>
      <c r="E153" s="30">
        <v>3300</v>
      </c>
      <c r="F153" s="30">
        <v>28257100</v>
      </c>
      <c r="G153" s="30">
        <v>48968600</v>
      </c>
    </row>
    <row r="154" spans="1:7" x14ac:dyDescent="0.2">
      <c r="A154" s="15" t="s">
        <v>68</v>
      </c>
      <c r="B154" s="15">
        <v>0</v>
      </c>
      <c r="C154" s="29" t="s">
        <v>84</v>
      </c>
      <c r="D154" s="30">
        <v>21800</v>
      </c>
      <c r="E154" s="30">
        <v>900</v>
      </c>
      <c r="F154" s="30">
        <v>7872600</v>
      </c>
      <c r="G154" s="30">
        <v>12755100</v>
      </c>
    </row>
    <row r="155" spans="1:7" x14ac:dyDescent="0.2">
      <c r="A155" s="15" t="s">
        <v>69</v>
      </c>
      <c r="B155" s="15">
        <v>0</v>
      </c>
      <c r="C155" s="29" t="s">
        <v>84</v>
      </c>
      <c r="D155" s="30">
        <v>9300</v>
      </c>
      <c r="E155" s="30">
        <v>400</v>
      </c>
      <c r="F155" s="30">
        <v>3161300</v>
      </c>
      <c r="G155" s="30">
        <v>5514900</v>
      </c>
    </row>
    <row r="156" spans="1:7" x14ac:dyDescent="0.2">
      <c r="A156" s="15" t="s">
        <v>70</v>
      </c>
      <c r="B156" s="15">
        <v>0</v>
      </c>
      <c r="C156" s="29" t="s">
        <v>84</v>
      </c>
      <c r="D156" s="30">
        <v>133200</v>
      </c>
      <c r="E156" s="30">
        <v>7000</v>
      </c>
      <c r="F156" s="30">
        <v>58803800</v>
      </c>
      <c r="G156" s="30">
        <v>94392900</v>
      </c>
    </row>
    <row r="157" spans="1:7" x14ac:dyDescent="0.2">
      <c r="A157" s="15" t="s">
        <v>71</v>
      </c>
      <c r="B157" s="15">
        <v>0</v>
      </c>
      <c r="C157" s="29" t="s">
        <v>84</v>
      </c>
      <c r="D157" s="30">
        <v>56600</v>
      </c>
      <c r="E157" s="30">
        <v>1600</v>
      </c>
      <c r="F157" s="30">
        <v>14478100</v>
      </c>
      <c r="G157" s="30">
        <v>25739700</v>
      </c>
    </row>
    <row r="158" spans="1:7" x14ac:dyDescent="0.2">
      <c r="A158" s="15" t="s">
        <v>72</v>
      </c>
      <c r="B158" s="15">
        <v>0</v>
      </c>
      <c r="C158" s="29" t="s">
        <v>84</v>
      </c>
      <c r="D158" s="30">
        <v>22500</v>
      </c>
      <c r="E158" s="30">
        <v>800</v>
      </c>
      <c r="F158" s="30">
        <v>7391000</v>
      </c>
      <c r="G158" s="30">
        <v>11820000</v>
      </c>
    </row>
    <row r="159" spans="1:7" x14ac:dyDescent="0.2">
      <c r="A159" s="15" t="s">
        <v>73</v>
      </c>
      <c r="B159" s="15">
        <v>0</v>
      </c>
      <c r="C159" s="29" t="s">
        <v>84</v>
      </c>
      <c r="D159" s="30">
        <v>78800</v>
      </c>
      <c r="E159" s="30">
        <v>3000</v>
      </c>
      <c r="F159" s="30">
        <v>24722600</v>
      </c>
      <c r="G159" s="30">
        <v>39195700</v>
      </c>
    </row>
    <row r="160" spans="1:7" x14ac:dyDescent="0.2">
      <c r="A160" s="15" t="s">
        <v>74</v>
      </c>
      <c r="B160" s="15">
        <v>0</v>
      </c>
      <c r="C160" s="29" t="s">
        <v>84</v>
      </c>
      <c r="D160" s="30">
        <v>7400</v>
      </c>
      <c r="E160" s="30">
        <v>300</v>
      </c>
      <c r="F160" s="30">
        <v>2501000</v>
      </c>
      <c r="G160" s="30">
        <v>3985900</v>
      </c>
    </row>
    <row r="161" spans="1:7" s="31" customFormat="1" ht="15" x14ac:dyDescent="0.25">
      <c r="A161" s="31" t="s">
        <v>24</v>
      </c>
      <c r="B161" s="31">
        <v>0</v>
      </c>
      <c r="C161" s="31" t="s">
        <v>85</v>
      </c>
      <c r="D161" s="32">
        <v>27400</v>
      </c>
      <c r="E161" s="32">
        <v>1700</v>
      </c>
      <c r="F161" s="32">
        <v>14576100</v>
      </c>
      <c r="G161" s="32">
        <v>28857500</v>
      </c>
    </row>
    <row r="162" spans="1:7" x14ac:dyDescent="0.2">
      <c r="A162" s="15" t="s">
        <v>25</v>
      </c>
      <c r="B162" s="15">
        <v>0</v>
      </c>
      <c r="C162" s="15" t="s">
        <v>85</v>
      </c>
      <c r="D162" s="30">
        <v>2900</v>
      </c>
      <c r="E162" s="30">
        <v>200</v>
      </c>
      <c r="F162" s="30">
        <v>1649100</v>
      </c>
      <c r="G162" s="30">
        <v>2709300</v>
      </c>
    </row>
    <row r="163" spans="1:7" x14ac:dyDescent="0.2">
      <c r="A163" s="15" t="s">
        <v>26</v>
      </c>
      <c r="B163" s="15">
        <v>0</v>
      </c>
      <c r="C163" s="15" t="s">
        <v>85</v>
      </c>
      <c r="D163" s="30">
        <v>27300</v>
      </c>
      <c r="E163" s="30">
        <v>2200</v>
      </c>
      <c r="F163" s="30">
        <v>17885700</v>
      </c>
      <c r="G163" s="30">
        <v>28910400</v>
      </c>
    </row>
    <row r="164" spans="1:7" x14ac:dyDescent="0.2">
      <c r="A164" s="15" t="s">
        <v>27</v>
      </c>
      <c r="B164" s="15">
        <v>0</v>
      </c>
      <c r="C164" s="15" t="s">
        <v>85</v>
      </c>
      <c r="D164" s="30">
        <v>10500</v>
      </c>
      <c r="E164" s="30">
        <v>800</v>
      </c>
      <c r="F164" s="30">
        <v>7140300</v>
      </c>
      <c r="G164" s="30">
        <v>11946300</v>
      </c>
    </row>
    <row r="165" spans="1:7" x14ac:dyDescent="0.2">
      <c r="A165" s="15" t="s">
        <v>28</v>
      </c>
      <c r="B165" s="15">
        <v>1</v>
      </c>
      <c r="C165" s="29" t="s">
        <v>85</v>
      </c>
      <c r="D165" s="30">
        <v>69100</v>
      </c>
      <c r="E165" s="30">
        <v>4100</v>
      </c>
      <c r="F165" s="30">
        <v>34861400</v>
      </c>
      <c r="G165" s="30">
        <v>57338000</v>
      </c>
    </row>
    <row r="166" spans="1:7" x14ac:dyDescent="0.2">
      <c r="A166" s="15" t="s">
        <v>28</v>
      </c>
      <c r="B166" s="15">
        <v>2</v>
      </c>
      <c r="C166" s="29" t="s">
        <v>85</v>
      </c>
      <c r="D166" s="30">
        <v>84500</v>
      </c>
      <c r="E166" s="30">
        <v>5000</v>
      </c>
      <c r="F166" s="30">
        <v>42213800</v>
      </c>
      <c r="G166" s="30">
        <v>71516400</v>
      </c>
    </row>
    <row r="167" spans="1:7" x14ac:dyDescent="0.2">
      <c r="A167" s="15" t="s">
        <v>29</v>
      </c>
      <c r="B167" s="15">
        <v>0</v>
      </c>
      <c r="C167" s="15" t="s">
        <v>85</v>
      </c>
      <c r="D167" s="30">
        <v>23600</v>
      </c>
      <c r="E167" s="30">
        <v>700</v>
      </c>
      <c r="F167" s="30">
        <v>6300700</v>
      </c>
      <c r="G167" s="30">
        <v>9881700</v>
      </c>
    </row>
    <row r="168" spans="1:7" x14ac:dyDescent="0.2">
      <c r="A168" s="15" t="s">
        <v>30</v>
      </c>
      <c r="B168" s="15">
        <v>0</v>
      </c>
      <c r="C168" s="15" t="s">
        <v>85</v>
      </c>
      <c r="D168" s="30">
        <v>21200</v>
      </c>
      <c r="E168" s="30">
        <v>1100</v>
      </c>
      <c r="F168" s="30">
        <v>9348700</v>
      </c>
      <c r="G168" s="30">
        <v>15410100</v>
      </c>
    </row>
    <row r="169" spans="1:7" x14ac:dyDescent="0.2">
      <c r="A169" s="15" t="s">
        <v>31</v>
      </c>
      <c r="B169" s="15">
        <v>0</v>
      </c>
      <c r="C169" s="15" t="s">
        <v>85</v>
      </c>
      <c r="D169" s="30">
        <v>4600</v>
      </c>
      <c r="E169" s="30">
        <v>300</v>
      </c>
      <c r="F169" s="30">
        <v>2389100</v>
      </c>
      <c r="G169" s="30">
        <v>4024900</v>
      </c>
    </row>
    <row r="170" spans="1:7" x14ac:dyDescent="0.2">
      <c r="A170" s="15" t="s">
        <v>32</v>
      </c>
      <c r="B170" s="15">
        <v>0</v>
      </c>
      <c r="C170" s="15" t="s">
        <v>85</v>
      </c>
      <c r="D170" s="30">
        <v>2400</v>
      </c>
      <c r="E170" s="30">
        <v>200</v>
      </c>
      <c r="F170" s="30">
        <v>1693400</v>
      </c>
      <c r="G170" s="30">
        <v>2780500</v>
      </c>
    </row>
    <row r="171" spans="1:7" x14ac:dyDescent="0.2">
      <c r="A171" s="15" t="s">
        <v>33</v>
      </c>
      <c r="B171" s="15">
        <v>0</v>
      </c>
      <c r="C171" s="15" t="s">
        <v>85</v>
      </c>
      <c r="D171" s="30">
        <v>73600</v>
      </c>
      <c r="E171" s="30">
        <v>4500</v>
      </c>
      <c r="F171" s="30">
        <v>38974100</v>
      </c>
      <c r="G171" s="30">
        <v>67678700</v>
      </c>
    </row>
    <row r="172" spans="1:7" x14ac:dyDescent="0.2">
      <c r="A172" s="15" t="s">
        <v>34</v>
      </c>
      <c r="B172" s="15">
        <v>0</v>
      </c>
      <c r="C172" s="15" t="s">
        <v>85</v>
      </c>
      <c r="D172" s="30">
        <v>40000</v>
      </c>
      <c r="E172" s="30">
        <v>2200</v>
      </c>
      <c r="F172" s="30">
        <v>19218900</v>
      </c>
      <c r="G172" s="30">
        <v>32968800</v>
      </c>
    </row>
    <row r="173" spans="1:7" x14ac:dyDescent="0.2">
      <c r="A173" s="15" t="s">
        <v>35</v>
      </c>
      <c r="B173" s="15">
        <v>0</v>
      </c>
      <c r="C173" s="15" t="s">
        <v>85</v>
      </c>
      <c r="D173" s="30">
        <v>2800</v>
      </c>
      <c r="E173" s="30">
        <v>200</v>
      </c>
      <c r="F173" s="30">
        <v>1738100</v>
      </c>
      <c r="G173" s="30">
        <v>2962100</v>
      </c>
    </row>
    <row r="174" spans="1:7" x14ac:dyDescent="0.2">
      <c r="A174" s="15" t="s">
        <v>36</v>
      </c>
      <c r="B174" s="15">
        <v>0</v>
      </c>
      <c r="C174" s="15" t="s">
        <v>85</v>
      </c>
      <c r="D174" s="30">
        <v>7200</v>
      </c>
      <c r="E174" s="30">
        <v>500</v>
      </c>
      <c r="F174" s="30">
        <v>4201700</v>
      </c>
      <c r="G174" s="30">
        <v>7411000</v>
      </c>
    </row>
    <row r="175" spans="1:7" x14ac:dyDescent="0.2">
      <c r="A175" s="15" t="s">
        <v>37</v>
      </c>
      <c r="B175" s="15">
        <v>0</v>
      </c>
      <c r="C175" s="15" t="s">
        <v>85</v>
      </c>
      <c r="D175" s="30">
        <v>48500</v>
      </c>
      <c r="E175" s="30">
        <v>2800</v>
      </c>
      <c r="F175" s="30">
        <v>21822300</v>
      </c>
      <c r="G175" s="30">
        <v>38615100</v>
      </c>
    </row>
    <row r="176" spans="1:7" x14ac:dyDescent="0.2">
      <c r="A176" s="15" t="s">
        <v>38</v>
      </c>
      <c r="B176" s="15">
        <v>0</v>
      </c>
      <c r="C176" s="15" t="s">
        <v>85</v>
      </c>
      <c r="D176" s="30">
        <v>30700</v>
      </c>
      <c r="E176" s="30">
        <v>1500</v>
      </c>
      <c r="F176" s="30">
        <v>13404300</v>
      </c>
      <c r="G176" s="30">
        <v>20434900</v>
      </c>
    </row>
    <row r="177" spans="1:7" x14ac:dyDescent="0.2">
      <c r="A177" s="15" t="s">
        <v>39</v>
      </c>
      <c r="B177" s="15">
        <v>0</v>
      </c>
      <c r="C177" s="15" t="s">
        <v>85</v>
      </c>
      <c r="D177" s="30">
        <v>7900</v>
      </c>
      <c r="E177" s="30">
        <v>400</v>
      </c>
      <c r="F177" s="30">
        <v>3422900</v>
      </c>
      <c r="G177" s="30">
        <v>6007600</v>
      </c>
    </row>
    <row r="178" spans="1:7" x14ac:dyDescent="0.2">
      <c r="A178" s="15" t="s">
        <v>40</v>
      </c>
      <c r="B178" s="15">
        <v>0</v>
      </c>
      <c r="C178" s="15" t="s">
        <v>85</v>
      </c>
      <c r="D178" s="30">
        <v>11400</v>
      </c>
      <c r="E178" s="30">
        <v>700</v>
      </c>
      <c r="F178" s="30">
        <v>6047300</v>
      </c>
      <c r="G178" s="30">
        <v>9784900</v>
      </c>
    </row>
    <row r="179" spans="1:7" x14ac:dyDescent="0.2">
      <c r="A179" s="15" t="s">
        <v>41</v>
      </c>
      <c r="B179" s="15">
        <v>0</v>
      </c>
      <c r="C179" s="15" t="s">
        <v>85</v>
      </c>
      <c r="D179" s="30">
        <v>17300</v>
      </c>
      <c r="E179" s="30">
        <v>900</v>
      </c>
      <c r="F179" s="30">
        <v>7987000</v>
      </c>
      <c r="G179" s="30">
        <v>13795400</v>
      </c>
    </row>
    <row r="180" spans="1:7" x14ac:dyDescent="0.2">
      <c r="A180" s="15" t="s">
        <v>42</v>
      </c>
      <c r="B180" s="15">
        <v>0</v>
      </c>
      <c r="C180" s="15" t="s">
        <v>85</v>
      </c>
      <c r="D180" s="30">
        <v>17700</v>
      </c>
      <c r="E180" s="30">
        <v>1300</v>
      </c>
      <c r="F180" s="30">
        <v>10127400</v>
      </c>
      <c r="G180" s="30">
        <v>17378300</v>
      </c>
    </row>
    <row r="181" spans="1:7" x14ac:dyDescent="0.2">
      <c r="A181" s="15" t="s">
        <v>43</v>
      </c>
      <c r="B181" s="15">
        <v>0</v>
      </c>
      <c r="C181" s="15" t="s">
        <v>85</v>
      </c>
      <c r="D181" s="30">
        <v>7500</v>
      </c>
      <c r="E181" s="30">
        <v>400</v>
      </c>
      <c r="F181" s="30">
        <v>3305800</v>
      </c>
      <c r="G181" s="30">
        <v>5462900</v>
      </c>
    </row>
    <row r="182" spans="1:7" x14ac:dyDescent="0.2">
      <c r="A182" s="15" t="s">
        <v>44</v>
      </c>
      <c r="B182" s="15">
        <v>0</v>
      </c>
      <c r="C182" s="15" t="s">
        <v>85</v>
      </c>
      <c r="D182" s="30">
        <v>17600</v>
      </c>
      <c r="E182" s="30">
        <v>800</v>
      </c>
      <c r="F182" s="30">
        <v>6358000</v>
      </c>
      <c r="G182" s="30">
        <v>10476300</v>
      </c>
    </row>
    <row r="183" spans="1:7" x14ac:dyDescent="0.2">
      <c r="A183" s="15" t="s">
        <v>45</v>
      </c>
      <c r="B183" s="15">
        <v>0</v>
      </c>
      <c r="C183" s="15" t="s">
        <v>85</v>
      </c>
      <c r="D183" s="30">
        <v>30800</v>
      </c>
      <c r="E183" s="30">
        <v>2200</v>
      </c>
      <c r="F183" s="30">
        <v>19806300</v>
      </c>
      <c r="G183" s="30">
        <v>32018100</v>
      </c>
    </row>
    <row r="184" spans="1:7" x14ac:dyDescent="0.2">
      <c r="A184" s="15" t="s">
        <v>46</v>
      </c>
      <c r="B184" s="15">
        <v>0</v>
      </c>
      <c r="C184" s="15" t="s">
        <v>85</v>
      </c>
      <c r="D184" s="30">
        <v>28800</v>
      </c>
      <c r="E184" s="30">
        <v>1900</v>
      </c>
      <c r="F184" s="30">
        <v>15563800</v>
      </c>
      <c r="G184" s="30">
        <v>24916900</v>
      </c>
    </row>
    <row r="185" spans="1:7" x14ac:dyDescent="0.2">
      <c r="A185" s="15" t="s">
        <v>47</v>
      </c>
      <c r="B185" s="15">
        <v>0</v>
      </c>
      <c r="C185" s="15" t="s">
        <v>85</v>
      </c>
      <c r="D185" s="30">
        <v>24100</v>
      </c>
      <c r="E185" s="30">
        <v>1100</v>
      </c>
      <c r="F185" s="30">
        <v>9304700</v>
      </c>
      <c r="G185" s="30">
        <v>14775900</v>
      </c>
    </row>
    <row r="186" spans="1:7" x14ac:dyDescent="0.2">
      <c r="A186" s="15" t="s">
        <v>48</v>
      </c>
      <c r="B186" s="15">
        <v>0</v>
      </c>
      <c r="C186" s="15" t="s">
        <v>85</v>
      </c>
      <c r="D186" s="30">
        <v>12800</v>
      </c>
      <c r="E186" s="30">
        <v>800</v>
      </c>
      <c r="F186" s="30">
        <v>7070500</v>
      </c>
      <c r="G186" s="30">
        <v>11850000</v>
      </c>
    </row>
    <row r="187" spans="1:7" x14ac:dyDescent="0.2">
      <c r="A187" s="15" t="s">
        <v>49</v>
      </c>
      <c r="B187" s="15">
        <v>0</v>
      </c>
      <c r="C187" s="15" t="s">
        <v>85</v>
      </c>
      <c r="D187" s="30">
        <v>24600</v>
      </c>
      <c r="E187" s="30">
        <v>1400</v>
      </c>
      <c r="F187" s="30">
        <v>11561800</v>
      </c>
      <c r="G187" s="30">
        <v>19384000</v>
      </c>
    </row>
    <row r="188" spans="1:7" x14ac:dyDescent="0.2">
      <c r="A188" s="15" t="s">
        <v>50</v>
      </c>
      <c r="B188" s="15">
        <v>0</v>
      </c>
      <c r="C188" s="15" t="s">
        <v>85</v>
      </c>
      <c r="D188" s="30">
        <v>4300</v>
      </c>
      <c r="E188" s="30">
        <v>300</v>
      </c>
      <c r="F188" s="30">
        <v>2456800</v>
      </c>
      <c r="G188" s="30">
        <v>4253600</v>
      </c>
    </row>
    <row r="189" spans="1:7" x14ac:dyDescent="0.2">
      <c r="A189" s="15" t="s">
        <v>51</v>
      </c>
      <c r="B189" s="15">
        <v>0</v>
      </c>
      <c r="C189" s="15" t="s">
        <v>85</v>
      </c>
      <c r="D189" s="30">
        <v>8600</v>
      </c>
      <c r="E189" s="30">
        <v>500</v>
      </c>
      <c r="F189" s="30">
        <v>4511200</v>
      </c>
      <c r="G189" s="30">
        <v>8791400</v>
      </c>
    </row>
    <row r="190" spans="1:7" x14ac:dyDescent="0.2">
      <c r="A190" s="15" t="s">
        <v>52</v>
      </c>
      <c r="B190" s="15">
        <v>0</v>
      </c>
      <c r="C190" s="15" t="s">
        <v>85</v>
      </c>
      <c r="D190" s="30">
        <v>10300</v>
      </c>
      <c r="E190" s="30">
        <v>700</v>
      </c>
      <c r="F190" s="30">
        <v>5925900</v>
      </c>
      <c r="G190" s="30">
        <v>9426900</v>
      </c>
    </row>
    <row r="191" spans="1:7" x14ac:dyDescent="0.2">
      <c r="A191" s="15" t="s">
        <v>53</v>
      </c>
      <c r="B191" s="15">
        <v>0</v>
      </c>
      <c r="C191" s="15" t="s">
        <v>85</v>
      </c>
      <c r="D191" s="30">
        <v>5200</v>
      </c>
      <c r="E191" s="30">
        <v>300</v>
      </c>
      <c r="F191" s="30">
        <v>2706200</v>
      </c>
      <c r="G191" s="30">
        <v>4359500</v>
      </c>
    </row>
    <row r="192" spans="1:7" x14ac:dyDescent="0.2">
      <c r="A192" s="15" t="s">
        <v>54</v>
      </c>
      <c r="B192" s="15">
        <v>0</v>
      </c>
      <c r="C192" s="15" t="s">
        <v>85</v>
      </c>
      <c r="D192" s="30">
        <v>32900</v>
      </c>
      <c r="E192" s="30">
        <v>2000</v>
      </c>
      <c r="F192" s="30">
        <v>15851200</v>
      </c>
      <c r="G192" s="30">
        <v>25876900</v>
      </c>
    </row>
    <row r="193" spans="1:7" x14ac:dyDescent="0.2">
      <c r="A193" s="15" t="s">
        <v>55</v>
      </c>
      <c r="B193" s="15">
        <v>0</v>
      </c>
      <c r="C193" s="15" t="s">
        <v>85</v>
      </c>
      <c r="D193" s="30">
        <v>10500</v>
      </c>
      <c r="E193" s="30">
        <v>700</v>
      </c>
      <c r="F193" s="30">
        <v>6044700</v>
      </c>
      <c r="G193" s="30">
        <v>10161200</v>
      </c>
    </row>
    <row r="194" spans="1:7" x14ac:dyDescent="0.2">
      <c r="A194" s="15" t="s">
        <v>56</v>
      </c>
      <c r="B194" s="15">
        <v>0</v>
      </c>
      <c r="C194" s="15" t="s">
        <v>85</v>
      </c>
      <c r="D194" s="30">
        <v>90500</v>
      </c>
      <c r="E194" s="30">
        <v>4900</v>
      </c>
      <c r="F194" s="30">
        <v>39040100</v>
      </c>
      <c r="G194" s="30">
        <v>67202500</v>
      </c>
    </row>
    <row r="195" spans="1:7" x14ac:dyDescent="0.2">
      <c r="A195" s="15" t="s">
        <v>57</v>
      </c>
      <c r="B195" s="15">
        <v>0</v>
      </c>
      <c r="C195" s="15" t="s">
        <v>85</v>
      </c>
      <c r="D195" s="30">
        <v>32700</v>
      </c>
      <c r="E195" s="30">
        <v>1900</v>
      </c>
      <c r="F195" s="30">
        <v>17262000</v>
      </c>
      <c r="G195" s="30">
        <v>28485100</v>
      </c>
    </row>
    <row r="196" spans="1:7" x14ac:dyDescent="0.2">
      <c r="A196" s="15" t="s">
        <v>58</v>
      </c>
      <c r="B196" s="15">
        <v>0</v>
      </c>
      <c r="C196" s="15" t="s">
        <v>85</v>
      </c>
      <c r="D196" s="30">
        <v>3600</v>
      </c>
      <c r="E196" s="30">
        <v>200</v>
      </c>
      <c r="F196" s="30">
        <v>1868500</v>
      </c>
      <c r="G196" s="30">
        <v>2922200</v>
      </c>
    </row>
    <row r="197" spans="1:7" x14ac:dyDescent="0.2">
      <c r="A197" s="15" t="s">
        <v>59</v>
      </c>
      <c r="B197" s="15">
        <v>0</v>
      </c>
      <c r="C197" s="15" t="s">
        <v>85</v>
      </c>
      <c r="D197" s="30">
        <v>60600</v>
      </c>
      <c r="E197" s="30">
        <v>2700</v>
      </c>
      <c r="F197" s="30">
        <v>23641000</v>
      </c>
      <c r="G197" s="30">
        <v>38344600</v>
      </c>
    </row>
    <row r="198" spans="1:7" x14ac:dyDescent="0.2">
      <c r="A198" s="15" t="s">
        <v>60</v>
      </c>
      <c r="B198" s="15">
        <v>0</v>
      </c>
      <c r="C198" s="15" t="s">
        <v>85</v>
      </c>
      <c r="D198" s="30">
        <v>14400</v>
      </c>
      <c r="E198" s="30">
        <v>800</v>
      </c>
      <c r="F198" s="30">
        <v>7156000</v>
      </c>
      <c r="G198" s="30">
        <v>11207200</v>
      </c>
    </row>
    <row r="199" spans="1:7" x14ac:dyDescent="0.2">
      <c r="A199" s="15" t="s">
        <v>61</v>
      </c>
      <c r="B199" s="15">
        <v>0</v>
      </c>
      <c r="C199" s="15" t="s">
        <v>85</v>
      </c>
      <c r="D199" s="30">
        <v>15500</v>
      </c>
      <c r="E199" s="30">
        <v>1000</v>
      </c>
      <c r="F199" s="30">
        <v>8635200</v>
      </c>
      <c r="G199" s="30">
        <v>14240700</v>
      </c>
    </row>
    <row r="200" spans="1:7" x14ac:dyDescent="0.2">
      <c r="A200" s="15" t="s">
        <v>62</v>
      </c>
      <c r="B200" s="15">
        <v>0</v>
      </c>
      <c r="C200" s="15" t="s">
        <v>85</v>
      </c>
      <c r="D200" s="30">
        <v>47100</v>
      </c>
      <c r="E200" s="30">
        <v>3400</v>
      </c>
      <c r="F200" s="30">
        <v>26920700</v>
      </c>
      <c r="G200" s="30">
        <v>52006500</v>
      </c>
    </row>
    <row r="201" spans="1:7" x14ac:dyDescent="0.2">
      <c r="A201" s="15" t="s">
        <v>63</v>
      </c>
      <c r="B201" s="15">
        <v>0</v>
      </c>
      <c r="C201" s="15" t="s">
        <v>85</v>
      </c>
      <c r="D201" s="30">
        <v>3300</v>
      </c>
      <c r="E201" s="30">
        <v>200</v>
      </c>
      <c r="F201" s="30">
        <v>1743800</v>
      </c>
      <c r="G201" s="30">
        <v>2844700</v>
      </c>
    </row>
    <row r="202" spans="1:7" x14ac:dyDescent="0.2">
      <c r="A202" s="15" t="s">
        <v>64</v>
      </c>
      <c r="B202" s="15">
        <v>0</v>
      </c>
      <c r="C202" s="15" t="s">
        <v>85</v>
      </c>
      <c r="D202" s="30">
        <v>16500</v>
      </c>
      <c r="E202" s="30">
        <v>1100</v>
      </c>
      <c r="F202" s="30">
        <v>9537200</v>
      </c>
      <c r="G202" s="30">
        <v>15089300</v>
      </c>
    </row>
    <row r="203" spans="1:7" x14ac:dyDescent="0.2">
      <c r="A203" s="15" t="s">
        <v>65</v>
      </c>
      <c r="B203" s="15">
        <v>0</v>
      </c>
      <c r="C203" s="15" t="s">
        <v>85</v>
      </c>
      <c r="D203" s="30">
        <v>3900</v>
      </c>
      <c r="E203" s="30">
        <v>300</v>
      </c>
      <c r="F203" s="30">
        <v>2550800</v>
      </c>
      <c r="G203" s="30">
        <v>4522200</v>
      </c>
    </row>
    <row r="204" spans="1:7" x14ac:dyDescent="0.2">
      <c r="A204" s="15" t="s">
        <v>66</v>
      </c>
      <c r="B204" s="15">
        <v>0</v>
      </c>
      <c r="C204" s="15" t="s">
        <v>85</v>
      </c>
      <c r="D204" s="30">
        <v>30500</v>
      </c>
      <c r="E204" s="30">
        <v>1900</v>
      </c>
      <c r="F204" s="30">
        <v>17165600</v>
      </c>
      <c r="G204" s="30">
        <v>26998200</v>
      </c>
    </row>
    <row r="205" spans="1:7" x14ac:dyDescent="0.2">
      <c r="A205" s="15" t="s">
        <v>67</v>
      </c>
      <c r="B205" s="15">
        <v>1</v>
      </c>
      <c r="C205" s="29" t="s">
        <v>85</v>
      </c>
      <c r="D205" s="30">
        <v>41500</v>
      </c>
      <c r="E205" s="30">
        <v>2400</v>
      </c>
      <c r="F205" s="30">
        <v>20723500</v>
      </c>
      <c r="G205" s="30">
        <v>34675800</v>
      </c>
    </row>
    <row r="206" spans="1:7" x14ac:dyDescent="0.2">
      <c r="A206" s="15" t="s">
        <v>67</v>
      </c>
      <c r="B206" s="15">
        <v>2</v>
      </c>
      <c r="C206" s="29" t="s">
        <v>85</v>
      </c>
      <c r="D206" s="30">
        <v>27600</v>
      </c>
      <c r="E206" s="30">
        <v>1600</v>
      </c>
      <c r="F206" s="30">
        <v>13072400</v>
      </c>
      <c r="G206" s="30">
        <v>21440000</v>
      </c>
    </row>
    <row r="207" spans="1:7" x14ac:dyDescent="0.2">
      <c r="A207" s="15" t="s">
        <v>68</v>
      </c>
      <c r="B207" s="15">
        <v>0</v>
      </c>
      <c r="C207" s="15" t="s">
        <v>85</v>
      </c>
      <c r="D207" s="30">
        <v>6600</v>
      </c>
      <c r="E207" s="30">
        <v>300</v>
      </c>
      <c r="F207" s="30">
        <v>2479600</v>
      </c>
      <c r="G207" s="30">
        <v>4089900</v>
      </c>
    </row>
    <row r="208" spans="1:7" x14ac:dyDescent="0.2">
      <c r="A208" s="15" t="s">
        <v>69</v>
      </c>
      <c r="B208" s="15">
        <v>0</v>
      </c>
      <c r="C208" s="15" t="s">
        <v>85</v>
      </c>
      <c r="D208" s="30">
        <v>2700</v>
      </c>
      <c r="E208" s="30">
        <v>200</v>
      </c>
      <c r="F208" s="30">
        <v>1707600</v>
      </c>
      <c r="G208" s="30">
        <v>3148200</v>
      </c>
    </row>
    <row r="209" spans="1:7" x14ac:dyDescent="0.2">
      <c r="A209" s="15" t="s">
        <v>70</v>
      </c>
      <c r="B209" s="15">
        <v>0</v>
      </c>
      <c r="C209" s="15" t="s">
        <v>85</v>
      </c>
      <c r="D209" s="30">
        <v>33000</v>
      </c>
      <c r="E209" s="30">
        <v>2200</v>
      </c>
      <c r="F209" s="30">
        <v>18158600</v>
      </c>
      <c r="G209" s="30">
        <v>30927400</v>
      </c>
    </row>
    <row r="210" spans="1:7" x14ac:dyDescent="0.2">
      <c r="A210" s="15" t="s">
        <v>71</v>
      </c>
      <c r="B210" s="15">
        <v>0</v>
      </c>
      <c r="C210" s="15" t="s">
        <v>85</v>
      </c>
      <c r="D210" s="30">
        <v>20000</v>
      </c>
      <c r="E210" s="30">
        <v>800</v>
      </c>
      <c r="F210" s="30">
        <v>6354000</v>
      </c>
      <c r="G210" s="30">
        <v>10435700</v>
      </c>
    </row>
    <row r="211" spans="1:7" x14ac:dyDescent="0.2">
      <c r="A211" s="15" t="s">
        <v>72</v>
      </c>
      <c r="B211" s="15">
        <v>0</v>
      </c>
      <c r="C211" s="15" t="s">
        <v>85</v>
      </c>
      <c r="D211" s="30">
        <v>9400</v>
      </c>
      <c r="E211" s="30">
        <v>600</v>
      </c>
      <c r="F211" s="30">
        <v>5076500</v>
      </c>
      <c r="G211" s="30">
        <v>8735200</v>
      </c>
    </row>
    <row r="212" spans="1:7" x14ac:dyDescent="0.2">
      <c r="A212" s="15" t="s">
        <v>73</v>
      </c>
      <c r="B212" s="15">
        <v>0</v>
      </c>
      <c r="C212" s="15" t="s">
        <v>85</v>
      </c>
      <c r="D212" s="30">
        <v>21300</v>
      </c>
      <c r="E212" s="30">
        <v>1200</v>
      </c>
      <c r="F212" s="30">
        <v>9346900</v>
      </c>
      <c r="G212" s="30">
        <v>15413300</v>
      </c>
    </row>
    <row r="213" spans="1:7" x14ac:dyDescent="0.2">
      <c r="A213" s="15" t="s">
        <v>74</v>
      </c>
      <c r="B213" s="15">
        <v>0</v>
      </c>
      <c r="C213" s="15" t="s">
        <v>85</v>
      </c>
      <c r="D213" s="30">
        <v>2600</v>
      </c>
      <c r="E213" s="30">
        <v>200</v>
      </c>
      <c r="F213" s="30">
        <v>1571200</v>
      </c>
      <c r="G213" s="30">
        <v>2367500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Instructions</vt:lpstr>
      <vt:lpstr>Problem 1</vt:lpstr>
      <vt:lpstr>Problem 2</vt:lpstr>
      <vt:lpstr>Problem 3</vt:lpstr>
      <vt:lpstr>HW2 data</vt:lpstr>
    </vt:vector>
  </TitlesOfParts>
  <Company>State Farm Insurance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 Duvvuri</dc:creator>
  <cp:lastModifiedBy>Ben Huang</cp:lastModifiedBy>
  <dcterms:created xsi:type="dcterms:W3CDTF">2006-09-11T00:30:05Z</dcterms:created>
  <dcterms:modified xsi:type="dcterms:W3CDTF">2015-09-19T01:16:50Z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1155810125</vt:i4>
  </property>
  <property fmtid="{D5CDD505-2E9C-101B-9397-08002B2CF9AE}" pid="3" name="_NewReviewCycle">
    <vt:lpwstr/>
  </property>
  <property fmtid="{D5CDD505-2E9C-101B-9397-08002B2CF9AE}" pid="4" name="_EmailSubject">
    <vt:lpwstr>Math 283 - This week's class</vt:lpwstr>
  </property>
  <property fmtid="{D5CDD505-2E9C-101B-9397-08002B2CF9AE}" pid="5" name="_AuthorEmail">
    <vt:lpwstr>rama.duvvuri.lcma@statefarm.com</vt:lpwstr>
  </property>
  <property fmtid="{D5CDD505-2E9C-101B-9397-08002B2CF9AE}" pid="6" name="_AuthorEmailDisplayName">
    <vt:lpwstr>Rama Duvvuri</vt:lpwstr>
  </property>
  <property fmtid="{D5CDD505-2E9C-101B-9397-08002B2CF9AE}" pid="7" name="_ReviewingToolsShownOnce">
    <vt:lpwstr/>
  </property>
</Properties>
</file>